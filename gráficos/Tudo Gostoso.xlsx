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drawings/drawing4.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harts/style1.xml" ContentType="application/vnd.ms-office.chartstyle+xml"/>
  <Override PartName="/xl/charts/colors1.xml" ContentType="application/vnd.ms-office.chartcolorstyle+xml"/>
  <Override PartName="/xl/charts/chart8.xml" ContentType="application/vnd.openxmlformats-officedocument.drawingml.chart+xml"/>
  <Override PartName="/xl/charts/style2.xml" ContentType="application/vnd.ms-office.chartstyle+xml"/>
  <Override PartName="/xl/charts/colors2.xml" ContentType="application/vnd.ms-office.chartcolorstyle+xml"/>
  <Override PartName="/xl/charts/chart9.xml" ContentType="application/vnd.openxmlformats-officedocument.drawingml.chart+xml"/>
  <Override PartName="/xl/charts/style3.xml" ContentType="application/vnd.ms-office.chartstyle+xml"/>
  <Override PartName="/xl/charts/colors3.xml" ContentType="application/vnd.ms-office.chartcolorstyle+xml"/>
  <Override PartName="/xl/charts/chart10.xml" ContentType="application/vnd.openxmlformats-officedocument.drawingml.chart+xml"/>
  <Override PartName="/xl/charts/style4.xml" ContentType="application/vnd.ms-office.chartstyle+xml"/>
  <Override PartName="/xl/charts/colors4.xml" ContentType="application/vnd.ms-office.chartcolorstyle+xml"/>
  <Override PartName="/xl/charts/chart11.xml" ContentType="application/vnd.openxmlformats-officedocument.drawingml.chart+xml"/>
  <Override PartName="/xl/charts/style5.xml" ContentType="application/vnd.ms-office.chartstyle+xml"/>
  <Override PartName="/xl/charts/colors5.xml" ContentType="application/vnd.ms-office.chartcolorstyle+xml"/>
  <Override PartName="/xl/charts/chart12.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harts/chart1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mc:AlternateContent xmlns:mc="http://schemas.openxmlformats.org/markup-compatibility/2006">
    <mc:Choice Requires="x15">
      <x15ac:absPath xmlns:x15ac="http://schemas.microsoft.com/office/spreadsheetml/2010/11/ac" url="https://d.docs.live.net/430ffcfa33baad1e/Documentos/Arquivos 2025/códigos/gráficos/"/>
    </mc:Choice>
  </mc:AlternateContent>
  <xr:revisionPtr revIDLastSave="16" documentId="13_ncr:1_{83FF0231-F9B0-45B3-AA1F-F1AB2460AEC3}" xr6:coauthVersionLast="47" xr6:coauthVersionMax="47" xr10:uidLastSave="{C03D85B8-E148-4A48-B951-41933C73A162}"/>
  <bookViews>
    <workbookView xWindow="-108" yWindow="-108" windowWidth="23256" windowHeight="12456" activeTab="1" xr2:uid="{00000000-000D-0000-FFFF-FFFF00000000}"/>
  </bookViews>
  <sheets>
    <sheet name="Portuguese" sheetId="1" r:id="rId1"/>
    <sheet name="English" sheetId="2" r:id="rId2"/>
    <sheet name="Ingredient analysis" sheetId="3" r:id="rId3"/>
    <sheet name="recipes percentage" sheetId="4" r:id="rId4"/>
    <sheet name="TFCB" sheetId="5" r:id="rId5"/>
    <sheet name="ABHC" sheetId="6" r:id="rId6"/>
    <sheet name="Books combined" sheetId="7" r:id="rId7"/>
    <sheet name="carbon footprint" sheetId="8" r:id="rId8"/>
    <sheet name="analysis" sheetId="9" r:id="rId9"/>
    <sheet name="ingredients" sheetId="10" r:id="rId10"/>
    <sheet name="database CF" sheetId="11" r:id="rId11"/>
    <sheet name="database CF (pt)" sheetId="12" r:id="rId12"/>
    <sheet name="Yield factor" sheetId="13" r:id="rId13"/>
    <sheet name="Cooking emissions" sheetId="14" r:id="rId14"/>
    <sheet name="FAOINFOODS Density Database Ver" sheetId="15" r:id="rId15"/>
  </sheets>
  <definedNames>
    <definedName name="_xlnm._FilterDatabase" localSheetId="8" hidden="1">analysis!$A$1:$H$154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13" i="8" l="1" a="1"/>
  <c r="J313" i="8" s="1"/>
  <c r="J317" i="8" a="1"/>
  <c r="J317" i="8" s="1"/>
  <c r="W165" i="7" l="1"/>
  <c r="W167" i="7"/>
  <c r="V167" i="7"/>
  <c r="U167" i="7"/>
  <c r="T167" i="7"/>
  <c r="S167" i="7"/>
  <c r="R167" i="7"/>
  <c r="W166" i="7"/>
  <c r="V166" i="7"/>
  <c r="U166" i="7"/>
  <c r="T166" i="7"/>
  <c r="S166" i="7"/>
  <c r="R166" i="7"/>
  <c r="V165" i="7"/>
  <c r="U165" i="7"/>
  <c r="T165" i="7"/>
  <c r="S165" i="7"/>
  <c r="R165" i="7"/>
  <c r="P84" i="7"/>
  <c r="P83" i="7"/>
  <c r="P82" i="7"/>
  <c r="P81" i="7"/>
  <c r="P80" i="7"/>
  <c r="P79" i="7"/>
  <c r="P78" i="7"/>
  <c r="P77" i="7"/>
  <c r="P76" i="7"/>
  <c r="P75" i="7"/>
  <c r="P74" i="7"/>
  <c r="P73" i="7"/>
  <c r="P72" i="7"/>
  <c r="P71" i="7"/>
  <c r="P70" i="7"/>
  <c r="P69" i="7"/>
  <c r="P68" i="7"/>
  <c r="P67" i="7"/>
  <c r="P66" i="7"/>
  <c r="P65" i="7"/>
  <c r="P64" i="7"/>
  <c r="P63" i="7"/>
  <c r="P62" i="7"/>
  <c r="P61" i="7"/>
  <c r="P60" i="7"/>
  <c r="P59" i="7"/>
  <c r="P58" i="7"/>
  <c r="P57" i="7"/>
  <c r="P56" i="7"/>
  <c r="P55" i="7"/>
  <c r="P54" i="7"/>
  <c r="P53" i="7"/>
  <c r="P52" i="7"/>
  <c r="P51" i="7"/>
  <c r="P50" i="7"/>
  <c r="P49" i="7"/>
  <c r="P48" i="7"/>
  <c r="P47" i="7"/>
  <c r="P46" i="7"/>
  <c r="P45" i="7"/>
  <c r="P44" i="7"/>
  <c r="P43" i="7"/>
  <c r="P42" i="7"/>
  <c r="P41" i="7"/>
  <c r="P40" i="7"/>
  <c r="P39" i="7"/>
  <c r="P38" i="7"/>
  <c r="P37" i="7"/>
  <c r="P36" i="7"/>
  <c r="P35" i="7"/>
  <c r="P34" i="7"/>
  <c r="P33" i="7"/>
  <c r="P32" i="7"/>
  <c r="P31" i="7"/>
  <c r="P30" i="7"/>
  <c r="P29" i="7"/>
  <c r="P28" i="7"/>
  <c r="P27" i="7"/>
  <c r="P26" i="7"/>
  <c r="P25" i="7"/>
  <c r="P24" i="7"/>
  <c r="P23" i="7"/>
  <c r="P22" i="7"/>
  <c r="P21" i="7"/>
  <c r="P20" i="7"/>
  <c r="P19" i="7"/>
  <c r="P18" i="7"/>
  <c r="P17" i="7"/>
  <c r="P16" i="7"/>
  <c r="P15" i="7"/>
  <c r="P13" i="7"/>
  <c r="P12" i="7"/>
  <c r="P11" i="7"/>
  <c r="P10" i="7"/>
  <c r="P9" i="7"/>
  <c r="P8" i="7"/>
  <c r="P7" i="7"/>
  <c r="P6" i="7"/>
  <c r="P5" i="7"/>
  <c r="P4" i="7"/>
  <c r="P3" i="7"/>
  <c r="P2" i="7"/>
  <c r="N44" i="7"/>
  <c r="O44" i="7" s="1"/>
  <c r="B165" i="7"/>
  <c r="N84" i="7"/>
  <c r="O84" i="7" s="1"/>
  <c r="N83" i="7"/>
  <c r="O83" i="7" s="1"/>
  <c r="N82" i="7"/>
  <c r="O82" i="7" s="1"/>
  <c r="N81" i="7"/>
  <c r="O81" i="7" s="1"/>
  <c r="N80" i="7"/>
  <c r="O80" i="7" s="1"/>
  <c r="N79" i="7"/>
  <c r="O79" i="7" s="1"/>
  <c r="N78" i="7"/>
  <c r="O78" i="7" s="1"/>
  <c r="N77" i="7"/>
  <c r="O77" i="7" s="1"/>
  <c r="N76" i="7"/>
  <c r="O76" i="7" s="1"/>
  <c r="N75" i="7"/>
  <c r="O75" i="7" s="1"/>
  <c r="N74" i="7"/>
  <c r="O74" i="7" s="1"/>
  <c r="N73" i="7"/>
  <c r="O73" i="7" s="1"/>
  <c r="O72" i="7"/>
  <c r="N72" i="7"/>
  <c r="N71" i="7"/>
  <c r="O71" i="7" s="1"/>
  <c r="N70" i="7"/>
  <c r="O70" i="7" s="1"/>
  <c r="N69" i="7"/>
  <c r="O69" i="7" s="1"/>
  <c r="N68" i="7"/>
  <c r="O68" i="7" s="1"/>
  <c r="N67" i="7"/>
  <c r="O67" i="7" s="1"/>
  <c r="N66" i="7"/>
  <c r="O66" i="7" s="1"/>
  <c r="N65" i="7"/>
  <c r="O65" i="7" s="1"/>
  <c r="N64" i="7"/>
  <c r="O64" i="7" s="1"/>
  <c r="N63" i="7"/>
  <c r="O63" i="7" s="1"/>
  <c r="N62" i="7"/>
  <c r="O62" i="7" s="1"/>
  <c r="N61" i="7"/>
  <c r="O61" i="7" s="1"/>
  <c r="N60" i="7"/>
  <c r="O60" i="7" s="1"/>
  <c r="N59" i="7"/>
  <c r="O59" i="7" s="1"/>
  <c r="N58" i="7"/>
  <c r="O58" i="7" s="1"/>
  <c r="N57" i="7"/>
  <c r="O57" i="7" s="1"/>
  <c r="O56" i="7"/>
  <c r="N56" i="7"/>
  <c r="N55" i="7"/>
  <c r="O55" i="7" s="1"/>
  <c r="N54" i="7"/>
  <c r="O54" i="7" s="1"/>
  <c r="N53" i="7"/>
  <c r="O53" i="7" s="1"/>
  <c r="N52" i="7"/>
  <c r="O52" i="7" s="1"/>
  <c r="N51" i="7"/>
  <c r="O51" i="7" s="1"/>
  <c r="N50" i="7"/>
  <c r="O50" i="7" s="1"/>
  <c r="N49" i="7"/>
  <c r="O49" i="7" s="1"/>
  <c r="N48" i="7"/>
  <c r="O48" i="7" s="1"/>
  <c r="N47" i="7"/>
  <c r="O47" i="7" s="1"/>
  <c r="N46" i="7"/>
  <c r="O46" i="7" s="1"/>
  <c r="N45" i="7"/>
  <c r="O45" i="7" s="1"/>
  <c r="N43" i="7"/>
  <c r="O43" i="7" s="1"/>
  <c r="N42" i="7"/>
  <c r="O42" i="7" s="1"/>
  <c r="N41" i="7"/>
  <c r="O41" i="7" s="1"/>
  <c r="N40" i="7"/>
  <c r="O40" i="7" s="1"/>
  <c r="N39" i="7"/>
  <c r="O39" i="7" s="1"/>
  <c r="N38" i="7"/>
  <c r="O38" i="7" s="1"/>
  <c r="N37" i="7"/>
  <c r="O37" i="7" s="1"/>
  <c r="N36" i="7"/>
  <c r="O36" i="7" s="1"/>
  <c r="N35" i="7"/>
  <c r="O35" i="7" s="1"/>
  <c r="N34" i="7"/>
  <c r="O34" i="7" s="1"/>
  <c r="N33" i="7"/>
  <c r="O33" i="7" s="1"/>
  <c r="N32" i="7"/>
  <c r="O32" i="7" s="1"/>
  <c r="N31" i="7"/>
  <c r="O31" i="7" s="1"/>
  <c r="N30" i="7"/>
  <c r="O30" i="7" s="1"/>
  <c r="N29" i="7"/>
  <c r="O29" i="7" s="1"/>
  <c r="O28" i="7"/>
  <c r="N28" i="7"/>
  <c r="N27" i="7"/>
  <c r="O27" i="7" s="1"/>
  <c r="N26" i="7"/>
  <c r="O26" i="7" s="1"/>
  <c r="N25" i="7"/>
  <c r="O25" i="7" s="1"/>
  <c r="N24" i="7"/>
  <c r="O24" i="7" s="1"/>
  <c r="N23" i="7"/>
  <c r="O23" i="7" s="1"/>
  <c r="N22" i="7"/>
  <c r="O22" i="7" s="1"/>
  <c r="N21" i="7"/>
  <c r="O21" i="7" s="1"/>
  <c r="N20" i="7"/>
  <c r="O20" i="7" s="1"/>
  <c r="N19" i="7"/>
  <c r="O19" i="7" s="1"/>
  <c r="N18" i="7"/>
  <c r="O18" i="7" s="1"/>
  <c r="N17" i="7"/>
  <c r="O17" i="7" s="1"/>
  <c r="N16" i="7"/>
  <c r="O16" i="7" s="1"/>
  <c r="N15" i="7"/>
  <c r="O15" i="7" s="1"/>
  <c r="N13" i="7"/>
  <c r="O13" i="7" s="1"/>
  <c r="N12" i="7"/>
  <c r="O12" i="7" s="1"/>
  <c r="N11" i="7"/>
  <c r="O11" i="7" s="1"/>
  <c r="N10" i="7"/>
  <c r="O10" i="7" s="1"/>
  <c r="N9" i="7"/>
  <c r="O9" i="7" s="1"/>
  <c r="N8" i="7"/>
  <c r="O8" i="7" s="1"/>
  <c r="N7" i="7"/>
  <c r="O7" i="7" s="1"/>
  <c r="N6" i="7"/>
  <c r="O6" i="7" s="1"/>
  <c r="N5" i="7"/>
  <c r="O5" i="7" s="1"/>
  <c r="N4" i="7"/>
  <c r="O4" i="7" s="1"/>
  <c r="N3" i="7"/>
  <c r="O3" i="7" s="1"/>
  <c r="N2" i="7"/>
  <c r="O2" i="7" s="1"/>
  <c r="E167" i="7"/>
  <c r="H148" i="10"/>
  <c r="H145" i="10"/>
  <c r="H143" i="10"/>
  <c r="H140" i="10"/>
  <c r="H132" i="10"/>
  <c r="H129" i="10"/>
  <c r="H128" i="10"/>
  <c r="H125" i="10"/>
  <c r="H124" i="10"/>
  <c r="H121" i="10"/>
  <c r="H119" i="10"/>
  <c r="H118" i="10"/>
  <c r="H117" i="10"/>
  <c r="H115" i="10"/>
  <c r="H113" i="10"/>
  <c r="H112" i="10"/>
  <c r="H111" i="10"/>
  <c r="H108" i="10"/>
  <c r="H106" i="10"/>
  <c r="H102" i="10"/>
  <c r="H100" i="10"/>
  <c r="H99" i="10"/>
  <c r="H98" i="10"/>
  <c r="H96" i="10"/>
  <c r="H95" i="10"/>
  <c r="H94" i="10"/>
  <c r="H93" i="10"/>
  <c r="H92" i="10"/>
  <c r="H89" i="10"/>
  <c r="H86" i="10"/>
  <c r="H85" i="10"/>
  <c r="H82" i="10"/>
  <c r="H79" i="10"/>
  <c r="H74" i="10"/>
  <c r="H71" i="10"/>
  <c r="H69" i="10"/>
  <c r="H66" i="10"/>
  <c r="H63" i="10"/>
  <c r="H62" i="10"/>
  <c r="H61" i="10"/>
  <c r="H59" i="10"/>
  <c r="H58" i="10"/>
  <c r="E58" i="10"/>
  <c r="H57" i="10"/>
  <c r="H56" i="10"/>
  <c r="H55" i="10"/>
  <c r="H52" i="10"/>
  <c r="H51" i="10"/>
  <c r="F51" i="10"/>
  <c r="H48" i="10"/>
  <c r="H47" i="10"/>
  <c r="H46" i="10"/>
  <c r="D45" i="10"/>
  <c r="H44" i="10"/>
  <c r="H43" i="10"/>
  <c r="H41" i="10"/>
  <c r="H40" i="10"/>
  <c r="H39" i="10"/>
  <c r="H38" i="10"/>
  <c r="H37" i="10"/>
  <c r="H34" i="10"/>
  <c r="H33" i="10"/>
  <c r="H31" i="10"/>
  <c r="H29" i="10"/>
  <c r="H28" i="10"/>
  <c r="D27" i="10"/>
  <c r="H25" i="10"/>
  <c r="H24" i="10"/>
  <c r="E24" i="10"/>
  <c r="H23" i="10"/>
  <c r="H21" i="10"/>
  <c r="H20" i="10"/>
  <c r="E18" i="10"/>
  <c r="H17" i="10"/>
  <c r="H16" i="10"/>
  <c r="H15" i="10"/>
  <c r="H14" i="10"/>
  <c r="E13" i="10"/>
  <c r="H13" i="10" s="1"/>
  <c r="H12" i="10"/>
  <c r="H10" i="10"/>
  <c r="H9" i="10"/>
  <c r="E8" i="10"/>
  <c r="H8" i="10" s="1"/>
  <c r="H7" i="10"/>
  <c r="D6" i="10"/>
  <c r="H6" i="10" s="1"/>
  <c r="H5" i="10"/>
  <c r="D5" i="10"/>
  <c r="H4" i="10"/>
  <c r="H3" i="10"/>
  <c r="H154" i="9"/>
  <c r="N154" i="9" s="1"/>
  <c r="O153" i="9"/>
  <c r="N153" i="9"/>
  <c r="M153" i="9"/>
  <c r="N152" i="9"/>
  <c r="H152" i="9"/>
  <c r="M152" i="9" s="1"/>
  <c r="H151" i="9"/>
  <c r="M151" i="9" s="1"/>
  <c r="O150" i="9"/>
  <c r="H150" i="9"/>
  <c r="M150" i="9" s="1"/>
  <c r="O149" i="9"/>
  <c r="N149" i="9"/>
  <c r="H149" i="9"/>
  <c r="M149" i="9" s="1"/>
  <c r="N148" i="9"/>
  <c r="H148" i="9"/>
  <c r="M148" i="9" s="1"/>
  <c r="H147" i="9"/>
  <c r="M147" i="9" s="1"/>
  <c r="O146" i="9"/>
  <c r="N146" i="9"/>
  <c r="M146" i="9"/>
  <c r="O145" i="9"/>
  <c r="N145" i="9"/>
  <c r="H145" i="9"/>
  <c r="M145" i="9" s="1"/>
  <c r="O144" i="9"/>
  <c r="N144" i="9"/>
  <c r="H144" i="9"/>
  <c r="M144" i="9" s="1"/>
  <c r="O143" i="9"/>
  <c r="N143" i="9"/>
  <c r="H143" i="9"/>
  <c r="M143" i="9" s="1"/>
  <c r="O142" i="9"/>
  <c r="N142" i="9"/>
  <c r="H142" i="9"/>
  <c r="M142" i="9" s="1"/>
  <c r="O141" i="9"/>
  <c r="N141" i="9"/>
  <c r="H141" i="9"/>
  <c r="M141" i="9" s="1"/>
  <c r="O140" i="9"/>
  <c r="N140" i="9"/>
  <c r="H140" i="9"/>
  <c r="M140" i="9" s="1"/>
  <c r="O139" i="9"/>
  <c r="N139" i="9"/>
  <c r="H139" i="9"/>
  <c r="M139" i="9" s="1"/>
  <c r="O138" i="9"/>
  <c r="N138" i="9"/>
  <c r="H138" i="9"/>
  <c r="M138" i="9" s="1"/>
  <c r="O137" i="9"/>
  <c r="N137" i="9"/>
  <c r="H137" i="9"/>
  <c r="M137" i="9" s="1"/>
  <c r="N136" i="9"/>
  <c r="M136" i="9"/>
  <c r="I136" i="9"/>
  <c r="H136" i="9"/>
  <c r="O136" i="9" s="1"/>
  <c r="O135" i="9"/>
  <c r="N135" i="9"/>
  <c r="M135" i="9"/>
  <c r="H134" i="9"/>
  <c r="O133" i="9"/>
  <c r="N133" i="9"/>
  <c r="M133" i="9"/>
  <c r="H132" i="9"/>
  <c r="N132" i="9" s="1"/>
  <c r="O131" i="9"/>
  <c r="H131" i="9"/>
  <c r="N131" i="9" s="1"/>
  <c r="H130" i="9"/>
  <c r="N130" i="9" s="1"/>
  <c r="O129" i="9"/>
  <c r="H129" i="9"/>
  <c r="N129" i="9" s="1"/>
  <c r="H128" i="9"/>
  <c r="N128" i="9" s="1"/>
  <c r="O127" i="9"/>
  <c r="H127" i="9"/>
  <c r="N127" i="9" s="1"/>
  <c r="H126" i="9"/>
  <c r="N126" i="9" s="1"/>
  <c r="I125" i="9"/>
  <c r="H125" i="9"/>
  <c r="O125" i="9" s="1"/>
  <c r="H124" i="9"/>
  <c r="H123" i="9"/>
  <c r="H122" i="9"/>
  <c r="O121" i="9"/>
  <c r="N121" i="9"/>
  <c r="M121" i="9"/>
  <c r="I120" i="9"/>
  <c r="H120" i="9"/>
  <c r="O120" i="9" s="1"/>
  <c r="F120" i="9"/>
  <c r="O119" i="9"/>
  <c r="N119" i="9"/>
  <c r="M119" i="9"/>
  <c r="H119" i="9"/>
  <c r="O118" i="9"/>
  <c r="N118" i="9"/>
  <c r="M118" i="9"/>
  <c r="H118" i="9"/>
  <c r="O117" i="9"/>
  <c r="N117" i="9"/>
  <c r="M117" i="9"/>
  <c r="H117" i="9"/>
  <c r="O116" i="9"/>
  <c r="N116" i="9"/>
  <c r="M116" i="9"/>
  <c r="H116" i="9"/>
  <c r="O115" i="9"/>
  <c r="N115" i="9"/>
  <c r="M115" i="9"/>
  <c r="O114" i="9"/>
  <c r="N114" i="9"/>
  <c r="M114" i="9"/>
  <c r="O113" i="9"/>
  <c r="H113" i="9"/>
  <c r="O112" i="9"/>
  <c r="H112" i="9"/>
  <c r="O111" i="9"/>
  <c r="H111" i="9"/>
  <c r="I110" i="9"/>
  <c r="H110" i="9"/>
  <c r="O110" i="9" s="1"/>
  <c r="O109" i="9"/>
  <c r="N109" i="9"/>
  <c r="M109" i="9"/>
  <c r="O108" i="9"/>
  <c r="H108" i="9"/>
  <c r="H107" i="9"/>
  <c r="O107" i="9" s="1"/>
  <c r="O106" i="9"/>
  <c r="N106" i="9"/>
  <c r="M106" i="9"/>
  <c r="I106" i="9"/>
  <c r="O105" i="9"/>
  <c r="H105" i="9"/>
  <c r="H104" i="9"/>
  <c r="O104" i="9" s="1"/>
  <c r="O103" i="9"/>
  <c r="N103" i="9"/>
  <c r="M103" i="9"/>
  <c r="O102" i="9"/>
  <c r="N102" i="9"/>
  <c r="M102" i="9"/>
  <c r="O101" i="9"/>
  <c r="N101" i="9"/>
  <c r="M101" i="9"/>
  <c r="H100" i="9"/>
  <c r="H99" i="9"/>
  <c r="O98" i="9"/>
  <c r="N98" i="9"/>
  <c r="M98" i="9"/>
  <c r="O97" i="9"/>
  <c r="N97" i="9"/>
  <c r="M97" i="9"/>
  <c r="H96" i="9"/>
  <c r="M96" i="9" s="1"/>
  <c r="O95" i="9"/>
  <c r="N95" i="9"/>
  <c r="M95" i="9"/>
  <c r="O94" i="9"/>
  <c r="N94" i="9"/>
  <c r="M94" i="9"/>
  <c r="H94" i="9"/>
  <c r="O93" i="9"/>
  <c r="N93" i="9"/>
  <c r="M93" i="9"/>
  <c r="O92" i="9"/>
  <c r="N92" i="9"/>
  <c r="M92" i="9"/>
  <c r="H91" i="9"/>
  <c r="O90" i="9"/>
  <c r="N90" i="9"/>
  <c r="M90" i="9"/>
  <c r="H89" i="9"/>
  <c r="M89" i="9" s="1"/>
  <c r="O88" i="9"/>
  <c r="N88" i="9"/>
  <c r="M88" i="9"/>
  <c r="O87" i="9"/>
  <c r="N87" i="9"/>
  <c r="M87" i="9"/>
  <c r="H87" i="9"/>
  <c r="O86" i="9"/>
  <c r="N86" i="9"/>
  <c r="M86" i="9"/>
  <c r="H86" i="9"/>
  <c r="O85" i="9"/>
  <c r="N85" i="9"/>
  <c r="M85" i="9"/>
  <c r="O84" i="9"/>
  <c r="N84" i="9"/>
  <c r="M84" i="9"/>
  <c r="O83" i="9"/>
  <c r="H83" i="9"/>
  <c r="O82" i="9"/>
  <c r="N82" i="9"/>
  <c r="M82" i="9"/>
  <c r="O81" i="9"/>
  <c r="N81" i="9"/>
  <c r="M81" i="9"/>
  <c r="O80" i="9"/>
  <c r="N80" i="9"/>
  <c r="M80" i="9"/>
  <c r="H79" i="9"/>
  <c r="O78" i="9"/>
  <c r="N78" i="9"/>
  <c r="M78" i="9"/>
  <c r="O77" i="9"/>
  <c r="H77" i="9"/>
  <c r="H76" i="9"/>
  <c r="O76" i="9" s="1"/>
  <c r="O75" i="9"/>
  <c r="H75" i="9"/>
  <c r="O74" i="9"/>
  <c r="N74" i="9"/>
  <c r="M74" i="9"/>
  <c r="O73" i="9"/>
  <c r="N73" i="9"/>
  <c r="H73" i="9"/>
  <c r="M73" i="9" s="1"/>
  <c r="O72" i="9"/>
  <c r="N72" i="9"/>
  <c r="M72" i="9"/>
  <c r="O71" i="9"/>
  <c r="N71" i="9"/>
  <c r="M71" i="9"/>
  <c r="O70" i="9"/>
  <c r="N70" i="9"/>
  <c r="M70" i="9"/>
  <c r="O69" i="9"/>
  <c r="N69" i="9"/>
  <c r="M69" i="9"/>
  <c r="O68" i="9"/>
  <c r="N68" i="9"/>
  <c r="M68" i="9"/>
  <c r="O67" i="9"/>
  <c r="N67" i="9"/>
  <c r="M67" i="9"/>
  <c r="H66" i="9"/>
  <c r="M66" i="9" s="1"/>
  <c r="O65" i="9"/>
  <c r="N65" i="9"/>
  <c r="M65" i="9"/>
  <c r="H64" i="9"/>
  <c r="O63" i="9"/>
  <c r="N63" i="9"/>
  <c r="M63" i="9"/>
  <c r="H62" i="9"/>
  <c r="M62" i="9" s="1"/>
  <c r="E62" i="9"/>
  <c r="O61" i="9"/>
  <c r="N61" i="9"/>
  <c r="M61" i="9"/>
  <c r="O60" i="9"/>
  <c r="N60" i="9"/>
  <c r="M60" i="9"/>
  <c r="O59" i="9"/>
  <c r="N59" i="9"/>
  <c r="M59" i="9"/>
  <c r="H59" i="9"/>
  <c r="O58" i="9"/>
  <c r="N58" i="9"/>
  <c r="M58" i="9"/>
  <c r="O57" i="9"/>
  <c r="N57" i="9"/>
  <c r="M57" i="9"/>
  <c r="O56" i="9"/>
  <c r="N56" i="9"/>
  <c r="M56" i="9"/>
  <c r="I56" i="9"/>
  <c r="O55" i="9"/>
  <c r="N55" i="9"/>
  <c r="M55" i="9"/>
  <c r="O54" i="9"/>
  <c r="N54" i="9"/>
  <c r="M54" i="9"/>
  <c r="O53" i="9"/>
  <c r="N53" i="9"/>
  <c r="M53" i="9"/>
  <c r="H53" i="9"/>
  <c r="O52" i="9"/>
  <c r="N52" i="9"/>
  <c r="M52" i="9"/>
  <c r="H52" i="9"/>
  <c r="O51" i="9"/>
  <c r="N51" i="9"/>
  <c r="M51" i="9"/>
  <c r="H50" i="9"/>
  <c r="M50" i="9" s="1"/>
  <c r="H49" i="9"/>
  <c r="O48" i="9"/>
  <c r="N48" i="9"/>
  <c r="M48" i="9"/>
  <c r="O47" i="9"/>
  <c r="H47" i="9"/>
  <c r="O46" i="9"/>
  <c r="N46" i="9"/>
  <c r="M46" i="9"/>
  <c r="O45" i="9"/>
  <c r="N45" i="9"/>
  <c r="M45" i="9"/>
  <c r="I45" i="9"/>
  <c r="O44" i="9"/>
  <c r="N44" i="9"/>
  <c r="M44" i="9"/>
  <c r="H43" i="9"/>
  <c r="O43" i="9" s="1"/>
  <c r="H42" i="9"/>
  <c r="O42" i="9" s="1"/>
  <c r="O41" i="9"/>
  <c r="N41" i="9"/>
  <c r="M41" i="9"/>
  <c r="H40" i="9"/>
  <c r="M39" i="9"/>
  <c r="H39" i="9"/>
  <c r="O38" i="9"/>
  <c r="N38" i="9"/>
  <c r="M38" i="9"/>
  <c r="E38" i="9"/>
  <c r="O37" i="9"/>
  <c r="N37" i="9"/>
  <c r="M37" i="9"/>
  <c r="O36" i="9"/>
  <c r="N36" i="9"/>
  <c r="M36" i="9"/>
  <c r="I35" i="9"/>
  <c r="H35" i="9"/>
  <c r="M35" i="9" s="1"/>
  <c r="O34" i="9"/>
  <c r="N34" i="9"/>
  <c r="M34" i="9"/>
  <c r="O33" i="9"/>
  <c r="N33" i="9"/>
  <c r="M33" i="9"/>
  <c r="H32" i="9"/>
  <c r="O32" i="9" s="1"/>
  <c r="H31" i="9"/>
  <c r="O31" i="9" s="1"/>
  <c r="H30" i="9"/>
  <c r="O30" i="9" s="1"/>
  <c r="O29" i="9"/>
  <c r="N29" i="9"/>
  <c r="M29" i="9"/>
  <c r="O28" i="9"/>
  <c r="N28" i="9"/>
  <c r="M28" i="9"/>
  <c r="O27" i="9"/>
  <c r="N27" i="9"/>
  <c r="M27" i="9"/>
  <c r="O26" i="9"/>
  <c r="N26" i="9"/>
  <c r="M26" i="9"/>
  <c r="O25" i="9"/>
  <c r="N25" i="9"/>
  <c r="M25" i="9"/>
  <c r="M24" i="9"/>
  <c r="H24" i="9"/>
  <c r="H23" i="9"/>
  <c r="E23" i="9"/>
  <c r="O22" i="9"/>
  <c r="N22" i="9"/>
  <c r="M22" i="9"/>
  <c r="O21" i="9"/>
  <c r="N21" i="9"/>
  <c r="M21" i="9"/>
  <c r="O20" i="9"/>
  <c r="N20" i="9"/>
  <c r="M20" i="9"/>
  <c r="O19" i="9"/>
  <c r="N19" i="9"/>
  <c r="M19" i="9"/>
  <c r="O18" i="9"/>
  <c r="N18" i="9"/>
  <c r="M18" i="9"/>
  <c r="O17" i="9"/>
  <c r="N17" i="9"/>
  <c r="M17" i="9"/>
  <c r="D17" i="9"/>
  <c r="O16" i="9"/>
  <c r="N16" i="9"/>
  <c r="M16" i="9"/>
  <c r="O15" i="9"/>
  <c r="H15" i="9"/>
  <c r="H14" i="9"/>
  <c r="F14" i="9"/>
  <c r="M13" i="9"/>
  <c r="H13" i="9"/>
  <c r="O12" i="9"/>
  <c r="N12" i="9"/>
  <c r="M12" i="9"/>
  <c r="D12" i="9"/>
  <c r="O11" i="9"/>
  <c r="N11" i="9"/>
  <c r="M11" i="9"/>
  <c r="O10" i="9"/>
  <c r="N10" i="9"/>
  <c r="M10" i="9"/>
  <c r="E9" i="9"/>
  <c r="H9" i="9" s="1"/>
  <c r="M9" i="9" s="1"/>
  <c r="D8" i="9"/>
  <c r="H8" i="9" s="1"/>
  <c r="M7" i="9"/>
  <c r="H7" i="9"/>
  <c r="H6" i="9"/>
  <c r="M6" i="9" s="1"/>
  <c r="E6" i="9"/>
  <c r="O5" i="9"/>
  <c r="N5" i="9"/>
  <c r="M5" i="9"/>
  <c r="H5" i="9"/>
  <c r="O4" i="9"/>
  <c r="N4" i="9"/>
  <c r="M4" i="9"/>
  <c r="H4" i="9"/>
  <c r="O3" i="9"/>
  <c r="N3" i="9"/>
  <c r="M3" i="9"/>
  <c r="H3" i="9"/>
  <c r="O2" i="9"/>
  <c r="N2" i="9"/>
  <c r="M2" i="9"/>
  <c r="N1562" i="8"/>
  <c r="K1561" i="8" a="1"/>
  <c r="K1561" i="8" s="1"/>
  <c r="J1561" i="8" a="1"/>
  <c r="J1561" i="8" s="1"/>
  <c r="K1560" i="8" a="1"/>
  <c r="K1560" i="8" s="1"/>
  <c r="J1560" i="8" a="1"/>
  <c r="J1560" i="8" s="1"/>
  <c r="K1559" i="8" a="1"/>
  <c r="K1559" i="8" s="1"/>
  <c r="J1559" i="8" a="1"/>
  <c r="J1559" i="8" s="1"/>
  <c r="K1558" i="8" a="1"/>
  <c r="K1558" i="8" s="1"/>
  <c r="J1558" i="8" a="1"/>
  <c r="J1558" i="8" s="1"/>
  <c r="I1558" i="8"/>
  <c r="K1557" i="8" a="1"/>
  <c r="K1557" i="8" s="1"/>
  <c r="J1557" i="8" a="1"/>
  <c r="J1557" i="8" s="1"/>
  <c r="I1557" i="8"/>
  <c r="N1558" i="8" s="1"/>
  <c r="N1556" i="8"/>
  <c r="K1556" i="8" a="1"/>
  <c r="K1556" i="8" s="1"/>
  <c r="J1556" i="8" a="1"/>
  <c r="J1556" i="8" s="1"/>
  <c r="Q1555" i="8"/>
  <c r="P1555" i="8"/>
  <c r="K1555" i="8" a="1"/>
  <c r="K1555" i="8" s="1"/>
  <c r="J1555" i="8" a="1"/>
  <c r="J1555" i="8" s="1"/>
  <c r="K1548" i="8" a="1"/>
  <c r="K1548" i="8" s="1"/>
  <c r="J1548" i="8" a="1"/>
  <c r="J1548" i="8" s="1"/>
  <c r="K1547" i="8" a="1"/>
  <c r="K1547" i="8" s="1"/>
  <c r="J1547" i="8" a="1"/>
  <c r="J1547" i="8" s="1"/>
  <c r="I1547" i="8"/>
  <c r="N1540" i="8" s="1"/>
  <c r="N1551" i="8" s="1"/>
  <c r="K1546" i="8" a="1"/>
  <c r="K1546" i="8" s="1"/>
  <c r="J1546" i="8" a="1"/>
  <c r="J1546" i="8" s="1"/>
  <c r="K1545" i="8" a="1"/>
  <c r="K1545" i="8" s="1"/>
  <c r="J1545" i="8" a="1"/>
  <c r="J1545" i="8" s="1"/>
  <c r="K1544" i="8" a="1"/>
  <c r="K1544" i="8" s="1"/>
  <c r="J1544" i="8" a="1"/>
  <c r="J1544" i="8" s="1"/>
  <c r="K1543" i="8" a="1"/>
  <c r="K1543" i="8" s="1"/>
  <c r="J1543" i="8" a="1"/>
  <c r="J1543" i="8" s="1"/>
  <c r="N1542" i="8"/>
  <c r="K1542" i="8" a="1"/>
  <c r="K1542" i="8" s="1"/>
  <c r="J1542" i="8" a="1"/>
  <c r="J1542" i="8" s="1"/>
  <c r="K1541" i="8" a="1"/>
  <c r="K1541" i="8" s="1"/>
  <c r="J1541" i="8" a="1"/>
  <c r="J1541" i="8" s="1"/>
  <c r="K1540" i="8" a="1"/>
  <c r="K1540" i="8" s="1"/>
  <c r="J1540" i="8" a="1"/>
  <c r="J1540" i="8" s="1"/>
  <c r="K1539" i="8" a="1"/>
  <c r="K1539" i="8" s="1"/>
  <c r="J1539" i="8" a="1"/>
  <c r="J1539" i="8" s="1"/>
  <c r="K1538" i="8" a="1"/>
  <c r="K1538" i="8" s="1"/>
  <c r="J1538" i="8" a="1"/>
  <c r="J1538" i="8" s="1"/>
  <c r="Q1537" i="8"/>
  <c r="P1537" i="8"/>
  <c r="K1537" i="8" a="1"/>
  <c r="K1537" i="8" s="1"/>
  <c r="J1537" i="8" a="1"/>
  <c r="J1537" i="8" s="1"/>
  <c r="I1537" i="8"/>
  <c r="N1529" i="8"/>
  <c r="N1533" i="8" s="1"/>
  <c r="K1523" i="8" a="1"/>
  <c r="K1523" i="8" s="1"/>
  <c r="J1523" i="8" a="1"/>
  <c r="J1523" i="8" s="1"/>
  <c r="K1522" i="8" a="1"/>
  <c r="K1522" i="8" s="1"/>
  <c r="J1522" i="8" a="1"/>
  <c r="J1522" i="8" s="1"/>
  <c r="K1521" i="8" a="1"/>
  <c r="K1521" i="8" s="1"/>
  <c r="J1521" i="8" a="1"/>
  <c r="J1521" i="8" s="1"/>
  <c r="N1520" i="8"/>
  <c r="K1520" i="8" a="1"/>
  <c r="K1520" i="8" s="1"/>
  <c r="J1520" i="8" a="1"/>
  <c r="J1520" i="8" s="1"/>
  <c r="Q1519" i="8"/>
  <c r="P1519" i="8"/>
  <c r="K1519" i="8" a="1"/>
  <c r="K1519" i="8" s="1"/>
  <c r="J1519" i="8" a="1"/>
  <c r="J1519" i="8" s="1"/>
  <c r="I1519" i="8"/>
  <c r="K1508" i="8" a="1"/>
  <c r="K1508" i="8" s="1"/>
  <c r="J1508" i="8" a="1"/>
  <c r="J1508" i="8" s="1"/>
  <c r="K1507" i="8" a="1"/>
  <c r="K1507" i="8" s="1"/>
  <c r="J1507" i="8" a="1"/>
  <c r="J1507" i="8" s="1"/>
  <c r="K1506" i="8" a="1"/>
  <c r="K1506" i="8" s="1"/>
  <c r="J1506" i="8" a="1"/>
  <c r="J1506" i="8" s="1"/>
  <c r="I1506" i="8"/>
  <c r="K1505" i="8" a="1"/>
  <c r="K1505" i="8" s="1"/>
  <c r="J1505" i="8" a="1"/>
  <c r="J1505" i="8" s="1"/>
  <c r="N1504" i="8"/>
  <c r="N1515" i="8" s="1"/>
  <c r="K1504" i="8" a="1"/>
  <c r="K1504" i="8" s="1"/>
  <c r="J1504" i="8" a="1"/>
  <c r="J1504" i="8" s="1"/>
  <c r="K1503" i="8" a="1"/>
  <c r="K1503" i="8" s="1"/>
  <c r="J1503" i="8" a="1"/>
  <c r="J1503" i="8" s="1"/>
  <c r="I1503" i="8"/>
  <c r="N1507" i="8" s="1"/>
  <c r="K1502" i="8" a="1"/>
  <c r="K1502" i="8" s="1"/>
  <c r="J1502" i="8" a="1"/>
  <c r="J1502" i="8" s="1"/>
  <c r="Q1501" i="8"/>
  <c r="P1501" i="8"/>
  <c r="K1501" i="8" a="1"/>
  <c r="K1501" i="8" s="1"/>
  <c r="J1501" i="8" a="1"/>
  <c r="J1501" i="8" s="1"/>
  <c r="N1490" i="8"/>
  <c r="K1488" i="8" a="1"/>
  <c r="K1488" i="8" s="1"/>
  <c r="J1488" i="8" a="1"/>
  <c r="J1488" i="8" s="1"/>
  <c r="K1487" i="8" a="1"/>
  <c r="K1487" i="8" s="1"/>
  <c r="J1487" i="8" a="1"/>
  <c r="J1487" i="8" s="1"/>
  <c r="K1486" i="8" a="1"/>
  <c r="K1486" i="8" s="1"/>
  <c r="J1486" i="8" a="1"/>
  <c r="J1486" i="8" s="1"/>
  <c r="I1486" i="8"/>
  <c r="K1485" i="8" a="1"/>
  <c r="K1485" i="8" s="1"/>
  <c r="J1485" i="8" a="1"/>
  <c r="J1485" i="8" s="1"/>
  <c r="I1485" i="8"/>
  <c r="N1484" i="8"/>
  <c r="N1497" i="8" s="1"/>
  <c r="K1484" i="8" a="1"/>
  <c r="K1484" i="8" s="1"/>
  <c r="J1484" i="8" a="1"/>
  <c r="J1484" i="8" s="1"/>
  <c r="I1484" i="8"/>
  <c r="Q1483" i="8"/>
  <c r="P1483" i="8"/>
  <c r="K1483" i="8" a="1"/>
  <c r="K1483" i="8" s="1"/>
  <c r="J1483" i="8" a="1"/>
  <c r="J1483" i="8" s="1"/>
  <c r="I1483" i="8"/>
  <c r="N1479" i="8"/>
  <c r="N1472" i="8"/>
  <c r="K1471" i="8" a="1"/>
  <c r="K1471" i="8" s="1"/>
  <c r="J1471" i="8" a="1"/>
  <c r="J1471" i="8" s="1"/>
  <c r="I1471" i="8"/>
  <c r="K1470" i="8" a="1"/>
  <c r="K1470" i="8" s="1"/>
  <c r="J1470" i="8" a="1"/>
  <c r="J1470" i="8" s="1"/>
  <c r="H1470" i="8"/>
  <c r="K1469" i="8" a="1"/>
  <c r="K1469" i="8" s="1"/>
  <c r="J1469" i="8" a="1"/>
  <c r="J1469" i="8" s="1"/>
  <c r="H1469" i="8"/>
  <c r="N1468" i="8"/>
  <c r="K1468" i="8" a="1"/>
  <c r="K1468" i="8" s="1"/>
  <c r="J1468" i="8" a="1"/>
  <c r="J1468" i="8" s="1"/>
  <c r="I1468" i="8"/>
  <c r="H1468" i="8"/>
  <c r="K1467" i="8" a="1"/>
  <c r="K1467" i="8" s="1"/>
  <c r="J1467" i="8" a="1"/>
  <c r="J1467" i="8" s="1"/>
  <c r="I1467" i="8"/>
  <c r="H1467" i="8"/>
  <c r="K1466" i="8" a="1"/>
  <c r="K1466" i="8" s="1"/>
  <c r="J1466" i="8" a="1"/>
  <c r="J1466" i="8" s="1"/>
  <c r="I1466" i="8"/>
  <c r="H1466" i="8"/>
  <c r="Q1465" i="8"/>
  <c r="P1465" i="8"/>
  <c r="K1465" i="8" a="1"/>
  <c r="K1465" i="8" s="1"/>
  <c r="J1465" i="8" a="1"/>
  <c r="J1465" i="8" s="1"/>
  <c r="H1465" i="8"/>
  <c r="N1454" i="8"/>
  <c r="N1461" i="8" s="1"/>
  <c r="K1453" i="8" a="1"/>
  <c r="K1453" i="8" s="1"/>
  <c r="J1453" i="8" a="1"/>
  <c r="J1453" i="8" s="1"/>
  <c r="K1452" i="8" a="1"/>
  <c r="K1452" i="8" s="1"/>
  <c r="J1452" i="8" a="1"/>
  <c r="J1452" i="8" s="1"/>
  <c r="K1451" i="8" a="1"/>
  <c r="K1451" i="8" s="1"/>
  <c r="J1451" i="8" a="1"/>
  <c r="J1451" i="8" s="1"/>
  <c r="I1451" i="8"/>
  <c r="K1450" i="8" a="1"/>
  <c r="K1450" i="8" s="1"/>
  <c r="J1450" i="8" a="1"/>
  <c r="J1450" i="8" s="1"/>
  <c r="I1450" i="8"/>
  <c r="K1449" i="8" a="1"/>
  <c r="K1449" i="8" s="1"/>
  <c r="J1449" i="8" a="1"/>
  <c r="J1449" i="8" s="1"/>
  <c r="I1449" i="8"/>
  <c r="K1448" i="8" a="1"/>
  <c r="K1448" i="8" s="1"/>
  <c r="J1448" i="8" a="1"/>
  <c r="J1448" i="8" s="1"/>
  <c r="I1448" i="8"/>
  <c r="Q1447" i="8"/>
  <c r="P1447" i="8"/>
  <c r="K1447" i="8" a="1"/>
  <c r="K1447" i="8" s="1"/>
  <c r="J1447" i="8" a="1"/>
  <c r="J1447" i="8" s="1"/>
  <c r="K1435" i="8" a="1"/>
  <c r="K1435" i="8" s="1"/>
  <c r="J1435" i="8" a="1"/>
  <c r="J1435" i="8" s="1"/>
  <c r="K1434" i="8" a="1"/>
  <c r="K1434" i="8" s="1"/>
  <c r="J1434" i="8" a="1"/>
  <c r="J1434" i="8" s="1"/>
  <c r="K1433" i="8" a="1"/>
  <c r="K1433" i="8" s="1"/>
  <c r="J1433" i="8" a="1"/>
  <c r="J1433" i="8" s="1"/>
  <c r="K1432" i="8" a="1"/>
  <c r="K1432" i="8" s="1"/>
  <c r="J1432" i="8" a="1"/>
  <c r="J1432" i="8" s="1"/>
  <c r="I1432" i="8"/>
  <c r="K1431" i="8" a="1"/>
  <c r="K1431" i="8" s="1"/>
  <c r="J1431" i="8" a="1"/>
  <c r="J1431" i="8" s="1"/>
  <c r="K1430" i="8" a="1"/>
  <c r="K1430" i="8" s="1"/>
  <c r="J1430" i="8" a="1"/>
  <c r="J1430" i="8" s="1"/>
  <c r="I1430" i="8"/>
  <c r="N1435" i="8" s="1"/>
  <c r="N1443" i="8" s="1"/>
  <c r="Q1429" i="8"/>
  <c r="P1429" i="8"/>
  <c r="K1429" i="8" a="1"/>
  <c r="K1429" i="8" s="1"/>
  <c r="J1429" i="8" a="1"/>
  <c r="J1429" i="8" s="1"/>
  <c r="K1418" i="8" a="1"/>
  <c r="K1418" i="8" s="1"/>
  <c r="J1418" i="8" a="1"/>
  <c r="J1418" i="8" s="1"/>
  <c r="N1417" i="8"/>
  <c r="N1425" i="8" s="1"/>
  <c r="K1417" i="8" a="1"/>
  <c r="K1417" i="8" s="1"/>
  <c r="J1417" i="8" a="1"/>
  <c r="J1417" i="8" s="1"/>
  <c r="K1416" i="8" a="1"/>
  <c r="K1416" i="8" s="1"/>
  <c r="J1416" i="8" a="1"/>
  <c r="J1416" i="8" s="1"/>
  <c r="K1415" i="8" a="1"/>
  <c r="K1415" i="8" s="1"/>
  <c r="J1415" i="8" a="1"/>
  <c r="J1415" i="8" s="1"/>
  <c r="K1414" i="8" a="1"/>
  <c r="K1414" i="8" s="1"/>
  <c r="J1414" i="8" a="1"/>
  <c r="J1414" i="8" s="1"/>
  <c r="I1414" i="8"/>
  <c r="K1413" i="8" a="1"/>
  <c r="K1413" i="8" s="1"/>
  <c r="J1413" i="8" a="1"/>
  <c r="J1413" i="8" s="1"/>
  <c r="K1412" i="8" a="1"/>
  <c r="K1412" i="8" s="1"/>
  <c r="J1412" i="8" a="1"/>
  <c r="J1412" i="8" s="1"/>
  <c r="Q1411" i="8"/>
  <c r="P1411" i="8"/>
  <c r="K1411" i="8" a="1"/>
  <c r="K1411" i="8" s="1"/>
  <c r="J1411" i="8" a="1"/>
  <c r="J1411" i="8" s="1"/>
  <c r="I1411" i="8"/>
  <c r="K1400" i="8" a="1"/>
  <c r="K1400" i="8" s="1"/>
  <c r="J1400" i="8" a="1"/>
  <c r="J1400" i="8" s="1"/>
  <c r="I1400" i="8"/>
  <c r="N1399" i="8"/>
  <c r="N1407" i="8" s="1"/>
  <c r="K1399" i="8" a="1"/>
  <c r="K1399" i="8" s="1"/>
  <c r="J1399" i="8" a="1"/>
  <c r="J1399" i="8" s="1"/>
  <c r="K1398" i="8" a="1"/>
  <c r="K1398" i="8" s="1"/>
  <c r="J1398" i="8" a="1"/>
  <c r="J1398" i="8" s="1"/>
  <c r="K1397" i="8" a="1"/>
  <c r="K1397" i="8" s="1"/>
  <c r="J1397" i="8" a="1"/>
  <c r="J1397" i="8" s="1"/>
  <c r="K1396" i="8" a="1"/>
  <c r="K1396" i="8" s="1"/>
  <c r="J1396" i="8" a="1"/>
  <c r="J1396" i="8" s="1"/>
  <c r="I1396" i="8"/>
  <c r="K1395" i="8" a="1"/>
  <c r="K1395" i="8" s="1"/>
  <c r="J1395" i="8" a="1"/>
  <c r="J1395" i="8" s="1"/>
  <c r="K1394" i="8" a="1"/>
  <c r="K1394" i="8" s="1"/>
  <c r="J1394" i="8" a="1"/>
  <c r="J1394" i="8" s="1"/>
  <c r="Q1393" i="8"/>
  <c r="P1393" i="8"/>
  <c r="K1393" i="8" a="1"/>
  <c r="K1393" i="8" s="1"/>
  <c r="J1393" i="8" a="1"/>
  <c r="J1393" i="8" s="1"/>
  <c r="I1393" i="8"/>
  <c r="K1381" i="8" a="1"/>
  <c r="K1381" i="8" s="1"/>
  <c r="J1381" i="8" a="1"/>
  <c r="J1381" i="8" s="1"/>
  <c r="K1380" i="8" a="1"/>
  <c r="K1380" i="8" s="1"/>
  <c r="J1380" i="8" a="1"/>
  <c r="J1380" i="8" s="1"/>
  <c r="K1379" i="8" a="1"/>
  <c r="K1379" i="8" s="1"/>
  <c r="J1379" i="8" a="1"/>
  <c r="J1379" i="8" s="1"/>
  <c r="I1379" i="8"/>
  <c r="K1378" i="8" a="1"/>
  <c r="K1378" i="8" s="1"/>
  <c r="J1378" i="8" a="1"/>
  <c r="J1378" i="8" s="1"/>
  <c r="K1377" i="8" a="1"/>
  <c r="K1377" i="8" s="1"/>
  <c r="J1377" i="8" a="1"/>
  <c r="J1377" i="8" s="1"/>
  <c r="I1377" i="8"/>
  <c r="N1378" i="8" s="1"/>
  <c r="N1389" i="8" s="1"/>
  <c r="K1376" i="8" a="1"/>
  <c r="K1376" i="8" s="1"/>
  <c r="J1376" i="8" a="1"/>
  <c r="J1376" i="8" s="1"/>
  <c r="I1376" i="8"/>
  <c r="Q1375" i="8"/>
  <c r="P1375" i="8"/>
  <c r="K1375" i="8" a="1"/>
  <c r="K1375" i="8" s="1"/>
  <c r="J1375" i="8" a="1"/>
  <c r="J1375" i="8" s="1"/>
  <c r="N1371" i="8"/>
  <c r="K1363" i="8" a="1"/>
  <c r="K1363" i="8" s="1"/>
  <c r="J1363" i="8" a="1"/>
  <c r="J1363" i="8" s="1"/>
  <c r="N1362" i="8"/>
  <c r="K1362" i="8" a="1"/>
  <c r="K1362" i="8" s="1"/>
  <c r="J1362" i="8" a="1"/>
  <c r="J1362" i="8" s="1"/>
  <c r="K1361" i="8" a="1"/>
  <c r="K1361" i="8" s="1"/>
  <c r="J1361" i="8" a="1"/>
  <c r="J1361" i="8" s="1"/>
  <c r="I1361" i="8"/>
  <c r="N1360" i="8"/>
  <c r="K1360" i="8" a="1"/>
  <c r="K1360" i="8" s="1"/>
  <c r="J1360" i="8" a="1"/>
  <c r="J1360" i="8" s="1"/>
  <c r="I1360" i="8"/>
  <c r="K1359" i="8" a="1"/>
  <c r="K1359" i="8" s="1"/>
  <c r="J1359" i="8" a="1"/>
  <c r="J1359" i="8" s="1"/>
  <c r="I1359" i="8"/>
  <c r="K1358" i="8" a="1"/>
  <c r="K1358" i="8" s="1"/>
  <c r="J1358" i="8" a="1"/>
  <c r="J1358" i="8" s="1"/>
  <c r="I1358" i="8"/>
  <c r="Q1357" i="8"/>
  <c r="P1357" i="8"/>
  <c r="K1357" i="8" a="1"/>
  <c r="K1357" i="8" s="1"/>
  <c r="J1357" i="8" a="1"/>
  <c r="J1357" i="8" s="1"/>
  <c r="N1353" i="8"/>
  <c r="N1346" i="8"/>
  <c r="K1343" i="8" a="1"/>
  <c r="K1343" i="8" s="1"/>
  <c r="J1343" i="8" a="1"/>
  <c r="J1343" i="8" s="1"/>
  <c r="K1342" i="8" a="1"/>
  <c r="K1342" i="8" s="1"/>
  <c r="J1342" i="8" a="1"/>
  <c r="J1342" i="8" s="1"/>
  <c r="K1341" i="8" a="1"/>
  <c r="K1341" i="8" s="1"/>
  <c r="J1341" i="8" a="1"/>
  <c r="J1341" i="8" s="1"/>
  <c r="K1340" i="8" a="1"/>
  <c r="K1340" i="8" s="1"/>
  <c r="J1340" i="8" a="1"/>
  <c r="J1340" i="8" s="1"/>
  <c r="I1340" i="8"/>
  <c r="Q1339" i="8"/>
  <c r="P1339" i="8"/>
  <c r="K1339" i="8" a="1"/>
  <c r="K1339" i="8" s="1"/>
  <c r="J1339" i="8" a="1"/>
  <c r="J1339" i="8" s="1"/>
  <c r="N1335" i="8"/>
  <c r="K1327" i="8" a="1"/>
  <c r="K1327" i="8" s="1"/>
  <c r="J1327" i="8" a="1"/>
  <c r="J1327" i="8" s="1"/>
  <c r="I1327" i="8"/>
  <c r="K1326" i="8" a="1"/>
  <c r="K1326" i="8" s="1"/>
  <c r="J1326" i="8" a="1"/>
  <c r="J1326" i="8" s="1"/>
  <c r="K1325" i="8" a="1"/>
  <c r="K1325" i="8" s="1"/>
  <c r="J1325" i="8" a="1"/>
  <c r="J1325" i="8" s="1"/>
  <c r="K1324" i="8" a="1"/>
  <c r="K1324" i="8" s="1"/>
  <c r="J1324" i="8" a="1"/>
  <c r="J1324" i="8" s="1"/>
  <c r="K1323" i="8" a="1"/>
  <c r="K1323" i="8" s="1"/>
  <c r="J1323" i="8" a="1"/>
  <c r="J1323" i="8" s="1"/>
  <c r="I1323" i="8"/>
  <c r="K1322" i="8" a="1"/>
  <c r="K1322" i="8" s="1"/>
  <c r="J1322" i="8" a="1"/>
  <c r="J1322" i="8" s="1"/>
  <c r="I1322" i="8"/>
  <c r="Q1321" i="8"/>
  <c r="P1321" i="8"/>
  <c r="K1321" i="8" a="1"/>
  <c r="K1321" i="8" s="1"/>
  <c r="J1321" i="8" a="1"/>
  <c r="J1321" i="8" s="1"/>
  <c r="K1316" i="8" a="1"/>
  <c r="K1316" i="8" s="1"/>
  <c r="J1316" i="8" a="1"/>
  <c r="J1316" i="8" s="1"/>
  <c r="K1315" i="8" a="1"/>
  <c r="K1315" i="8" s="1"/>
  <c r="J1315" i="8" a="1"/>
  <c r="J1315" i="8" s="1"/>
  <c r="N1314" i="8"/>
  <c r="K1314" i="8" a="1"/>
  <c r="K1314" i="8" s="1"/>
  <c r="J1314" i="8" a="1"/>
  <c r="J1314" i="8" s="1"/>
  <c r="N1313" i="8"/>
  <c r="K1313" i="8" a="1"/>
  <c r="K1313" i="8" s="1"/>
  <c r="J1313" i="8" a="1"/>
  <c r="J1313" i="8" s="1"/>
  <c r="K1312" i="8" a="1"/>
  <c r="K1312" i="8" s="1"/>
  <c r="J1312" i="8" a="1"/>
  <c r="J1312" i="8" s="1"/>
  <c r="I1312" i="8"/>
  <c r="K1311" i="8" a="1"/>
  <c r="K1311" i="8" s="1"/>
  <c r="J1311" i="8" a="1"/>
  <c r="J1311" i="8" s="1"/>
  <c r="K1310" i="8" a="1"/>
  <c r="K1310" i="8" s="1"/>
  <c r="J1310" i="8" a="1"/>
  <c r="J1310" i="8" s="1"/>
  <c r="I1310" i="8"/>
  <c r="K1309" i="8" a="1"/>
  <c r="K1309" i="8" s="1"/>
  <c r="J1309" i="8" a="1"/>
  <c r="J1309" i="8" s="1"/>
  <c r="K1308" i="8" a="1"/>
  <c r="K1308" i="8" s="1"/>
  <c r="J1308" i="8" a="1"/>
  <c r="J1308" i="8" s="1"/>
  <c r="K1307" i="8" a="1"/>
  <c r="K1307" i="8" s="1"/>
  <c r="J1307" i="8" a="1"/>
  <c r="J1307" i="8" s="1"/>
  <c r="K1306" i="8" a="1"/>
  <c r="K1306" i="8" s="1"/>
  <c r="J1306" i="8" a="1"/>
  <c r="J1306" i="8" s="1"/>
  <c r="N1305" i="8"/>
  <c r="K1305" i="8" a="1"/>
  <c r="K1305" i="8" s="1"/>
  <c r="J1305" i="8" a="1"/>
  <c r="J1305" i="8" s="1"/>
  <c r="I1305" i="8"/>
  <c r="N1310" i="8" s="1"/>
  <c r="N1318" i="8" s="1"/>
  <c r="Q1304" i="8"/>
  <c r="P1304" i="8"/>
  <c r="K1304" i="8" a="1"/>
  <c r="K1304" i="8" s="1"/>
  <c r="J1304" i="8" a="1"/>
  <c r="J1304" i="8" s="1"/>
  <c r="K1293" i="8" a="1"/>
  <c r="K1293" i="8" s="1"/>
  <c r="J1293" i="8" a="1"/>
  <c r="J1293" i="8" s="1"/>
  <c r="K1292" i="8" a="1"/>
  <c r="K1292" i="8" s="1"/>
  <c r="J1292" i="8" a="1"/>
  <c r="J1292" i="8" s="1"/>
  <c r="K1291" i="8" a="1"/>
  <c r="K1291" i="8" s="1"/>
  <c r="J1291" i="8" a="1"/>
  <c r="J1291" i="8" s="1"/>
  <c r="K1290" i="8" a="1"/>
  <c r="K1290" i="8" s="1"/>
  <c r="J1290" i="8" a="1"/>
  <c r="J1290" i="8" s="1"/>
  <c r="I1290" i="8"/>
  <c r="K1289" i="8" a="1"/>
  <c r="K1289" i="8" s="1"/>
  <c r="J1289" i="8" a="1"/>
  <c r="J1289" i="8" s="1"/>
  <c r="I1289" i="8"/>
  <c r="K1288" i="8" a="1"/>
  <c r="K1288" i="8" s="1"/>
  <c r="J1288" i="8" a="1"/>
  <c r="J1288" i="8" s="1"/>
  <c r="K1287" i="8" a="1"/>
  <c r="K1287" i="8" s="1"/>
  <c r="J1287" i="8" a="1"/>
  <c r="J1287" i="8" s="1"/>
  <c r="I1287" i="8"/>
  <c r="N1292" i="8" s="1"/>
  <c r="N1300" i="8" s="1"/>
  <c r="Q1286" i="8"/>
  <c r="P1286" i="8"/>
  <c r="K1286" i="8" a="1"/>
  <c r="K1286" i="8" s="1"/>
  <c r="J1286" i="8" a="1"/>
  <c r="J1286" i="8" s="1"/>
  <c r="N1282" i="8"/>
  <c r="K1274" i="8" a="1"/>
  <c r="K1274" i="8" s="1"/>
  <c r="J1274" i="8" a="1"/>
  <c r="J1274" i="8" s="1"/>
  <c r="K1273" i="8" a="1"/>
  <c r="K1273" i="8" s="1"/>
  <c r="J1273" i="8" a="1"/>
  <c r="J1273" i="8" s="1"/>
  <c r="K1272" i="8" a="1"/>
  <c r="K1272" i="8" s="1"/>
  <c r="J1272" i="8" a="1"/>
  <c r="J1272" i="8" s="1"/>
  <c r="K1271" i="8" a="1"/>
  <c r="K1271" i="8" s="1"/>
  <c r="J1271" i="8" a="1"/>
  <c r="J1271" i="8" s="1"/>
  <c r="I1271" i="8"/>
  <c r="K1270" i="8" a="1"/>
  <c r="K1270" i="8" s="1"/>
  <c r="J1270" i="8" a="1"/>
  <c r="J1270" i="8" s="1"/>
  <c r="K1269" i="8" a="1"/>
  <c r="K1269" i="8" s="1"/>
  <c r="J1269" i="8" a="1"/>
  <c r="J1269" i="8" s="1"/>
  <c r="I1269" i="8"/>
  <c r="Q1268" i="8"/>
  <c r="P1268" i="8"/>
  <c r="K1268" i="8" a="1"/>
  <c r="K1268" i="8" s="1"/>
  <c r="J1268" i="8" a="1"/>
  <c r="J1268" i="8" s="1"/>
  <c r="I1268" i="8"/>
  <c r="N1264" i="8"/>
  <c r="K1259" i="8" a="1"/>
  <c r="K1259" i="8" s="1"/>
  <c r="J1259" i="8" a="1"/>
  <c r="J1259" i="8" s="1"/>
  <c r="I1259" i="8"/>
  <c r="K1258" i="8" a="1"/>
  <c r="K1258" i="8" s="1"/>
  <c r="J1258" i="8" a="1"/>
  <c r="J1258" i="8" s="1"/>
  <c r="I1258" i="8"/>
  <c r="K1257" i="8" a="1"/>
  <c r="K1257" i="8" s="1"/>
  <c r="J1257" i="8" a="1"/>
  <c r="J1257" i="8" s="1"/>
  <c r="I1257" i="8"/>
  <c r="K1256" i="8" a="1"/>
  <c r="K1256" i="8" s="1"/>
  <c r="J1256" i="8" a="1"/>
  <c r="J1256" i="8" s="1"/>
  <c r="I1256" i="8"/>
  <c r="K1255" i="8" a="1"/>
  <c r="K1255" i="8" s="1"/>
  <c r="J1255" i="8" a="1"/>
  <c r="J1255" i="8" s="1"/>
  <c r="I1255" i="8"/>
  <c r="K1254" i="8" a="1"/>
  <c r="K1254" i="8" s="1"/>
  <c r="J1254" i="8" a="1"/>
  <c r="J1254" i="8" s="1"/>
  <c r="I1254" i="8"/>
  <c r="K1253" i="8" a="1"/>
  <c r="K1253" i="8" s="1"/>
  <c r="J1253" i="8" a="1"/>
  <c r="J1253" i="8" s="1"/>
  <c r="K1252" i="8" a="1"/>
  <c r="K1252" i="8" s="1"/>
  <c r="J1252" i="8" a="1"/>
  <c r="J1252" i="8" s="1"/>
  <c r="I1252" i="8"/>
  <c r="K1251" i="8" a="1"/>
  <c r="K1251" i="8" s="1"/>
  <c r="J1251" i="8" a="1"/>
  <c r="J1251" i="8" s="1"/>
  <c r="Q1250" i="8"/>
  <c r="P1250" i="8"/>
  <c r="K1250" i="8" a="1"/>
  <c r="K1250" i="8" s="1"/>
  <c r="J1250" i="8" a="1"/>
  <c r="J1250" i="8" s="1"/>
  <c r="N1237" i="8"/>
  <c r="N1246" i="8" s="1"/>
  <c r="K1233" i="8" a="1"/>
  <c r="K1233" i="8" s="1"/>
  <c r="J1233" i="8" a="1"/>
  <c r="J1233" i="8" s="1"/>
  <c r="Q1232" i="8"/>
  <c r="P1232" i="8"/>
  <c r="K1232" i="8" a="1"/>
  <c r="K1232" i="8" s="1"/>
  <c r="J1232" i="8" a="1"/>
  <c r="J1232" i="8" s="1"/>
  <c r="I1232" i="8"/>
  <c r="N1220" i="8"/>
  <c r="N1228" i="8" s="1"/>
  <c r="K1218" i="8" a="1"/>
  <c r="K1218" i="8" s="1"/>
  <c r="J1218" i="8" a="1"/>
  <c r="J1218" i="8" s="1"/>
  <c r="K1217" i="8" a="1"/>
  <c r="K1217" i="8" s="1"/>
  <c r="J1217" i="8" a="1"/>
  <c r="J1217" i="8" s="1"/>
  <c r="K1216" i="8" a="1"/>
  <c r="K1216" i="8" s="1"/>
  <c r="J1216" i="8" a="1"/>
  <c r="J1216" i="8" s="1"/>
  <c r="I1216" i="8"/>
  <c r="K1215" i="8" a="1"/>
  <c r="K1215" i="8" s="1"/>
  <c r="J1215" i="8" a="1"/>
  <c r="J1215" i="8" s="1"/>
  <c r="I1215" i="8"/>
  <c r="Q1214" i="8"/>
  <c r="P1214" i="8"/>
  <c r="K1214" i="8" a="1"/>
  <c r="K1214" i="8" s="1"/>
  <c r="J1214" i="8" a="1"/>
  <c r="J1214" i="8" s="1"/>
  <c r="I1214" i="8"/>
  <c r="N1206" i="8"/>
  <c r="N1205" i="8"/>
  <c r="K1202" i="8" a="1"/>
  <c r="K1202" i="8" s="1"/>
  <c r="J1202" i="8" a="1"/>
  <c r="J1202" i="8" s="1"/>
  <c r="I1202" i="8"/>
  <c r="K1201" i="8" a="1"/>
  <c r="K1201" i="8" s="1"/>
  <c r="J1201" i="8" a="1"/>
  <c r="J1201" i="8" s="1"/>
  <c r="I1201" i="8"/>
  <c r="K1200" i="8" a="1"/>
  <c r="K1200" i="8" s="1"/>
  <c r="J1200" i="8" a="1"/>
  <c r="J1200" i="8" s="1"/>
  <c r="I1200" i="8"/>
  <c r="K1199" i="8" a="1"/>
  <c r="K1199" i="8" s="1"/>
  <c r="J1199" i="8" a="1"/>
  <c r="J1199" i="8" s="1"/>
  <c r="K1198" i="8" a="1"/>
  <c r="K1198" i="8" s="1"/>
  <c r="J1198" i="8" a="1"/>
  <c r="J1198" i="8" s="1"/>
  <c r="I1198" i="8"/>
  <c r="N1202" i="8" s="1"/>
  <c r="N1210" i="8" s="1"/>
  <c r="K1197" i="8" a="1"/>
  <c r="K1197" i="8" s="1"/>
  <c r="J1197" i="8" a="1"/>
  <c r="J1197" i="8" s="1"/>
  <c r="Q1196" i="8"/>
  <c r="P1196" i="8"/>
  <c r="K1196" i="8" a="1"/>
  <c r="K1196" i="8" s="1"/>
  <c r="J1196" i="8" a="1"/>
  <c r="J1196" i="8" s="1"/>
  <c r="K1185" i="8" a="1"/>
  <c r="K1185" i="8" s="1"/>
  <c r="J1185" i="8" a="1"/>
  <c r="J1185" i="8" s="1"/>
  <c r="K1184" i="8" a="1"/>
  <c r="K1184" i="8" s="1"/>
  <c r="J1184" i="8" a="1"/>
  <c r="J1184" i="8" s="1"/>
  <c r="K1183" i="8" a="1"/>
  <c r="K1183" i="8" s="1"/>
  <c r="J1183" i="8" a="1"/>
  <c r="J1183" i="8" s="1"/>
  <c r="I1183" i="8"/>
  <c r="K1182" i="8" a="1"/>
  <c r="K1182" i="8" s="1"/>
  <c r="J1182" i="8" a="1"/>
  <c r="J1182" i="8" s="1"/>
  <c r="I1182" i="8"/>
  <c r="N1181" i="8"/>
  <c r="K1181" i="8" a="1"/>
  <c r="K1181" i="8" s="1"/>
  <c r="J1181" i="8" a="1"/>
  <c r="J1181" i="8" s="1"/>
  <c r="I1181" i="8"/>
  <c r="K1180" i="8" a="1"/>
  <c r="K1180" i="8" s="1"/>
  <c r="J1180" i="8" a="1"/>
  <c r="J1180" i="8" s="1"/>
  <c r="N1179" i="8"/>
  <c r="N1192" i="8" s="1"/>
  <c r="K1179" i="8" a="1"/>
  <c r="K1179" i="8" s="1"/>
  <c r="J1179" i="8" a="1"/>
  <c r="J1179" i="8" s="1"/>
  <c r="Q1178" i="8"/>
  <c r="P1178" i="8"/>
  <c r="J1178" i="8" a="1"/>
  <c r="J1178" i="8" s="1"/>
  <c r="K1165" i="8" a="1"/>
  <c r="K1165" i="8" s="1"/>
  <c r="J1165" i="8" a="1"/>
  <c r="J1165" i="8" s="1"/>
  <c r="I1165" i="8"/>
  <c r="K1164" i="8" a="1"/>
  <c r="K1164" i="8" s="1"/>
  <c r="J1164" i="8" a="1"/>
  <c r="J1164" i="8" s="1"/>
  <c r="N1163" i="8"/>
  <c r="K1163" i="8" a="1"/>
  <c r="K1163" i="8" s="1"/>
  <c r="J1163" i="8" a="1"/>
  <c r="J1163" i="8" s="1"/>
  <c r="K1162" i="8" a="1"/>
  <c r="K1162" i="8" s="1"/>
  <c r="J1162" i="8" a="1"/>
  <c r="J1162" i="8" s="1"/>
  <c r="K1161" i="8" a="1"/>
  <c r="K1161" i="8" s="1"/>
  <c r="J1161" i="8" a="1"/>
  <c r="J1161" i="8" s="1"/>
  <c r="I1161" i="8"/>
  <c r="N1166" i="8" s="1"/>
  <c r="Q1160" i="8"/>
  <c r="P1160" i="8"/>
  <c r="K1160" i="8" a="1"/>
  <c r="K1160" i="8" s="1"/>
  <c r="J1160" i="8" a="1"/>
  <c r="J1160" i="8" s="1"/>
  <c r="N1147" i="8"/>
  <c r="K1146" i="8" a="1"/>
  <c r="K1146" i="8" s="1"/>
  <c r="J1146" i="8" a="1"/>
  <c r="J1146" i="8" s="1"/>
  <c r="N1145" i="8"/>
  <c r="N1156" i="8" s="1"/>
  <c r="K1145" i="8" a="1"/>
  <c r="K1145" i="8" s="1"/>
  <c r="J1145" i="8" a="1"/>
  <c r="J1145" i="8" s="1"/>
  <c r="I1145" i="8"/>
  <c r="K1144" i="8" a="1"/>
  <c r="K1144" i="8" s="1"/>
  <c r="J1144" i="8" a="1"/>
  <c r="J1144" i="8" s="1"/>
  <c r="I1144" i="8"/>
  <c r="K1143" i="8" a="1"/>
  <c r="K1143" i="8" s="1"/>
  <c r="J1143" i="8" a="1"/>
  <c r="J1143" i="8" s="1"/>
  <c r="Q1142" i="8"/>
  <c r="P1142" i="8"/>
  <c r="K1142" i="8" a="1"/>
  <c r="K1142" i="8" s="1"/>
  <c r="J1142" i="8" a="1"/>
  <c r="J1142" i="8" s="1"/>
  <c r="N1138" i="8"/>
  <c r="N1130" i="8"/>
  <c r="K1125" i="8" a="1"/>
  <c r="K1125" i="8" s="1"/>
  <c r="J1125" i="8" a="1"/>
  <c r="J1125" i="8" s="1"/>
  <c r="Q1124" i="8"/>
  <c r="P1124" i="8"/>
  <c r="K1124" i="8" a="1"/>
  <c r="K1124" i="8" s="1"/>
  <c r="J1124" i="8" a="1"/>
  <c r="J1124" i="8" s="1"/>
  <c r="K1119" i="8" a="1"/>
  <c r="K1119" i="8" s="1"/>
  <c r="J1119" i="8" a="1"/>
  <c r="J1119" i="8" s="1"/>
  <c r="K1118" i="8" a="1"/>
  <c r="K1118" i="8" s="1"/>
  <c r="J1118" i="8" a="1"/>
  <c r="J1118" i="8" s="1"/>
  <c r="I1118" i="8"/>
  <c r="N1117" i="8"/>
  <c r="K1117" i="8" a="1"/>
  <c r="K1117" i="8" s="1"/>
  <c r="J1117" i="8" a="1"/>
  <c r="J1117" i="8" s="1"/>
  <c r="I1117" i="8"/>
  <c r="K1116" i="8" a="1"/>
  <c r="K1116" i="8" s="1"/>
  <c r="J1116" i="8" a="1"/>
  <c r="J1116" i="8" s="1"/>
  <c r="K1115" i="8" a="1"/>
  <c r="K1115" i="8" s="1"/>
  <c r="J1115" i="8" a="1"/>
  <c r="J1115" i="8" s="1"/>
  <c r="K1114" i="8" a="1"/>
  <c r="K1114" i="8" s="1"/>
  <c r="J1114" i="8" a="1"/>
  <c r="J1114" i="8" s="1"/>
  <c r="K1113" i="8" a="1"/>
  <c r="K1113" i="8" s="1"/>
  <c r="J1113" i="8" a="1"/>
  <c r="J1113" i="8" s="1"/>
  <c r="K1112" i="8" a="1"/>
  <c r="K1112" i="8" s="1"/>
  <c r="J1112" i="8" a="1"/>
  <c r="J1112" i="8" s="1"/>
  <c r="I1112" i="8"/>
  <c r="K1111" i="8" a="1"/>
  <c r="K1111" i="8" s="1"/>
  <c r="J1111" i="8" a="1"/>
  <c r="J1111" i="8" s="1"/>
  <c r="I1111" i="8"/>
  <c r="K1110" i="8" a="1"/>
  <c r="K1110" i="8" s="1"/>
  <c r="J1110" i="8" a="1"/>
  <c r="J1110" i="8" s="1"/>
  <c r="I1110" i="8"/>
  <c r="K1109" i="8" a="1"/>
  <c r="K1109" i="8" s="1"/>
  <c r="J1109" i="8" a="1"/>
  <c r="J1109" i="8" s="1"/>
  <c r="K1108" i="8" a="1"/>
  <c r="K1108" i="8" s="1"/>
  <c r="J1108" i="8" a="1"/>
  <c r="J1108" i="8" s="1"/>
  <c r="I1108" i="8"/>
  <c r="Q1107" i="8"/>
  <c r="P1107" i="8"/>
  <c r="K1107" i="8" a="1"/>
  <c r="K1107" i="8" s="1"/>
  <c r="J1107" i="8" a="1"/>
  <c r="J1107" i="8" s="1"/>
  <c r="I1107" i="8"/>
  <c r="N1113" i="8" s="1"/>
  <c r="N1121" i="8" s="1"/>
  <c r="K1101" i="8" a="1"/>
  <c r="K1101" i="8" s="1"/>
  <c r="J1101" i="8" a="1"/>
  <c r="J1101" i="8" s="1"/>
  <c r="K1100" i="8" a="1"/>
  <c r="K1100" i="8" s="1"/>
  <c r="J1100" i="8" a="1"/>
  <c r="J1100" i="8" s="1"/>
  <c r="K1099" i="8" a="1"/>
  <c r="K1099" i="8" s="1"/>
  <c r="J1099" i="8" a="1"/>
  <c r="J1099" i="8" s="1"/>
  <c r="K1098" i="8" a="1"/>
  <c r="K1098" i="8" s="1"/>
  <c r="J1098" i="8" a="1"/>
  <c r="J1098" i="8" s="1"/>
  <c r="K1097" i="8" a="1"/>
  <c r="K1097" i="8" s="1"/>
  <c r="J1097" i="8" a="1"/>
  <c r="J1097" i="8" s="1"/>
  <c r="I1097" i="8"/>
  <c r="K1096" i="8" a="1"/>
  <c r="K1096" i="8" s="1"/>
  <c r="J1096" i="8" a="1"/>
  <c r="J1096" i="8" s="1"/>
  <c r="I1096" i="8"/>
  <c r="N1095" i="8"/>
  <c r="K1095" i="8" a="1"/>
  <c r="K1095" i="8" s="1"/>
  <c r="J1095" i="8" a="1"/>
  <c r="J1095" i="8" s="1"/>
  <c r="I1095" i="8"/>
  <c r="K1094" i="8" a="1"/>
  <c r="K1094" i="8" s="1"/>
  <c r="J1094" i="8" a="1"/>
  <c r="J1094" i="8" s="1"/>
  <c r="I1094" i="8"/>
  <c r="K1093" i="8" a="1"/>
  <c r="K1093" i="8" s="1"/>
  <c r="J1093" i="8" a="1"/>
  <c r="J1093" i="8" s="1"/>
  <c r="I1093" i="8"/>
  <c r="K1092" i="8" a="1"/>
  <c r="K1092" i="8" s="1"/>
  <c r="J1092" i="8" a="1"/>
  <c r="J1092" i="8" s="1"/>
  <c r="I1092" i="8"/>
  <c r="K1091" i="8" a="1"/>
  <c r="K1091" i="8" s="1"/>
  <c r="J1091" i="8" a="1"/>
  <c r="J1091" i="8" s="1"/>
  <c r="K1090" i="8" a="1"/>
  <c r="K1090" i="8" s="1"/>
  <c r="J1090" i="8" a="1"/>
  <c r="J1090" i="8" s="1"/>
  <c r="K1089" i="8" a="1"/>
  <c r="K1089" i="8" s="1"/>
  <c r="J1089" i="8" a="1"/>
  <c r="J1089" i="8" s="1"/>
  <c r="N1088" i="8"/>
  <c r="N1103" i="8" s="1"/>
  <c r="K1088" i="8" a="1"/>
  <c r="K1088" i="8" s="1"/>
  <c r="J1088" i="8" a="1"/>
  <c r="J1088" i="8" s="1"/>
  <c r="K1087" i="8" a="1"/>
  <c r="K1087" i="8" s="1"/>
  <c r="J1087" i="8" a="1"/>
  <c r="J1087" i="8" s="1"/>
  <c r="K1086" i="8" a="1"/>
  <c r="K1086" i="8" s="1"/>
  <c r="J1086" i="8" a="1"/>
  <c r="J1086" i="8" s="1"/>
  <c r="I1086" i="8"/>
  <c r="Q1085" i="8"/>
  <c r="P1085" i="8"/>
  <c r="K1085" i="8" a="1"/>
  <c r="K1085" i="8" s="1"/>
  <c r="J1085" i="8" a="1"/>
  <c r="J1085" i="8" s="1"/>
  <c r="K1080" i="8" a="1"/>
  <c r="K1080" i="8" s="1"/>
  <c r="J1080" i="8" a="1"/>
  <c r="J1080" i="8" s="1"/>
  <c r="K1079" i="8" a="1"/>
  <c r="K1079" i="8" s="1"/>
  <c r="J1079" i="8" a="1"/>
  <c r="J1079" i="8" s="1"/>
  <c r="K1078" i="8" a="1"/>
  <c r="K1078" i="8" s="1"/>
  <c r="J1078" i="8" a="1"/>
  <c r="J1078" i="8" s="1"/>
  <c r="I1078" i="8"/>
  <c r="K1077" i="8" a="1"/>
  <c r="K1077" i="8" s="1"/>
  <c r="J1077" i="8" a="1"/>
  <c r="J1077" i="8" s="1"/>
  <c r="I1077" i="8"/>
  <c r="K1076" i="8" a="1"/>
  <c r="K1076" i="8" s="1"/>
  <c r="J1076" i="8" a="1"/>
  <c r="J1076" i="8" s="1"/>
  <c r="I1076" i="8"/>
  <c r="K1075" i="8" a="1"/>
  <c r="K1075" i="8" s="1"/>
  <c r="J1075" i="8" a="1"/>
  <c r="J1075" i="8" s="1"/>
  <c r="I1075" i="8"/>
  <c r="K1074" i="8" a="1"/>
  <c r="K1074" i="8" s="1"/>
  <c r="J1074" i="8" a="1"/>
  <c r="J1074" i="8" s="1"/>
  <c r="K1073" i="8" a="1"/>
  <c r="K1073" i="8" s="1"/>
  <c r="J1073" i="8" a="1"/>
  <c r="J1073" i="8" s="1"/>
  <c r="N1072" i="8"/>
  <c r="K1072" i="8" a="1"/>
  <c r="K1072" i="8" s="1"/>
  <c r="J1072" i="8" a="1"/>
  <c r="J1072" i="8" s="1"/>
  <c r="I1072" i="8"/>
  <c r="K1071" i="8" a="1"/>
  <c r="K1071" i="8" s="1"/>
  <c r="J1071" i="8" a="1"/>
  <c r="J1071" i="8" s="1"/>
  <c r="I1071" i="8"/>
  <c r="K1070" i="8" a="1"/>
  <c r="K1070" i="8" s="1"/>
  <c r="J1070" i="8" a="1"/>
  <c r="J1070" i="8" s="1"/>
  <c r="K1069" i="8" a="1"/>
  <c r="K1069" i="8" s="1"/>
  <c r="J1069" i="8" a="1"/>
  <c r="J1069" i="8" s="1"/>
  <c r="N1068" i="8"/>
  <c r="K1068" i="8" a="1"/>
  <c r="K1068" i="8" s="1"/>
  <c r="J1068" i="8" a="1"/>
  <c r="J1068" i="8" s="1"/>
  <c r="K1067" i="8" a="1"/>
  <c r="K1067" i="8" s="1"/>
  <c r="J1067" i="8" a="1"/>
  <c r="J1067" i="8" s="1"/>
  <c r="I1067" i="8"/>
  <c r="N1071" i="8" s="1"/>
  <c r="N1066" i="8"/>
  <c r="K1066" i="8" a="1"/>
  <c r="K1066" i="8" s="1"/>
  <c r="J1066" i="8" a="1"/>
  <c r="J1066" i="8" s="1"/>
  <c r="I1066" i="8"/>
  <c r="Q1065" i="8"/>
  <c r="P1065" i="8"/>
  <c r="K1065" i="8" a="1"/>
  <c r="K1065" i="8" s="1"/>
  <c r="J1065" i="8" a="1"/>
  <c r="J1065" i="8" s="1"/>
  <c r="I1065" i="8"/>
  <c r="K1059" i="8" a="1"/>
  <c r="K1059" i="8" s="1"/>
  <c r="J1059" i="8" a="1"/>
  <c r="J1059" i="8" s="1"/>
  <c r="K1058" i="8" a="1"/>
  <c r="K1058" i="8" s="1"/>
  <c r="J1058" i="8" a="1"/>
  <c r="J1058" i="8" s="1"/>
  <c r="K1057" i="8" a="1"/>
  <c r="K1057" i="8" s="1"/>
  <c r="J1057" i="8" a="1"/>
  <c r="J1057" i="8" s="1"/>
  <c r="K1056" i="8" a="1"/>
  <c r="K1056" i="8" s="1"/>
  <c r="J1056" i="8" a="1"/>
  <c r="J1056" i="8" s="1"/>
  <c r="K1055" i="8" a="1"/>
  <c r="K1055" i="8" s="1"/>
  <c r="J1055" i="8" a="1"/>
  <c r="J1055" i="8" s="1"/>
  <c r="K1054" i="8" a="1"/>
  <c r="K1054" i="8" s="1"/>
  <c r="J1054" i="8" a="1"/>
  <c r="J1054" i="8" s="1"/>
  <c r="I1054" i="8"/>
  <c r="K1053" i="8" a="1"/>
  <c r="K1053" i="8" s="1"/>
  <c r="J1053" i="8" a="1"/>
  <c r="J1053" i="8" s="1"/>
  <c r="K1052" i="8" a="1"/>
  <c r="K1052" i="8" s="1"/>
  <c r="J1052" i="8" a="1"/>
  <c r="J1052" i="8" s="1"/>
  <c r="I1052" i="8"/>
  <c r="K1051" i="8" a="1"/>
  <c r="K1051" i="8" s="1"/>
  <c r="J1051" i="8" a="1"/>
  <c r="J1051" i="8" s="1"/>
  <c r="I1051" i="8"/>
  <c r="K1050" i="8" a="1"/>
  <c r="K1050" i="8" s="1"/>
  <c r="J1050" i="8" a="1"/>
  <c r="J1050" i="8" s="1"/>
  <c r="I1050" i="8"/>
  <c r="N1050" i="8" s="1"/>
  <c r="N1061" i="8" s="1"/>
  <c r="N1049" i="8"/>
  <c r="K1049" i="8" a="1"/>
  <c r="K1049" i="8" s="1"/>
  <c r="J1049" i="8" a="1"/>
  <c r="J1049" i="8" s="1"/>
  <c r="K1048" i="8" a="1"/>
  <c r="K1048" i="8" s="1"/>
  <c r="J1048" i="8" a="1"/>
  <c r="J1048" i="8" s="1"/>
  <c r="K1047" i="8" a="1"/>
  <c r="K1047" i="8" s="1"/>
  <c r="J1047" i="8" a="1"/>
  <c r="J1047" i="8" s="1"/>
  <c r="K1046" i="8" a="1"/>
  <c r="K1046" i="8" s="1"/>
  <c r="J1046" i="8" a="1"/>
  <c r="J1046" i="8" s="1"/>
  <c r="N1045" i="8"/>
  <c r="K1045" i="8" a="1"/>
  <c r="K1045" i="8" s="1"/>
  <c r="J1045" i="8" a="1"/>
  <c r="J1045" i="8" s="1"/>
  <c r="I1045" i="8"/>
  <c r="Q1044" i="8"/>
  <c r="P1044" i="8"/>
  <c r="K1044" i="8" a="1"/>
  <c r="K1044" i="8" s="1"/>
  <c r="J1044" i="8" a="1"/>
  <c r="J1044" i="8" s="1"/>
  <c r="K1033" i="8" a="1"/>
  <c r="K1033" i="8" s="1"/>
  <c r="J1033" i="8" a="1"/>
  <c r="J1033" i="8" s="1"/>
  <c r="K1032" i="8" a="1"/>
  <c r="K1032" i="8" s="1"/>
  <c r="J1032" i="8" a="1"/>
  <c r="J1032" i="8" s="1"/>
  <c r="N1031" i="8"/>
  <c r="K1031" i="8" a="1"/>
  <c r="K1031" i="8" s="1"/>
  <c r="J1031" i="8" a="1"/>
  <c r="J1031" i="8" s="1"/>
  <c r="K1030" i="8" a="1"/>
  <c r="K1030" i="8" s="1"/>
  <c r="J1030" i="8" a="1"/>
  <c r="J1030" i="8" s="1"/>
  <c r="I1030" i="8"/>
  <c r="N1029" i="8"/>
  <c r="N1040" i="8" s="1"/>
  <c r="K1029" i="8" a="1"/>
  <c r="K1029" i="8" s="1"/>
  <c r="J1029" i="8" a="1"/>
  <c r="J1029" i="8" s="1"/>
  <c r="I1029" i="8"/>
  <c r="K1028" i="8" a="1"/>
  <c r="K1028" i="8" s="1"/>
  <c r="J1028" i="8" a="1"/>
  <c r="J1028" i="8" s="1"/>
  <c r="I1028" i="8"/>
  <c r="K1027" i="8" a="1"/>
  <c r="K1027" i="8" s="1"/>
  <c r="J1027" i="8" a="1"/>
  <c r="J1027" i="8" s="1"/>
  <c r="Q1026" i="8"/>
  <c r="P1026" i="8"/>
  <c r="K1026" i="8" a="1"/>
  <c r="K1026" i="8" s="1"/>
  <c r="J1026" i="8" a="1"/>
  <c r="J1026" i="8" s="1"/>
  <c r="K1020" i="8" a="1"/>
  <c r="K1020" i="8" s="1"/>
  <c r="J1020" i="8" a="1"/>
  <c r="J1020" i="8" s="1"/>
  <c r="K1019" i="8" a="1"/>
  <c r="K1019" i="8" s="1"/>
  <c r="J1019" i="8" a="1"/>
  <c r="J1019" i="8" s="1"/>
  <c r="K1018" i="8" a="1"/>
  <c r="K1018" i="8" s="1"/>
  <c r="J1018" i="8" a="1"/>
  <c r="J1018" i="8" s="1"/>
  <c r="K1017" i="8" a="1"/>
  <c r="K1017" i="8" s="1"/>
  <c r="J1017" i="8" a="1"/>
  <c r="J1017" i="8" s="1"/>
  <c r="K1016" i="8" a="1"/>
  <c r="K1016" i="8" s="1"/>
  <c r="J1016" i="8" a="1"/>
  <c r="J1016" i="8" s="1"/>
  <c r="K1015" i="8" a="1"/>
  <c r="K1015" i="8" s="1"/>
  <c r="J1015" i="8" a="1"/>
  <c r="J1015" i="8" s="1"/>
  <c r="K1014" i="8" a="1"/>
  <c r="K1014" i="8" s="1"/>
  <c r="J1014" i="8" a="1"/>
  <c r="J1014" i="8" s="1"/>
  <c r="K1013" i="8" a="1"/>
  <c r="K1013" i="8" s="1"/>
  <c r="J1013" i="8" a="1"/>
  <c r="J1013" i="8" s="1"/>
  <c r="I1013" i="8"/>
  <c r="K1012" i="8" a="1"/>
  <c r="K1012" i="8" s="1"/>
  <c r="J1012" i="8" a="1"/>
  <c r="J1012" i="8" s="1"/>
  <c r="N1011" i="8"/>
  <c r="K1011" i="8" a="1"/>
  <c r="K1011" i="8" s="1"/>
  <c r="J1011" i="8" a="1"/>
  <c r="J1011" i="8" s="1"/>
  <c r="N1010" i="8"/>
  <c r="K1010" i="8" a="1"/>
  <c r="K1010" i="8" s="1"/>
  <c r="J1010" i="8" a="1"/>
  <c r="J1010" i="8" s="1"/>
  <c r="I1010" i="8"/>
  <c r="K1009" i="8" a="1"/>
  <c r="K1009" i="8" s="1"/>
  <c r="J1009" i="8" a="1"/>
  <c r="J1009" i="8" s="1"/>
  <c r="I1009" i="8"/>
  <c r="N1008" i="8"/>
  <c r="N1022" i="8" s="1"/>
  <c r="K1008" i="8" a="1"/>
  <c r="K1008" i="8" s="1"/>
  <c r="J1008" i="8" a="1"/>
  <c r="J1008" i="8" s="1"/>
  <c r="I1008" i="8"/>
  <c r="K1007" i="8" a="1"/>
  <c r="K1007" i="8" s="1"/>
  <c r="J1007" i="8" a="1"/>
  <c r="J1007" i="8" s="1"/>
  <c r="K1006" i="8" a="1"/>
  <c r="K1006" i="8" s="1"/>
  <c r="J1006" i="8" a="1"/>
  <c r="J1006" i="8" s="1"/>
  <c r="Q1005" i="8"/>
  <c r="P1005" i="8"/>
  <c r="K1005" i="8" a="1"/>
  <c r="K1005" i="8" s="1"/>
  <c r="J1005" i="8" a="1"/>
  <c r="J1005" i="8" s="1"/>
  <c r="K999" i="8" a="1"/>
  <c r="K999" i="8" s="1"/>
  <c r="J999" i="8" a="1"/>
  <c r="J999" i="8" s="1"/>
  <c r="K998" i="8" a="1"/>
  <c r="K998" i="8" s="1"/>
  <c r="J998" i="8" a="1"/>
  <c r="J998" i="8" s="1"/>
  <c r="K997" i="8" a="1"/>
  <c r="K997" i="8" s="1"/>
  <c r="J997" i="8" a="1"/>
  <c r="J997" i="8" s="1"/>
  <c r="K996" i="8" a="1"/>
  <c r="K996" i="8" s="1"/>
  <c r="J996" i="8" a="1"/>
  <c r="J996" i="8" s="1"/>
  <c r="K995" i="8" a="1"/>
  <c r="K995" i="8" s="1"/>
  <c r="J995" i="8" a="1"/>
  <c r="J995" i="8" s="1"/>
  <c r="I995" i="8"/>
  <c r="N991" i="8" s="1"/>
  <c r="N1001" i="8" s="1"/>
  <c r="K994" i="8" a="1"/>
  <c r="K994" i="8" s="1"/>
  <c r="J994" i="8" a="1"/>
  <c r="J994" i="8" s="1"/>
  <c r="I994" i="8"/>
  <c r="K993" i="8" a="1"/>
  <c r="K993" i="8" s="1"/>
  <c r="J993" i="8" a="1"/>
  <c r="J993" i="8" s="1"/>
  <c r="I993" i="8"/>
  <c r="K992" i="8" a="1"/>
  <c r="K992" i="8" s="1"/>
  <c r="J992" i="8" a="1"/>
  <c r="J992" i="8" s="1"/>
  <c r="I992" i="8"/>
  <c r="K991" i="8" a="1"/>
  <c r="K991" i="8" s="1"/>
  <c r="J991" i="8" a="1"/>
  <c r="J991" i="8" s="1"/>
  <c r="K990" i="8" a="1"/>
  <c r="K990" i="8" s="1"/>
  <c r="J990" i="8" a="1"/>
  <c r="J990" i="8" s="1"/>
  <c r="K989" i="8" a="1"/>
  <c r="K989" i="8" s="1"/>
  <c r="J989" i="8" a="1"/>
  <c r="J989" i="8" s="1"/>
  <c r="N988" i="8"/>
  <c r="K988" i="8" a="1"/>
  <c r="K988" i="8" s="1"/>
  <c r="J988" i="8" a="1"/>
  <c r="J988" i="8" s="1"/>
  <c r="K987" i="8" a="1"/>
  <c r="K987" i="8" s="1"/>
  <c r="J987" i="8" a="1"/>
  <c r="J987" i="8" s="1"/>
  <c r="K986" i="8" a="1"/>
  <c r="K986" i="8" s="1"/>
  <c r="J986" i="8" a="1"/>
  <c r="J986" i="8" s="1"/>
  <c r="Q985" i="8"/>
  <c r="P985" i="8"/>
  <c r="K985" i="8" a="1"/>
  <c r="K985" i="8" s="1"/>
  <c r="J985" i="8" a="1"/>
  <c r="J985" i="8" s="1"/>
  <c r="K977" i="8" a="1"/>
  <c r="K977" i="8" s="1"/>
  <c r="J977" i="8" a="1"/>
  <c r="J977" i="8" s="1"/>
  <c r="I977" i="8"/>
  <c r="K976" i="8" a="1"/>
  <c r="K976" i="8" s="1"/>
  <c r="J976" i="8" a="1"/>
  <c r="J976" i="8" s="1"/>
  <c r="I976" i="8"/>
  <c r="K975" i="8" a="1"/>
  <c r="K975" i="8" s="1"/>
  <c r="J975" i="8" a="1"/>
  <c r="J975" i="8" s="1"/>
  <c r="N974" i="8"/>
  <c r="K974" i="8" a="1"/>
  <c r="K974" i="8" s="1"/>
  <c r="J974" i="8" a="1"/>
  <c r="J974" i="8" s="1"/>
  <c r="K973" i="8" a="1"/>
  <c r="K973" i="8" s="1"/>
  <c r="J973" i="8" a="1"/>
  <c r="J973" i="8" s="1"/>
  <c r="I973" i="8"/>
  <c r="K972" i="8" a="1"/>
  <c r="K972" i="8" s="1"/>
  <c r="J972" i="8" a="1"/>
  <c r="J972" i="8" s="1"/>
  <c r="I972" i="8"/>
  <c r="K971" i="8" a="1"/>
  <c r="K971" i="8" s="1"/>
  <c r="J971" i="8" a="1"/>
  <c r="J971" i="8" s="1"/>
  <c r="I971" i="8"/>
  <c r="N973" i="8" s="1"/>
  <c r="K970" i="8" a="1"/>
  <c r="K970" i="8" s="1"/>
  <c r="J970" i="8" a="1"/>
  <c r="J970" i="8" s="1"/>
  <c r="I970" i="8"/>
  <c r="K969" i="8" a="1"/>
  <c r="K969" i="8" s="1"/>
  <c r="J969" i="8" a="1"/>
  <c r="J969" i="8" s="1"/>
  <c r="I969" i="8"/>
  <c r="N970" i="8" s="1"/>
  <c r="N981" i="8" s="1"/>
  <c r="K968" i="8" a="1"/>
  <c r="K968" i="8" s="1"/>
  <c r="J968" i="8" a="1"/>
  <c r="J968" i="8" s="1"/>
  <c r="Q967" i="8"/>
  <c r="P967" i="8"/>
  <c r="K967" i="8" a="1"/>
  <c r="K967" i="8" s="1"/>
  <c r="J967" i="8" a="1"/>
  <c r="J967" i="8" s="1"/>
  <c r="K961" i="8" a="1"/>
  <c r="K961" i="8" s="1"/>
  <c r="J961" i="8" a="1"/>
  <c r="J961" i="8" s="1"/>
  <c r="K960" i="8" a="1"/>
  <c r="K960" i="8" s="1"/>
  <c r="J960" i="8" a="1"/>
  <c r="J960" i="8" s="1"/>
  <c r="K959" i="8" a="1"/>
  <c r="K959" i="8" s="1"/>
  <c r="J959" i="8" a="1"/>
  <c r="J959" i="8" s="1"/>
  <c r="K958" i="8" a="1"/>
  <c r="K958" i="8" s="1"/>
  <c r="J958" i="8" a="1"/>
  <c r="J958" i="8" s="1"/>
  <c r="I958" i="8"/>
  <c r="K957" i="8" a="1"/>
  <c r="K957" i="8" s="1"/>
  <c r="J957" i="8" a="1"/>
  <c r="J957" i="8" s="1"/>
  <c r="I957" i="8"/>
  <c r="K956" i="8" a="1"/>
  <c r="K956" i="8" s="1"/>
  <c r="J956" i="8" a="1"/>
  <c r="J956" i="8" s="1"/>
  <c r="I956" i="8"/>
  <c r="K955" i="8" a="1"/>
  <c r="K955" i="8" s="1"/>
  <c r="J955" i="8" a="1"/>
  <c r="J955" i="8" s="1"/>
  <c r="K954" i="8" a="1"/>
  <c r="K954" i="8" s="1"/>
  <c r="J954" i="8" a="1"/>
  <c r="J954" i="8" s="1"/>
  <c r="I954" i="8"/>
  <c r="K953" i="8" a="1"/>
  <c r="K953" i="8" s="1"/>
  <c r="J953" i="8" a="1"/>
  <c r="J953" i="8" s="1"/>
  <c r="I953" i="8"/>
  <c r="N952" i="8"/>
  <c r="N963" i="8" s="1"/>
  <c r="K952" i="8" a="1"/>
  <c r="K952" i="8" s="1"/>
  <c r="J952" i="8" a="1"/>
  <c r="J952" i="8" s="1"/>
  <c r="K951" i="8" a="1"/>
  <c r="K951" i="8" s="1"/>
  <c r="J951" i="8" a="1"/>
  <c r="J951" i="8" s="1"/>
  <c r="I951" i="8"/>
  <c r="K950" i="8" a="1"/>
  <c r="K950" i="8" s="1"/>
  <c r="J950" i="8" a="1"/>
  <c r="J950" i="8" s="1"/>
  <c r="K949" i="8" a="1"/>
  <c r="K949" i="8" s="1"/>
  <c r="J949" i="8" a="1"/>
  <c r="J949" i="8" s="1"/>
  <c r="K948" i="8" a="1"/>
  <c r="K948" i="8" s="1"/>
  <c r="J948" i="8" a="1"/>
  <c r="J948" i="8" s="1"/>
  <c r="K947" i="8" a="1"/>
  <c r="K947" i="8" s="1"/>
  <c r="J947" i="8" a="1"/>
  <c r="J947" i="8" s="1"/>
  <c r="Q946" i="8"/>
  <c r="P946" i="8"/>
  <c r="K946" i="8" a="1"/>
  <c r="K946" i="8" s="1"/>
  <c r="J946" i="8" a="1"/>
  <c r="J946" i="8" s="1"/>
  <c r="K941" i="8" a="1"/>
  <c r="K941" i="8" s="1"/>
  <c r="J941" i="8" a="1"/>
  <c r="J941" i="8" s="1"/>
  <c r="K940" i="8" a="1"/>
  <c r="K940" i="8" s="1"/>
  <c r="J940" i="8" a="1"/>
  <c r="J940" i="8" s="1"/>
  <c r="I940" i="8"/>
  <c r="K939" i="8" a="1"/>
  <c r="K939" i="8" s="1"/>
  <c r="J939" i="8" a="1"/>
  <c r="J939" i="8" s="1"/>
  <c r="I939" i="8"/>
  <c r="K938" i="8" a="1"/>
  <c r="K938" i="8" s="1"/>
  <c r="J938" i="8" a="1"/>
  <c r="J938" i="8" s="1"/>
  <c r="I938" i="8"/>
  <c r="K937" i="8" a="1"/>
  <c r="K937" i="8" s="1"/>
  <c r="J937" i="8" a="1"/>
  <c r="J937" i="8" s="1"/>
  <c r="I937" i="8"/>
  <c r="K936" i="8" a="1"/>
  <c r="K936" i="8" s="1"/>
  <c r="J936" i="8" a="1"/>
  <c r="J936" i="8" s="1"/>
  <c r="I936" i="8"/>
  <c r="N932" i="8" s="1"/>
  <c r="K935" i="8" a="1"/>
  <c r="K935" i="8" s="1"/>
  <c r="J935" i="8" a="1"/>
  <c r="J935" i="8" s="1"/>
  <c r="I935" i="8"/>
  <c r="K934" i="8" a="1"/>
  <c r="K934" i="8" s="1"/>
  <c r="J934" i="8" a="1"/>
  <c r="J934" i="8" s="1"/>
  <c r="I934" i="8"/>
  <c r="K933" i="8" a="1"/>
  <c r="K933" i="8" s="1"/>
  <c r="J933" i="8" a="1"/>
  <c r="J933" i="8" s="1"/>
  <c r="I933" i="8"/>
  <c r="K932" i="8" a="1"/>
  <c r="K932" i="8" s="1"/>
  <c r="J932" i="8" a="1"/>
  <c r="J932" i="8" s="1"/>
  <c r="K931" i="8" a="1"/>
  <c r="K931" i="8" s="1"/>
  <c r="J931" i="8" a="1"/>
  <c r="J931" i="8" s="1"/>
  <c r="K930" i="8" a="1"/>
  <c r="K930" i="8" s="1"/>
  <c r="J930" i="8" a="1"/>
  <c r="J930" i="8" s="1"/>
  <c r="I930" i="8"/>
  <c r="N929" i="8"/>
  <c r="N943" i="8" s="1"/>
  <c r="K929" i="8" a="1"/>
  <c r="K929" i="8" s="1"/>
  <c r="J929" i="8" a="1"/>
  <c r="J929" i="8" s="1"/>
  <c r="I929" i="8"/>
  <c r="K928" i="8" a="1"/>
  <c r="K928" i="8" s="1"/>
  <c r="J928" i="8" a="1"/>
  <c r="J928" i="8" s="1"/>
  <c r="I928" i="8"/>
  <c r="K927" i="8" a="1"/>
  <c r="K927" i="8" s="1"/>
  <c r="J927" i="8" a="1"/>
  <c r="J927" i="8" s="1"/>
  <c r="Q926" i="8"/>
  <c r="P926" i="8"/>
  <c r="K926" i="8" a="1"/>
  <c r="K926" i="8" s="1"/>
  <c r="J926" i="8" a="1"/>
  <c r="J926" i="8" s="1"/>
  <c r="K918" i="8" a="1"/>
  <c r="K918" i="8" s="1"/>
  <c r="J918" i="8" a="1"/>
  <c r="J918" i="8" s="1"/>
  <c r="N917" i="8"/>
  <c r="K917" i="8" a="1"/>
  <c r="K917" i="8" s="1"/>
  <c r="J917" i="8" a="1"/>
  <c r="J917" i="8" s="1"/>
  <c r="J916" i="8" a="1"/>
  <c r="J916" i="8" s="1"/>
  <c r="K915" i="8" a="1"/>
  <c r="K915" i="8" s="1"/>
  <c r="J915" i="8" a="1"/>
  <c r="J915" i="8" s="1"/>
  <c r="K914" i="8" a="1"/>
  <c r="K914" i="8" s="1"/>
  <c r="J914" i="8" a="1"/>
  <c r="J914" i="8" s="1"/>
  <c r="I914" i="8"/>
  <c r="K913" i="8" a="1"/>
  <c r="K913" i="8" s="1"/>
  <c r="J913" i="8" a="1"/>
  <c r="J913" i="8" s="1"/>
  <c r="K912" i="8" a="1"/>
  <c r="K912" i="8" s="1"/>
  <c r="J912" i="8" a="1"/>
  <c r="J912" i="8" s="1"/>
  <c r="I912" i="8"/>
  <c r="N911" i="8"/>
  <c r="N922" i="8" s="1"/>
  <c r="K911" i="8" a="1"/>
  <c r="K911" i="8" s="1"/>
  <c r="J911" i="8" a="1"/>
  <c r="J911" i="8" s="1"/>
  <c r="I911" i="8"/>
  <c r="K910" i="8" a="1"/>
  <c r="K910" i="8" s="1"/>
  <c r="J910" i="8" a="1"/>
  <c r="J910" i="8" s="1"/>
  <c r="I910" i="8"/>
  <c r="K909" i="8" a="1"/>
  <c r="K909" i="8" s="1"/>
  <c r="J909" i="8" a="1"/>
  <c r="J909" i="8" s="1"/>
  <c r="I909" i="8"/>
  <c r="N914" i="8" s="1"/>
  <c r="Q908" i="8"/>
  <c r="P908" i="8"/>
  <c r="K908" i="8" a="1"/>
  <c r="K908" i="8" s="1"/>
  <c r="J908" i="8" a="1"/>
  <c r="J908" i="8" s="1"/>
  <c r="K902" i="8" a="1"/>
  <c r="K902" i="8" s="1"/>
  <c r="J902" i="8" a="1"/>
  <c r="J902" i="8" s="1"/>
  <c r="K901" i="8" a="1"/>
  <c r="K901" i="8" s="1"/>
  <c r="J901" i="8" a="1"/>
  <c r="J901" i="8" s="1"/>
  <c r="K900" i="8" a="1"/>
  <c r="K900" i="8" s="1"/>
  <c r="J900" i="8" a="1"/>
  <c r="J900" i="8" s="1"/>
  <c r="J899" i="8" a="1"/>
  <c r="J899" i="8" s="1"/>
  <c r="K898" i="8" a="1"/>
  <c r="K898" i="8" s="1"/>
  <c r="J898" i="8" a="1"/>
  <c r="J898" i="8" s="1"/>
  <c r="K897" i="8" a="1"/>
  <c r="K897" i="8" s="1"/>
  <c r="J897" i="8" a="1"/>
  <c r="J897" i="8" s="1"/>
  <c r="K896" i="8" a="1"/>
  <c r="K896" i="8" s="1"/>
  <c r="J896" i="8" a="1"/>
  <c r="J896" i="8" s="1"/>
  <c r="I896" i="8"/>
  <c r="K895" i="8" a="1"/>
  <c r="K895" i="8" s="1"/>
  <c r="J895" i="8" a="1"/>
  <c r="J895" i="8" s="1"/>
  <c r="K894" i="8" a="1"/>
  <c r="K894" i="8" s="1"/>
  <c r="J894" i="8" a="1"/>
  <c r="J894" i="8" s="1"/>
  <c r="K893" i="8" a="1"/>
  <c r="K893" i="8" s="1"/>
  <c r="J893" i="8" a="1"/>
  <c r="J893" i="8" s="1"/>
  <c r="N892" i="8"/>
  <c r="N904" i="8" s="1"/>
  <c r="K892" i="8" a="1"/>
  <c r="K892" i="8" s="1"/>
  <c r="J892" i="8" a="1"/>
  <c r="J892" i="8" s="1"/>
  <c r="K891" i="8" a="1"/>
  <c r="K891" i="8" s="1"/>
  <c r="J891" i="8" a="1"/>
  <c r="J891" i="8" s="1"/>
  <c r="K890" i="8" a="1"/>
  <c r="K890" i="8" s="1"/>
  <c r="J890" i="8" a="1"/>
  <c r="J890" i="8" s="1"/>
  <c r="I890" i="8"/>
  <c r="N895" i="8" s="1"/>
  <c r="Q889" i="8"/>
  <c r="P889" i="8"/>
  <c r="K889" i="8" a="1"/>
  <c r="K889" i="8" s="1"/>
  <c r="J889" i="8" a="1"/>
  <c r="J889" i="8" s="1"/>
  <c r="K884" i="8" a="1"/>
  <c r="K884" i="8" s="1"/>
  <c r="J884" i="8" a="1"/>
  <c r="J884" i="8" s="1"/>
  <c r="K883" i="8" a="1"/>
  <c r="K883" i="8" s="1"/>
  <c r="J883" i="8" a="1"/>
  <c r="J883" i="8" s="1"/>
  <c r="I883" i="8"/>
  <c r="K882" i="8" a="1"/>
  <c r="K882" i="8" s="1"/>
  <c r="J882" i="8" a="1"/>
  <c r="J882" i="8" s="1"/>
  <c r="K881" i="8" a="1"/>
  <c r="K881" i="8" s="1"/>
  <c r="J881" i="8" a="1"/>
  <c r="J881" i="8" s="1"/>
  <c r="I881" i="8"/>
  <c r="K880" i="8" a="1"/>
  <c r="K880" i="8" s="1"/>
  <c r="J880" i="8" a="1"/>
  <c r="J880" i="8" s="1"/>
  <c r="N879" i="8"/>
  <c r="K879" i="8" a="1"/>
  <c r="K879" i="8" s="1"/>
  <c r="J879" i="8" a="1"/>
  <c r="J879" i="8" s="1"/>
  <c r="K878" i="8" a="1"/>
  <c r="K878" i="8" s="1"/>
  <c r="J878" i="8" a="1"/>
  <c r="J878" i="8" s="1"/>
  <c r="I878" i="8"/>
  <c r="K877" i="8" a="1"/>
  <c r="K877" i="8" s="1"/>
  <c r="J877" i="8" a="1"/>
  <c r="J877" i="8" s="1"/>
  <c r="K876" i="8" a="1"/>
  <c r="K876" i="8" s="1"/>
  <c r="J876" i="8" a="1"/>
  <c r="J876" i="8" s="1"/>
  <c r="K875" i="8" a="1"/>
  <c r="K875" i="8" s="1"/>
  <c r="J875" i="8" a="1"/>
  <c r="J875" i="8" s="1"/>
  <c r="I875" i="8"/>
  <c r="N878" i="8" s="1"/>
  <c r="N886" i="8" s="1"/>
  <c r="K874" i="8" a="1"/>
  <c r="K874" i="8" s="1"/>
  <c r="J874" i="8" a="1"/>
  <c r="J874" i="8" s="1"/>
  <c r="K873" i="8" a="1"/>
  <c r="K873" i="8" s="1"/>
  <c r="J873" i="8" a="1"/>
  <c r="J873" i="8" s="1"/>
  <c r="Q872" i="8"/>
  <c r="P872" i="8"/>
  <c r="K872" i="8" a="1"/>
  <c r="K872" i="8" s="1"/>
  <c r="J872" i="8" a="1"/>
  <c r="J872" i="8" s="1"/>
  <c r="N860" i="8"/>
  <c r="N868" i="8" s="1"/>
  <c r="K860" i="8" a="1"/>
  <c r="K860" i="8" s="1"/>
  <c r="J860" i="8" a="1"/>
  <c r="J860" i="8" s="1"/>
  <c r="K859" i="8" a="1"/>
  <c r="K859" i="8" s="1"/>
  <c r="J859" i="8" a="1"/>
  <c r="J859" i="8" s="1"/>
  <c r="I859" i="8"/>
  <c r="K858" i="8" a="1"/>
  <c r="K858" i="8" s="1"/>
  <c r="J858" i="8" a="1"/>
  <c r="J858" i="8" s="1"/>
  <c r="I858" i="8"/>
  <c r="K857" i="8" a="1"/>
  <c r="K857" i="8" s="1"/>
  <c r="J857" i="8" a="1"/>
  <c r="J857" i="8" s="1"/>
  <c r="I857" i="8"/>
  <c r="K856" i="8" a="1"/>
  <c r="K856" i="8" s="1"/>
  <c r="J856" i="8" a="1"/>
  <c r="J856" i="8" s="1"/>
  <c r="K855" i="8" a="1"/>
  <c r="K855" i="8" s="1"/>
  <c r="J855" i="8" a="1"/>
  <c r="J855" i="8" s="1"/>
  <c r="Q854" i="8"/>
  <c r="P854" i="8"/>
  <c r="K854" i="8" a="1"/>
  <c r="K854" i="8" s="1"/>
  <c r="J854" i="8" a="1"/>
  <c r="J854" i="8" s="1"/>
  <c r="N850" i="8"/>
  <c r="K848" i="8" a="1"/>
  <c r="K848" i="8" s="1"/>
  <c r="J848" i="8" a="1"/>
  <c r="J848" i="8" s="1"/>
  <c r="K847" i="8" a="1"/>
  <c r="K847" i="8" s="1"/>
  <c r="J847" i="8" a="1"/>
  <c r="J847" i="8" s="1"/>
  <c r="K846" i="8" a="1"/>
  <c r="K846" i="8" s="1"/>
  <c r="J846" i="8" a="1"/>
  <c r="J846" i="8" s="1"/>
  <c r="K845" i="8" a="1"/>
  <c r="K845" i="8" s="1"/>
  <c r="J845" i="8" a="1"/>
  <c r="J845" i="8" s="1"/>
  <c r="K844" i="8" a="1"/>
  <c r="K844" i="8" s="1"/>
  <c r="J844" i="8" a="1"/>
  <c r="J844" i="8" s="1"/>
  <c r="I844" i="8"/>
  <c r="K843" i="8" a="1"/>
  <c r="K843" i="8" s="1"/>
  <c r="J843" i="8" a="1"/>
  <c r="J843" i="8" s="1"/>
  <c r="K842" i="8" a="1"/>
  <c r="K842" i="8" s="1"/>
  <c r="J842" i="8" a="1"/>
  <c r="J842" i="8" s="1"/>
  <c r="I842" i="8"/>
  <c r="K841" i="8" a="1"/>
  <c r="K841" i="8" s="1"/>
  <c r="J841" i="8" a="1"/>
  <c r="J841" i="8" s="1"/>
  <c r="K840" i="8" a="1"/>
  <c r="K840" i="8" s="1"/>
  <c r="J840" i="8" a="1"/>
  <c r="J840" i="8" s="1"/>
  <c r="K839" i="8" a="1"/>
  <c r="K839" i="8" s="1"/>
  <c r="J839" i="8" a="1"/>
  <c r="J839" i="8" s="1"/>
  <c r="K838" i="8" a="1"/>
  <c r="K838" i="8" s="1"/>
  <c r="J838" i="8" a="1"/>
  <c r="J838" i="8" s="1"/>
  <c r="I838" i="8"/>
  <c r="K837" i="8" a="1"/>
  <c r="K837" i="8" s="1"/>
  <c r="J837" i="8" a="1"/>
  <c r="J837" i="8" s="1"/>
  <c r="N836" i="8"/>
  <c r="K836" i="8" a="1"/>
  <c r="K836" i="8" s="1"/>
  <c r="J836" i="8" a="1"/>
  <c r="J836" i="8" s="1"/>
  <c r="N835" i="8"/>
  <c r="K835" i="8" a="1"/>
  <c r="K835" i="8" s="1"/>
  <c r="J835" i="8" a="1"/>
  <c r="J835" i="8" s="1"/>
  <c r="K834" i="8" a="1"/>
  <c r="K834" i="8" s="1"/>
  <c r="J834" i="8" a="1"/>
  <c r="J834" i="8" s="1"/>
  <c r="K833" i="8" a="1"/>
  <c r="K833" i="8" s="1"/>
  <c r="J833" i="8" a="1"/>
  <c r="J833" i="8" s="1"/>
  <c r="I833" i="8"/>
  <c r="K832" i="8" a="1"/>
  <c r="K832" i="8" s="1"/>
  <c r="J832" i="8" a="1"/>
  <c r="J832" i="8" s="1"/>
  <c r="I832" i="8"/>
  <c r="K831" i="8" a="1"/>
  <c r="K831" i="8" s="1"/>
  <c r="J831" i="8" a="1"/>
  <c r="J831" i="8" s="1"/>
  <c r="K830" i="8" a="1"/>
  <c r="K830" i="8" s="1"/>
  <c r="J830" i="8" a="1"/>
  <c r="J830" i="8" s="1"/>
  <c r="Q829" i="8"/>
  <c r="P829" i="8"/>
  <c r="K829" i="8" a="1"/>
  <c r="K829" i="8" s="1"/>
  <c r="J829" i="8" a="1"/>
  <c r="J829" i="8" s="1"/>
  <c r="K817" i="8" a="1"/>
  <c r="K817" i="8" s="1"/>
  <c r="J817" i="8" a="1"/>
  <c r="J817" i="8" s="1"/>
  <c r="I817" i="8"/>
  <c r="N816" i="8"/>
  <c r="N825" i="8" s="1"/>
  <c r="K816" i="8" a="1"/>
  <c r="K816" i="8" s="1"/>
  <c r="J816" i="8" a="1"/>
  <c r="J816" i="8" s="1"/>
  <c r="I816" i="8"/>
  <c r="K815" i="8" a="1"/>
  <c r="K815" i="8" s="1"/>
  <c r="J815" i="8" a="1"/>
  <c r="J815" i="8" s="1"/>
  <c r="K814" i="8" a="1"/>
  <c r="K814" i="8" s="1"/>
  <c r="J814" i="8" a="1"/>
  <c r="J814" i="8" s="1"/>
  <c r="K813" i="8" a="1"/>
  <c r="K813" i="8" s="1"/>
  <c r="J813" i="8" a="1"/>
  <c r="J813" i="8" s="1"/>
  <c r="K812" i="8" a="1"/>
  <c r="K812" i="8" s="1"/>
  <c r="J812" i="8" a="1"/>
  <c r="J812" i="8" s="1"/>
  <c r="Q811" i="8"/>
  <c r="P811" i="8"/>
  <c r="K811" i="8" a="1"/>
  <c r="K811" i="8" s="1"/>
  <c r="J811" i="8" a="1"/>
  <c r="J811" i="8" s="1"/>
  <c r="I811" i="8"/>
  <c r="K805" i="8" a="1"/>
  <c r="K805" i="8" s="1"/>
  <c r="J805" i="8" a="1"/>
  <c r="J805" i="8" s="1"/>
  <c r="K804" i="8" a="1"/>
  <c r="K804" i="8" s="1"/>
  <c r="J804" i="8" a="1"/>
  <c r="J804" i="8" s="1"/>
  <c r="K803" i="8" a="1"/>
  <c r="K803" i="8" s="1"/>
  <c r="J803" i="8" a="1"/>
  <c r="J803" i="8" s="1"/>
  <c r="K802" i="8" a="1"/>
  <c r="K802" i="8" s="1"/>
  <c r="J802" i="8" a="1"/>
  <c r="J802" i="8" s="1"/>
  <c r="K801" i="8" a="1"/>
  <c r="K801" i="8" s="1"/>
  <c r="J801" i="8" a="1"/>
  <c r="J801" i="8" s="1"/>
  <c r="I801" i="8"/>
  <c r="K800" i="8" a="1"/>
  <c r="K800" i="8" s="1"/>
  <c r="J800" i="8" a="1"/>
  <c r="J800" i="8" s="1"/>
  <c r="K799" i="8" a="1"/>
  <c r="K799" i="8" s="1"/>
  <c r="J799" i="8" a="1"/>
  <c r="J799" i="8" s="1"/>
  <c r="I799" i="8"/>
  <c r="K798" i="8" a="1"/>
  <c r="K798" i="8" s="1"/>
  <c r="J798" i="8" a="1"/>
  <c r="J798" i="8" s="1"/>
  <c r="K797" i="8" a="1"/>
  <c r="K797" i="8" s="1"/>
  <c r="J797" i="8" a="1"/>
  <c r="J797" i="8" s="1"/>
  <c r="K796" i="8" a="1"/>
  <c r="K796" i="8" s="1"/>
  <c r="J796" i="8" a="1"/>
  <c r="J796" i="8" s="1"/>
  <c r="I796" i="8"/>
  <c r="K795" i="8" a="1"/>
  <c r="K795" i="8" s="1"/>
  <c r="J795" i="8" a="1"/>
  <c r="J795" i="8" s="1"/>
  <c r="K794" i="8" a="1"/>
  <c r="K794" i="8" s="1"/>
  <c r="J794" i="8" a="1"/>
  <c r="J794" i="8" s="1"/>
  <c r="N793" i="8"/>
  <c r="K793" i="8" a="1"/>
  <c r="K793" i="8" s="1"/>
  <c r="J793" i="8" a="1"/>
  <c r="J793" i="8" s="1"/>
  <c r="K792" i="8" a="1"/>
  <c r="K792" i="8" s="1"/>
  <c r="J792" i="8" a="1"/>
  <c r="J792" i="8" s="1"/>
  <c r="I792" i="8"/>
  <c r="N791" i="8"/>
  <c r="K791" i="8" a="1"/>
  <c r="K791" i="8" s="1"/>
  <c r="J791" i="8" a="1"/>
  <c r="J791" i="8" s="1"/>
  <c r="N790" i="8"/>
  <c r="N807" i="8" s="1"/>
  <c r="K790" i="8" a="1"/>
  <c r="K790" i="8" s="1"/>
  <c r="J790" i="8" a="1"/>
  <c r="J790" i="8" s="1"/>
  <c r="K789" i="8" a="1"/>
  <c r="K789" i="8" s="1"/>
  <c r="J789" i="8" a="1"/>
  <c r="J789" i="8" s="1"/>
  <c r="K788" i="8" a="1"/>
  <c r="K788" i="8" s="1"/>
  <c r="J788" i="8" a="1"/>
  <c r="J788" i="8" s="1"/>
  <c r="K787" i="8" a="1"/>
  <c r="K787" i="8" s="1"/>
  <c r="J787" i="8" a="1"/>
  <c r="J787" i="8" s="1"/>
  <c r="K786" i="8" a="1"/>
  <c r="K786" i="8" s="1"/>
  <c r="J786" i="8" a="1"/>
  <c r="J786" i="8" s="1"/>
  <c r="K785" i="8" a="1"/>
  <c r="K785" i="8" s="1"/>
  <c r="J785" i="8" a="1"/>
  <c r="J785" i="8" s="1"/>
  <c r="I785" i="8"/>
  <c r="Q784" i="8"/>
  <c r="P784" i="8"/>
  <c r="K784" i="8" a="1"/>
  <c r="K784" i="8" s="1"/>
  <c r="J784" i="8" a="1"/>
  <c r="J784" i="8" s="1"/>
  <c r="K772" i="8" a="1"/>
  <c r="K772" i="8" s="1"/>
  <c r="J772" i="8" a="1"/>
  <c r="J772" i="8" s="1"/>
  <c r="N771" i="8"/>
  <c r="N780" i="8" s="1"/>
  <c r="K771" i="8" a="1"/>
  <c r="K771" i="8" s="1"/>
  <c r="J771" i="8" a="1"/>
  <c r="J771" i="8" s="1"/>
  <c r="K770" i="8" a="1"/>
  <c r="K770" i="8" s="1"/>
  <c r="J770" i="8" a="1"/>
  <c r="J770" i="8" s="1"/>
  <c r="N769" i="8"/>
  <c r="K769" i="8" a="1"/>
  <c r="K769" i="8" s="1"/>
  <c r="J769" i="8" a="1"/>
  <c r="J769" i="8" s="1"/>
  <c r="K768" i="8" a="1"/>
  <c r="K768" i="8" s="1"/>
  <c r="J768" i="8" a="1"/>
  <c r="J768" i="8" s="1"/>
  <c r="K767" i="8" a="1"/>
  <c r="K767" i="8" s="1"/>
  <c r="J767" i="8" a="1"/>
  <c r="J767" i="8" s="1"/>
  <c r="Q766" i="8"/>
  <c r="P766" i="8"/>
  <c r="K766" i="8" a="1"/>
  <c r="K766" i="8" s="1"/>
  <c r="J766" i="8" a="1"/>
  <c r="J766" i="8" s="1"/>
  <c r="N755" i="8"/>
  <c r="N762" i="8" s="1"/>
  <c r="K754" i="8" a="1"/>
  <c r="K754" i="8" s="1"/>
  <c r="J754" i="8" a="1"/>
  <c r="J754" i="8" s="1"/>
  <c r="I754" i="8"/>
  <c r="K753" i="8" a="1"/>
  <c r="K753" i="8" s="1"/>
  <c r="J753" i="8" a="1"/>
  <c r="J753" i="8" s="1"/>
  <c r="K752" i="8" a="1"/>
  <c r="K752" i="8" s="1"/>
  <c r="J752" i="8" a="1"/>
  <c r="J752" i="8" s="1"/>
  <c r="K751" i="8" a="1"/>
  <c r="K751" i="8" s="1"/>
  <c r="J751" i="8" a="1"/>
  <c r="J751" i="8" s="1"/>
  <c r="I751" i="8"/>
  <c r="K750" i="8" a="1"/>
  <c r="K750" i="8" s="1"/>
  <c r="J750" i="8" a="1"/>
  <c r="J750" i="8" s="1"/>
  <c r="K749" i="8" a="1"/>
  <c r="K749" i="8" s="1"/>
  <c r="J749" i="8" a="1"/>
  <c r="J749" i="8" s="1"/>
  <c r="I749" i="8"/>
  <c r="Q748" i="8"/>
  <c r="P748" i="8"/>
  <c r="K748" i="8" a="1"/>
  <c r="K748" i="8" s="1"/>
  <c r="J748" i="8" a="1"/>
  <c r="J748" i="8" s="1"/>
  <c r="N744" i="8"/>
  <c r="K742" i="8" a="1"/>
  <c r="K742" i="8" s="1"/>
  <c r="J742" i="8" a="1"/>
  <c r="J742" i="8" s="1"/>
  <c r="K741" i="8" a="1"/>
  <c r="K741" i="8" s="1"/>
  <c r="J741" i="8" a="1"/>
  <c r="J741" i="8" s="1"/>
  <c r="K740" i="8" a="1"/>
  <c r="K740" i="8" s="1"/>
  <c r="J740" i="8" a="1"/>
  <c r="J740" i="8" s="1"/>
  <c r="I740" i="8"/>
  <c r="K739" i="8" a="1"/>
  <c r="K739" i="8" s="1"/>
  <c r="J739" i="8" a="1"/>
  <c r="J739" i="8" s="1"/>
  <c r="N738" i="8"/>
  <c r="K738" i="8" a="1"/>
  <c r="K738" i="8" s="1"/>
  <c r="J738" i="8" a="1"/>
  <c r="J738" i="8" s="1"/>
  <c r="I738" i="8"/>
  <c r="K737" i="8" a="1"/>
  <c r="K737" i="8" s="1"/>
  <c r="J737" i="8" a="1"/>
  <c r="J737" i="8" s="1"/>
  <c r="N736" i="8"/>
  <c r="K736" i="8" a="1"/>
  <c r="K736" i="8" s="1"/>
  <c r="J736" i="8" a="1"/>
  <c r="J736" i="8" s="1"/>
  <c r="K735" i="8" a="1"/>
  <c r="K735" i="8" s="1"/>
  <c r="J735" i="8" a="1"/>
  <c r="J735" i="8" s="1"/>
  <c r="I735" i="8"/>
  <c r="K734" i="8" a="1"/>
  <c r="K734" i="8" s="1"/>
  <c r="J734" i="8" a="1"/>
  <c r="J734" i="8" s="1"/>
  <c r="I734" i="8"/>
  <c r="K733" i="8" a="1"/>
  <c r="K733" i="8" s="1"/>
  <c r="J733" i="8" a="1"/>
  <c r="J733" i="8" s="1"/>
  <c r="K732" i="8" a="1"/>
  <c r="K732" i="8" s="1"/>
  <c r="J732" i="8" a="1"/>
  <c r="J732" i="8" s="1"/>
  <c r="K731" i="8" a="1"/>
  <c r="K731" i="8" s="1"/>
  <c r="J731" i="8" a="1"/>
  <c r="J731" i="8" s="1"/>
  <c r="I731" i="8"/>
  <c r="N735" i="8" s="1"/>
  <c r="K730" i="8" a="1"/>
  <c r="K730" i="8" s="1"/>
  <c r="J730" i="8" a="1"/>
  <c r="J730" i="8" s="1"/>
  <c r="Q729" i="8"/>
  <c r="P729" i="8"/>
  <c r="K729" i="8" a="1"/>
  <c r="K729" i="8" s="1"/>
  <c r="J729" i="8" a="1"/>
  <c r="J729" i="8" s="1"/>
  <c r="K723" i="8" a="1"/>
  <c r="K723" i="8" s="1"/>
  <c r="J723" i="8" a="1"/>
  <c r="J723" i="8" s="1"/>
  <c r="K722" i="8" a="1"/>
  <c r="K722" i="8" s="1"/>
  <c r="J722" i="8" a="1"/>
  <c r="J722" i="8" s="1"/>
  <c r="K721" i="8" a="1"/>
  <c r="K721" i="8" s="1"/>
  <c r="J721" i="8" a="1"/>
  <c r="J721" i="8" s="1"/>
  <c r="I721" i="8"/>
  <c r="K720" i="8" a="1"/>
  <c r="K720" i="8" s="1"/>
  <c r="J720" i="8" a="1"/>
  <c r="J720" i="8" s="1"/>
  <c r="K719" i="8" a="1"/>
  <c r="K719" i="8" s="1"/>
  <c r="J719" i="8" a="1"/>
  <c r="J719" i="8" s="1"/>
  <c r="K718" i="8" a="1"/>
  <c r="K718" i="8" s="1"/>
  <c r="J718" i="8" a="1"/>
  <c r="J718" i="8" s="1"/>
  <c r="K717" i="8" a="1"/>
  <c r="K717" i="8" s="1"/>
  <c r="J717" i="8" a="1"/>
  <c r="J717" i="8" s="1"/>
  <c r="I717" i="8"/>
  <c r="K716" i="8" a="1"/>
  <c r="K716" i="8" s="1"/>
  <c r="J716" i="8" a="1"/>
  <c r="J716" i="8" s="1"/>
  <c r="I716" i="8"/>
  <c r="K715" i="8" a="1"/>
  <c r="K715" i="8" s="1"/>
  <c r="J715" i="8" a="1"/>
  <c r="J715" i="8" s="1"/>
  <c r="N714" i="8"/>
  <c r="N725" i="8" s="1"/>
  <c r="K714" i="8" a="1"/>
  <c r="K714" i="8" s="1"/>
  <c r="J714" i="8" a="1"/>
  <c r="J714" i="8" s="1"/>
  <c r="I714" i="8"/>
  <c r="K713" i="8" a="1"/>
  <c r="K713" i="8" s="1"/>
  <c r="J713" i="8" a="1"/>
  <c r="J713" i="8" s="1"/>
  <c r="K712" i="8" a="1"/>
  <c r="K712" i="8" s="1"/>
  <c r="J712" i="8" a="1"/>
  <c r="J712" i="8" s="1"/>
  <c r="I712" i="8"/>
  <c r="K711" i="8" a="1"/>
  <c r="K711" i="8" s="1"/>
  <c r="J711" i="8" a="1"/>
  <c r="J711" i="8" s="1"/>
  <c r="I711" i="8"/>
  <c r="K710" i="8" a="1"/>
  <c r="K710" i="8" s="1"/>
  <c r="J710" i="8" a="1"/>
  <c r="J710" i="8" s="1"/>
  <c r="K709" i="8" a="1"/>
  <c r="K709" i="8" s="1"/>
  <c r="J709" i="8" a="1"/>
  <c r="J709" i="8" s="1"/>
  <c r="I709" i="8"/>
  <c r="Q708" i="8"/>
  <c r="P708" i="8"/>
  <c r="K708" i="8" a="1"/>
  <c r="K708" i="8" s="1"/>
  <c r="J708" i="8" a="1"/>
  <c r="J708" i="8" s="1"/>
  <c r="K703" i="8" a="1"/>
  <c r="K703" i="8" s="1"/>
  <c r="J703" i="8" a="1"/>
  <c r="J703" i="8" s="1"/>
  <c r="K702" i="8" a="1"/>
  <c r="K702" i="8" s="1"/>
  <c r="J702" i="8" a="1"/>
  <c r="J702" i="8" s="1"/>
  <c r="I702" i="8"/>
  <c r="K701" i="8" a="1"/>
  <c r="K701" i="8" s="1"/>
  <c r="J701" i="8" a="1"/>
  <c r="J701" i="8" s="1"/>
  <c r="I701" i="8"/>
  <c r="K700" i="8" a="1"/>
  <c r="K700" i="8" s="1"/>
  <c r="J700" i="8" a="1"/>
  <c r="J700" i="8" s="1"/>
  <c r="I700" i="8"/>
  <c r="K699" i="8" a="1"/>
  <c r="K699" i="8" s="1"/>
  <c r="J699" i="8" a="1"/>
  <c r="J699" i="8" s="1"/>
  <c r="K698" i="8" a="1"/>
  <c r="K698" i="8" s="1"/>
  <c r="J698" i="8" a="1"/>
  <c r="J698" i="8" s="1"/>
  <c r="K697" i="8" a="1"/>
  <c r="K697" i="8" s="1"/>
  <c r="J697" i="8" a="1"/>
  <c r="J697" i="8" s="1"/>
  <c r="I697" i="8"/>
  <c r="K696" i="8" a="1"/>
  <c r="K696" i="8" s="1"/>
  <c r="J696" i="8" a="1"/>
  <c r="J696" i="8" s="1"/>
  <c r="I696" i="8"/>
  <c r="K695" i="8" a="1"/>
  <c r="K695" i="8" s="1"/>
  <c r="J695" i="8" a="1"/>
  <c r="J695" i="8" s="1"/>
  <c r="K694" i="8" a="1"/>
  <c r="K694" i="8" s="1"/>
  <c r="J694" i="8" a="1"/>
  <c r="J694" i="8" s="1"/>
  <c r="N693" i="8"/>
  <c r="K693" i="8" a="1"/>
  <c r="K693" i="8" s="1"/>
  <c r="J693" i="8" a="1"/>
  <c r="J693" i="8" s="1"/>
  <c r="I693" i="8"/>
  <c r="K692" i="8" a="1"/>
  <c r="K692" i="8" s="1"/>
  <c r="J692" i="8" a="1"/>
  <c r="J692" i="8" s="1"/>
  <c r="K691" i="8" a="1"/>
  <c r="K691" i="8" s="1"/>
  <c r="J691" i="8" a="1"/>
  <c r="J691" i="8" s="1"/>
  <c r="N690" i="8"/>
  <c r="K690" i="8" a="1"/>
  <c r="K690" i="8" s="1"/>
  <c r="J690" i="8" a="1"/>
  <c r="J690" i="8" s="1"/>
  <c r="K689" i="8" a="1"/>
  <c r="K689" i="8" s="1"/>
  <c r="J689" i="8" a="1"/>
  <c r="J689" i="8" s="1"/>
  <c r="N688" i="8"/>
  <c r="N705" i="8" s="1"/>
  <c r="K688" i="8" a="1"/>
  <c r="K688" i="8" s="1"/>
  <c r="J688" i="8" a="1"/>
  <c r="J688" i="8" s="1"/>
  <c r="Q687" i="8"/>
  <c r="P687" i="8"/>
  <c r="K687" i="8" a="1"/>
  <c r="K687" i="8" s="1"/>
  <c r="J687" i="8" a="1"/>
  <c r="J687" i="8" s="1"/>
  <c r="N684" i="8"/>
  <c r="K682" i="8" a="1"/>
  <c r="K682" i="8" s="1"/>
  <c r="J682" i="8" a="1"/>
  <c r="J682" i="8" s="1"/>
  <c r="K681" i="8" a="1"/>
  <c r="K681" i="8" s="1"/>
  <c r="J681" i="8" a="1"/>
  <c r="J681" i="8" s="1"/>
  <c r="K680" i="8" a="1"/>
  <c r="K680" i="8" s="1"/>
  <c r="J680" i="8" a="1"/>
  <c r="J680" i="8" s="1"/>
  <c r="K679" i="8" a="1"/>
  <c r="K679" i="8" s="1"/>
  <c r="J679" i="8" a="1"/>
  <c r="J679" i="8" s="1"/>
  <c r="I679" i="8"/>
  <c r="K678" i="8" a="1"/>
  <c r="K678" i="8" s="1"/>
  <c r="J678" i="8" a="1"/>
  <c r="J678" i="8" s="1"/>
  <c r="K677" i="8" a="1"/>
  <c r="K677" i="8" s="1"/>
  <c r="J677" i="8" a="1"/>
  <c r="J677" i="8" s="1"/>
  <c r="K676" i="8" a="1"/>
  <c r="K676" i="8" s="1"/>
  <c r="J676" i="8" a="1"/>
  <c r="J676" i="8" s="1"/>
  <c r="I676" i="8"/>
  <c r="N675" i="8"/>
  <c r="K675" i="8" a="1"/>
  <c r="K675" i="8" s="1"/>
  <c r="J675" i="8" a="1"/>
  <c r="J675" i="8" s="1"/>
  <c r="K674" i="8" a="1"/>
  <c r="K674" i="8" s="1"/>
  <c r="J674" i="8" a="1"/>
  <c r="J674" i="8" s="1"/>
  <c r="K673" i="8" a="1"/>
  <c r="K673" i="8" s="1"/>
  <c r="J673" i="8" a="1"/>
  <c r="J673" i="8" s="1"/>
  <c r="N672" i="8"/>
  <c r="K672" i="8" a="1"/>
  <c r="K672" i="8" s="1"/>
  <c r="J672" i="8" a="1"/>
  <c r="J672" i="8" s="1"/>
  <c r="K671" i="8" a="1"/>
  <c r="K671" i="8" s="1"/>
  <c r="J671" i="8" a="1"/>
  <c r="J671" i="8" s="1"/>
  <c r="K670" i="8" a="1"/>
  <c r="K670" i="8" s="1"/>
  <c r="J670" i="8" a="1"/>
  <c r="J670" i="8" s="1"/>
  <c r="Q669" i="8"/>
  <c r="P669" i="8"/>
  <c r="K669" i="8" a="1"/>
  <c r="K669" i="8" s="1"/>
  <c r="J669" i="8" a="1"/>
  <c r="J669" i="8" s="1"/>
  <c r="K664" i="8" a="1"/>
  <c r="K664" i="8" s="1"/>
  <c r="J664" i="8" a="1"/>
  <c r="J664" i="8" s="1"/>
  <c r="I664" i="8"/>
  <c r="K663" i="8" a="1"/>
  <c r="K663" i="8" s="1"/>
  <c r="J663" i="8" a="1"/>
  <c r="J663" i="8" s="1"/>
  <c r="K662" i="8" a="1"/>
  <c r="K662" i="8" s="1"/>
  <c r="J662" i="8" a="1"/>
  <c r="J662" i="8" s="1"/>
  <c r="N661" i="8"/>
  <c r="K661" i="8" a="1"/>
  <c r="K661" i="8" s="1"/>
  <c r="J661" i="8" a="1"/>
  <c r="J661" i="8" s="1"/>
  <c r="K660" i="8" a="1"/>
  <c r="K660" i="8" s="1"/>
  <c r="J660" i="8" a="1"/>
  <c r="J660" i="8" s="1"/>
  <c r="I660" i="8"/>
  <c r="K659" i="8" a="1"/>
  <c r="K659" i="8" s="1"/>
  <c r="J659" i="8" a="1"/>
  <c r="J659" i="8" s="1"/>
  <c r="K658" i="8" a="1"/>
  <c r="K658" i="8" s="1"/>
  <c r="J658" i="8" a="1"/>
  <c r="J658" i="8" s="1"/>
  <c r="K657" i="8" a="1"/>
  <c r="K657" i="8" s="1"/>
  <c r="J657" i="8" a="1"/>
  <c r="J657" i="8" s="1"/>
  <c r="N656" i="8"/>
  <c r="K656" i="8" a="1"/>
  <c r="K656" i="8" s="1"/>
  <c r="J656" i="8" a="1"/>
  <c r="J656" i="8" s="1"/>
  <c r="I656" i="8"/>
  <c r="K655" i="8" a="1"/>
  <c r="K655" i="8" s="1"/>
  <c r="J655" i="8" a="1"/>
  <c r="J655" i="8" s="1"/>
  <c r="I655" i="8"/>
  <c r="K654" i="8" a="1"/>
  <c r="K654" i="8" s="1"/>
  <c r="J654" i="8" a="1"/>
  <c r="J654" i="8" s="1"/>
  <c r="K653" i="8" a="1"/>
  <c r="K653" i="8" s="1"/>
  <c r="J653" i="8" a="1"/>
  <c r="J653" i="8" s="1"/>
  <c r="I653" i="8"/>
  <c r="K652" i="8" a="1"/>
  <c r="K652" i="8" s="1"/>
  <c r="J652" i="8" a="1"/>
  <c r="J652" i="8" s="1"/>
  <c r="K651" i="8" a="1"/>
  <c r="K651" i="8" s="1"/>
  <c r="J651" i="8" a="1"/>
  <c r="J651" i="8" s="1"/>
  <c r="I651" i="8"/>
  <c r="N655" i="8" s="1"/>
  <c r="K650" i="8" a="1"/>
  <c r="K650" i="8" s="1"/>
  <c r="J650" i="8" a="1"/>
  <c r="J650" i="8" s="1"/>
  <c r="I650" i="8"/>
  <c r="Q649" i="8"/>
  <c r="P649" i="8"/>
  <c r="K649" i="8" a="1"/>
  <c r="K649" i="8" s="1"/>
  <c r="J649" i="8" a="1"/>
  <c r="J649" i="8" s="1"/>
  <c r="K643" i="8" a="1"/>
  <c r="K643" i="8" s="1"/>
  <c r="J643" i="8" a="1"/>
  <c r="J643" i="8" s="1"/>
  <c r="K642" i="8" a="1"/>
  <c r="K642" i="8" s="1"/>
  <c r="J642" i="8" a="1"/>
  <c r="J642" i="8" s="1"/>
  <c r="K641" i="8" a="1"/>
  <c r="K641" i="8" s="1"/>
  <c r="J641" i="8" a="1"/>
  <c r="J641" i="8" s="1"/>
  <c r="I641" i="8"/>
  <c r="K640" i="8" a="1"/>
  <c r="K640" i="8" s="1"/>
  <c r="J640" i="8" a="1"/>
  <c r="J640" i="8" s="1"/>
  <c r="I640" i="8"/>
  <c r="N639" i="8"/>
  <c r="N645" i="8" s="1"/>
  <c r="K639" i="8" a="1"/>
  <c r="K639" i="8" s="1"/>
  <c r="J639" i="8" a="1"/>
  <c r="J639" i="8" s="1"/>
  <c r="K638" i="8" a="1"/>
  <c r="K638" i="8" s="1"/>
  <c r="J638" i="8" a="1"/>
  <c r="J638" i="8" s="1"/>
  <c r="K637" i="8" a="1"/>
  <c r="K637" i="8" s="1"/>
  <c r="J637" i="8" a="1"/>
  <c r="J637" i="8" s="1"/>
  <c r="K636" i="8" a="1"/>
  <c r="K636" i="8" s="1"/>
  <c r="J636" i="8" a="1"/>
  <c r="J636" i="8" s="1"/>
  <c r="K635" i="8" a="1"/>
  <c r="K635" i="8" s="1"/>
  <c r="J635" i="8" a="1"/>
  <c r="J635" i="8" s="1"/>
  <c r="K634" i="8" a="1"/>
  <c r="K634" i="8" s="1"/>
  <c r="J634" i="8" a="1"/>
  <c r="J634" i="8" s="1"/>
  <c r="I634" i="8"/>
  <c r="N633" i="8"/>
  <c r="K633" i="8" a="1"/>
  <c r="K633" i="8" s="1"/>
  <c r="J633" i="8" a="1"/>
  <c r="J633" i="8" s="1"/>
  <c r="K632" i="8" a="1"/>
  <c r="K632" i="8" s="1"/>
  <c r="J632" i="8" a="1"/>
  <c r="J632" i="8" s="1"/>
  <c r="K631" i="8" a="1"/>
  <c r="K631" i="8" s="1"/>
  <c r="J631" i="8" a="1"/>
  <c r="J631" i="8" s="1"/>
  <c r="K630" i="8" a="1"/>
  <c r="K630" i="8" s="1"/>
  <c r="J630" i="8" a="1"/>
  <c r="J630" i="8" s="1"/>
  <c r="K629" i="8" a="1"/>
  <c r="K629" i="8" s="1"/>
  <c r="J629" i="8" a="1"/>
  <c r="J629" i="8" s="1"/>
  <c r="I629" i="8"/>
  <c r="K628" i="8" a="1"/>
  <c r="K628" i="8" s="1"/>
  <c r="J628" i="8" a="1"/>
  <c r="J628" i="8" s="1"/>
  <c r="I628" i="8"/>
  <c r="Q627" i="8"/>
  <c r="P627" i="8"/>
  <c r="K627" i="8" a="1"/>
  <c r="K627" i="8" s="1"/>
  <c r="J627" i="8" a="1"/>
  <c r="J627" i="8" s="1"/>
  <c r="I627" i="8"/>
  <c r="N622" i="8"/>
  <c r="N617" i="8"/>
  <c r="N623" i="8" s="1"/>
  <c r="K616" i="8" a="1"/>
  <c r="K616" i="8" s="1"/>
  <c r="J616" i="8" a="1"/>
  <c r="J616" i="8" s="1"/>
  <c r="K615" i="8" a="1"/>
  <c r="K615" i="8" s="1"/>
  <c r="J615" i="8" a="1"/>
  <c r="J615" i="8" s="1"/>
  <c r="K614" i="8" a="1"/>
  <c r="K614" i="8" s="1"/>
  <c r="J614" i="8" a="1"/>
  <c r="J614" i="8" s="1"/>
  <c r="K613" i="8" a="1"/>
  <c r="K613" i="8" s="1"/>
  <c r="J613" i="8" a="1"/>
  <c r="J613" i="8" s="1"/>
  <c r="K612" i="8" a="1"/>
  <c r="K612" i="8" s="1"/>
  <c r="J612" i="8" a="1"/>
  <c r="J612" i="8" s="1"/>
  <c r="I612" i="8"/>
  <c r="K611" i="8" a="1"/>
  <c r="K611" i="8" s="1"/>
  <c r="J611" i="8" a="1"/>
  <c r="J611" i="8" s="1"/>
  <c r="Q610" i="8"/>
  <c r="P610" i="8"/>
  <c r="K610" i="8" a="1"/>
  <c r="K610" i="8" s="1"/>
  <c r="J610" i="8" a="1"/>
  <c r="J610" i="8" s="1"/>
  <c r="N598" i="8"/>
  <c r="N606" i="8" s="1"/>
  <c r="K595" i="8" a="1"/>
  <c r="K595" i="8" s="1"/>
  <c r="J595" i="8" a="1"/>
  <c r="J595" i="8" s="1"/>
  <c r="K594" i="8" a="1"/>
  <c r="K594" i="8" s="1"/>
  <c r="J594" i="8" a="1"/>
  <c r="J594" i="8" s="1"/>
  <c r="Q593" i="8"/>
  <c r="P593" i="8"/>
  <c r="K593" i="8" a="1"/>
  <c r="K593" i="8" s="1"/>
  <c r="J593" i="8" a="1"/>
  <c r="J593" i="8" s="1"/>
  <c r="K587" i="8" a="1"/>
  <c r="K587" i="8" s="1"/>
  <c r="J587" i="8" a="1"/>
  <c r="J587" i="8" s="1"/>
  <c r="K586" i="8" a="1"/>
  <c r="K586" i="8" s="1"/>
  <c r="J586" i="8" a="1"/>
  <c r="J586" i="8" s="1"/>
  <c r="I586" i="8"/>
  <c r="K585" i="8" a="1"/>
  <c r="K585" i="8" s="1"/>
  <c r="J585" i="8" a="1"/>
  <c r="J585" i="8" s="1"/>
  <c r="I585" i="8"/>
  <c r="K584" i="8" a="1"/>
  <c r="K584" i="8" s="1"/>
  <c r="J584" i="8" a="1"/>
  <c r="J584" i="8" s="1"/>
  <c r="I584" i="8"/>
  <c r="K583" i="8" a="1"/>
  <c r="K583" i="8" s="1"/>
  <c r="J583" i="8" a="1"/>
  <c r="J583" i="8" s="1"/>
  <c r="K582" i="8" a="1"/>
  <c r="K582" i="8" s="1"/>
  <c r="J582" i="8" a="1"/>
  <c r="J582" i="8" s="1"/>
  <c r="K581" i="8" a="1"/>
  <c r="K581" i="8" s="1"/>
  <c r="J581" i="8" a="1"/>
  <c r="J581" i="8" s="1"/>
  <c r="K580" i="8" a="1"/>
  <c r="K580" i="8" s="1"/>
  <c r="J580" i="8" a="1"/>
  <c r="J580" i="8" s="1"/>
  <c r="K579" i="8" a="1"/>
  <c r="K579" i="8" s="1"/>
  <c r="J579" i="8" a="1"/>
  <c r="J579" i="8" s="1"/>
  <c r="K578" i="8" a="1"/>
  <c r="K578" i="8" s="1"/>
  <c r="J578" i="8" a="1"/>
  <c r="J578" i="8" s="1"/>
  <c r="K577" i="8" a="1"/>
  <c r="K577" i="8" s="1"/>
  <c r="J577" i="8" a="1"/>
  <c r="J577" i="8" s="1"/>
  <c r="K576" i="8" a="1"/>
  <c r="K576" i="8" s="1"/>
  <c r="J576" i="8" a="1"/>
  <c r="J576" i="8" s="1"/>
  <c r="I576" i="8"/>
  <c r="K575" i="8" a="1"/>
  <c r="K575" i="8" s="1"/>
  <c r="J575" i="8" a="1"/>
  <c r="J575" i="8" s="1"/>
  <c r="I575" i="8"/>
  <c r="N574" i="8"/>
  <c r="K574" i="8" a="1"/>
  <c r="K574" i="8" s="1"/>
  <c r="J574" i="8" a="1"/>
  <c r="J574" i="8" s="1"/>
  <c r="K573" i="8" a="1"/>
  <c r="K573" i="8" s="1"/>
  <c r="J573" i="8" a="1"/>
  <c r="J573" i="8" s="1"/>
  <c r="N572" i="8"/>
  <c r="K572" i="8" a="1"/>
  <c r="K572" i="8" s="1"/>
  <c r="J572" i="8" a="1"/>
  <c r="J572" i="8" s="1"/>
  <c r="I572" i="8"/>
  <c r="K571" i="8" a="1"/>
  <c r="K571" i="8" s="1"/>
  <c r="J571" i="8" a="1"/>
  <c r="J571" i="8" s="1"/>
  <c r="N570" i="8"/>
  <c r="K570" i="8" a="1"/>
  <c r="K570" i="8" s="1"/>
  <c r="J570" i="8" a="1"/>
  <c r="J570" i="8" s="1"/>
  <c r="Q569" i="8"/>
  <c r="P569" i="8"/>
  <c r="K569" i="8" a="1"/>
  <c r="K569" i="8" s="1"/>
  <c r="J569" i="8" a="1"/>
  <c r="J569" i="8" s="1"/>
  <c r="I569" i="8"/>
  <c r="N575" i="8" s="1"/>
  <c r="K564" i="8" a="1"/>
  <c r="K564" i="8" s="1"/>
  <c r="J564" i="8" a="1"/>
  <c r="J564" i="8" s="1"/>
  <c r="K563" i="8" a="1"/>
  <c r="K563" i="8" s="1"/>
  <c r="J563" i="8" a="1"/>
  <c r="J563" i="8" s="1"/>
  <c r="I563" i="8"/>
  <c r="K562" i="8" a="1"/>
  <c r="K562" i="8" s="1"/>
  <c r="J562" i="8" a="1"/>
  <c r="J562" i="8" s="1"/>
  <c r="K561" i="8" a="1"/>
  <c r="K561" i="8" s="1"/>
  <c r="J561" i="8" a="1"/>
  <c r="J561" i="8" s="1"/>
  <c r="K560" i="8" a="1"/>
  <c r="K560" i="8" s="1"/>
  <c r="J560" i="8" a="1"/>
  <c r="J560" i="8" s="1"/>
  <c r="K559" i="8" a="1"/>
  <c r="K559" i="8" s="1"/>
  <c r="J559" i="8" a="1"/>
  <c r="J559" i="8" s="1"/>
  <c r="K558" i="8" a="1"/>
  <c r="K558" i="8" s="1"/>
  <c r="J558" i="8" a="1"/>
  <c r="J558" i="8" s="1"/>
  <c r="J557" i="8" a="1"/>
  <c r="J557" i="8" s="1"/>
  <c r="L557" i="8" s="1"/>
  <c r="K556" i="8" a="1"/>
  <c r="K556" i="8" s="1"/>
  <c r="J556" i="8" a="1"/>
  <c r="J556" i="8" s="1"/>
  <c r="N555" i="8"/>
  <c r="K555" i="8" a="1"/>
  <c r="K555" i="8" s="1"/>
  <c r="J555" i="8" a="1"/>
  <c r="J555" i="8" s="1"/>
  <c r="N554" i="8"/>
  <c r="K554" i="8" a="1"/>
  <c r="K554" i="8" s="1"/>
  <c r="J554" i="8" a="1"/>
  <c r="J554" i="8" s="1"/>
  <c r="K553" i="8" a="1"/>
  <c r="K553" i="8" s="1"/>
  <c r="J553" i="8" a="1"/>
  <c r="J553" i="8" s="1"/>
  <c r="K552" i="8" a="1"/>
  <c r="K552" i="8" s="1"/>
  <c r="J552" i="8" a="1"/>
  <c r="J552" i="8" s="1"/>
  <c r="I552" i="8"/>
  <c r="K551" i="8" a="1"/>
  <c r="K551" i="8" s="1"/>
  <c r="J551" i="8" a="1"/>
  <c r="J551" i="8" s="1"/>
  <c r="I551" i="8"/>
  <c r="N550" i="8"/>
  <c r="N566" i="8" s="1"/>
  <c r="K550" i="8" a="1"/>
  <c r="K550" i="8" s="1"/>
  <c r="J550" i="8" a="1"/>
  <c r="J550" i="8" s="1"/>
  <c r="K549" i="8" a="1"/>
  <c r="K549" i="8" s="1"/>
  <c r="J549" i="8" a="1"/>
  <c r="J549" i="8" s="1"/>
  <c r="K548" i="8" a="1"/>
  <c r="K548" i="8" s="1"/>
  <c r="J548" i="8" a="1"/>
  <c r="J548" i="8" s="1"/>
  <c r="I548" i="8"/>
  <c r="N551" i="8" s="1"/>
  <c r="K547" i="8" a="1"/>
  <c r="K547" i="8" s="1"/>
  <c r="J547" i="8" a="1"/>
  <c r="J547" i="8" s="1"/>
  <c r="K546" i="8" a="1"/>
  <c r="K546" i="8" s="1"/>
  <c r="J546" i="8" a="1"/>
  <c r="J546" i="8" s="1"/>
  <c r="Q545" i="8"/>
  <c r="P545" i="8"/>
  <c r="K545" i="8" a="1"/>
  <c r="K545" i="8" s="1"/>
  <c r="J545" i="8" a="1"/>
  <c r="J545" i="8" s="1"/>
  <c r="K539" i="8" a="1"/>
  <c r="K539" i="8" s="1"/>
  <c r="J539" i="8" a="1"/>
  <c r="J539" i="8" s="1"/>
  <c r="N538" i="8"/>
  <c r="K538" i="8" a="1"/>
  <c r="K538" i="8" s="1"/>
  <c r="J538" i="8" a="1"/>
  <c r="J538" i="8" s="1"/>
  <c r="I538" i="8"/>
  <c r="K537" i="8" a="1"/>
  <c r="K537" i="8" s="1"/>
  <c r="J537" i="8" a="1"/>
  <c r="J537" i="8" s="1"/>
  <c r="K536" i="8" a="1"/>
  <c r="K536" i="8" s="1"/>
  <c r="J536" i="8" a="1"/>
  <c r="J536" i="8" s="1"/>
  <c r="K535" i="8" a="1"/>
  <c r="K535" i="8" s="1"/>
  <c r="J535" i="8" a="1"/>
  <c r="J535" i="8" s="1"/>
  <c r="I535" i="8"/>
  <c r="K534" i="8" a="1"/>
  <c r="K534" i="8" s="1"/>
  <c r="J534" i="8" a="1"/>
  <c r="J534" i="8" s="1"/>
  <c r="N533" i="8"/>
  <c r="K533" i="8" a="1"/>
  <c r="K533" i="8" s="1"/>
  <c r="J533" i="8" a="1"/>
  <c r="J533" i="8" s="1"/>
  <c r="I533" i="8"/>
  <c r="N534" i="8" s="1"/>
  <c r="K532" i="8" a="1"/>
  <c r="K532" i="8" s="1"/>
  <c r="J532" i="8" a="1"/>
  <c r="J532" i="8" s="1"/>
  <c r="K531" i="8" a="1"/>
  <c r="K531" i="8" s="1"/>
  <c r="J531" i="8" a="1"/>
  <c r="J531" i="8" s="1"/>
  <c r="K530" i="8" a="1"/>
  <c r="K530" i="8" s="1"/>
  <c r="J530" i="8" a="1"/>
  <c r="J530" i="8" s="1"/>
  <c r="N529" i="8"/>
  <c r="K529" i="8" a="1"/>
  <c r="K529" i="8" s="1"/>
  <c r="J529" i="8" a="1"/>
  <c r="J529" i="8" s="1"/>
  <c r="Q528" i="8"/>
  <c r="P528" i="8"/>
  <c r="N525" i="8"/>
  <c r="K522" i="8" a="1"/>
  <c r="K522" i="8" s="1"/>
  <c r="J522" i="8" a="1"/>
  <c r="J522" i="8" s="1"/>
  <c r="I522" i="8"/>
  <c r="K521" i="8" a="1"/>
  <c r="K521" i="8" s="1"/>
  <c r="J521" i="8" a="1"/>
  <c r="J521" i="8" s="1"/>
  <c r="K520" i="8" a="1"/>
  <c r="K520" i="8" s="1"/>
  <c r="J520" i="8" a="1"/>
  <c r="J520" i="8" s="1"/>
  <c r="K519" i="8" a="1"/>
  <c r="K519" i="8" s="1"/>
  <c r="J519" i="8" a="1"/>
  <c r="J519" i="8" s="1"/>
  <c r="N518" i="8"/>
  <c r="K518" i="8" a="1"/>
  <c r="K518" i="8" s="1"/>
  <c r="J518" i="8" a="1"/>
  <c r="J518" i="8" s="1"/>
  <c r="K517" i="8" a="1"/>
  <c r="K517" i="8" s="1"/>
  <c r="J517" i="8" a="1"/>
  <c r="J517" i="8" s="1"/>
  <c r="K516" i="8" a="1"/>
  <c r="K516" i="8" s="1"/>
  <c r="J516" i="8" a="1"/>
  <c r="J516" i="8" s="1"/>
  <c r="N515" i="8"/>
  <c r="K515" i="8" a="1"/>
  <c r="K515" i="8" s="1"/>
  <c r="J515" i="8" a="1"/>
  <c r="J515" i="8" s="1"/>
  <c r="K514" i="8" a="1"/>
  <c r="K514" i="8" s="1"/>
  <c r="J514" i="8" a="1"/>
  <c r="J514" i="8" s="1"/>
  <c r="K513" i="8" a="1"/>
  <c r="K513" i="8" s="1"/>
  <c r="J513" i="8" a="1"/>
  <c r="J513" i="8" s="1"/>
  <c r="Q512" i="8"/>
  <c r="P512" i="8"/>
  <c r="K512" i="8" a="1"/>
  <c r="K512" i="8" s="1"/>
  <c r="J512" i="8" a="1"/>
  <c r="J512" i="8" s="1"/>
  <c r="N505" i="8"/>
  <c r="K503" i="8" a="1"/>
  <c r="K503" i="8" s="1"/>
  <c r="J503" i="8" a="1"/>
  <c r="J503" i="8" s="1"/>
  <c r="K502" i="8" a="1"/>
  <c r="K502" i="8" s="1"/>
  <c r="J502" i="8" a="1"/>
  <c r="J502" i="8" s="1"/>
  <c r="K501" i="8" a="1"/>
  <c r="K501" i="8" s="1"/>
  <c r="J501" i="8" a="1"/>
  <c r="J501" i="8" s="1"/>
  <c r="K500" i="8" a="1"/>
  <c r="K500" i="8" s="1"/>
  <c r="J500" i="8" a="1"/>
  <c r="J500" i="8" s="1"/>
  <c r="K499" i="8" a="1"/>
  <c r="K499" i="8" s="1"/>
  <c r="J499" i="8" a="1"/>
  <c r="J499" i="8" s="1"/>
  <c r="N498" i="8"/>
  <c r="K498" i="8" a="1"/>
  <c r="K498" i="8" s="1"/>
  <c r="J498" i="8" a="1"/>
  <c r="J498" i="8" s="1"/>
  <c r="K497" i="8" a="1"/>
  <c r="K497" i="8" s="1"/>
  <c r="J497" i="8" a="1"/>
  <c r="J497" i="8" s="1"/>
  <c r="I497" i="8"/>
  <c r="N496" i="8"/>
  <c r="K496" i="8" a="1"/>
  <c r="K496" i="8" s="1"/>
  <c r="J496" i="8" a="1"/>
  <c r="J496" i="8" s="1"/>
  <c r="Q495" i="8"/>
  <c r="P495" i="8"/>
  <c r="K495" i="8" a="1"/>
  <c r="K495" i="8" s="1"/>
  <c r="J495" i="8" a="1"/>
  <c r="J495" i="8" s="1"/>
  <c r="I495" i="8"/>
  <c r="N501" i="8" s="1"/>
  <c r="K485" i="8" a="1"/>
  <c r="K485" i="8" s="1"/>
  <c r="J485" i="8" a="1"/>
  <c r="J485" i="8" s="1"/>
  <c r="I485" i="8"/>
  <c r="N484" i="8"/>
  <c r="K484" i="8" a="1"/>
  <c r="K484" i="8" s="1"/>
  <c r="J484" i="8" a="1"/>
  <c r="J484" i="8" s="1"/>
  <c r="K483" i="8" a="1"/>
  <c r="K483" i="8" s="1"/>
  <c r="J483" i="8" a="1"/>
  <c r="J483" i="8" s="1"/>
  <c r="K482" i="8" a="1"/>
  <c r="K482" i="8" s="1"/>
  <c r="J482" i="8" a="1"/>
  <c r="J482" i="8" s="1"/>
  <c r="N481" i="8"/>
  <c r="K481" i="8" a="1"/>
  <c r="K481" i="8" s="1"/>
  <c r="J481" i="8" a="1"/>
  <c r="J481" i="8" s="1"/>
  <c r="N479" i="8"/>
  <c r="N491" i="8" s="1"/>
  <c r="K479" i="8" a="1"/>
  <c r="K479" i="8" s="1"/>
  <c r="J479" i="8" a="1"/>
  <c r="J479" i="8" s="1"/>
  <c r="Q478" i="8"/>
  <c r="P478" i="8"/>
  <c r="K478" i="8" a="1"/>
  <c r="K478" i="8" s="1"/>
  <c r="J478" i="8" a="1"/>
  <c r="J478" i="8" s="1"/>
  <c r="I478" i="8"/>
  <c r="K472" i="8" a="1"/>
  <c r="K472" i="8" s="1"/>
  <c r="J472" i="8" a="1"/>
  <c r="J472" i="8" s="1"/>
  <c r="I472" i="8"/>
  <c r="K471" i="8" a="1"/>
  <c r="K471" i="8" s="1"/>
  <c r="J471" i="8" a="1"/>
  <c r="J471" i="8" s="1"/>
  <c r="I471" i="8"/>
  <c r="K470" i="8" a="1"/>
  <c r="K470" i="8" s="1"/>
  <c r="J470" i="8" a="1"/>
  <c r="J470" i="8" s="1"/>
  <c r="K469" i="8" a="1"/>
  <c r="K469" i="8" s="1"/>
  <c r="J469" i="8" a="1"/>
  <c r="J469" i="8" s="1"/>
  <c r="K468" i="8" a="1"/>
  <c r="K468" i="8" s="1"/>
  <c r="J468" i="8" a="1"/>
  <c r="J468" i="8" s="1"/>
  <c r="I468" i="8"/>
  <c r="K467" i="8" a="1"/>
  <c r="K467" i="8" s="1"/>
  <c r="J467" i="8" a="1"/>
  <c r="J467" i="8" s="1"/>
  <c r="K466" i="8" a="1"/>
  <c r="K466" i="8" s="1"/>
  <c r="J466" i="8" a="1"/>
  <c r="J466" i="8" s="1"/>
  <c r="I466" i="8"/>
  <c r="K465" i="8" a="1"/>
  <c r="K465" i="8" s="1"/>
  <c r="J465" i="8" a="1"/>
  <c r="J465" i="8" s="1"/>
  <c r="I465" i="8"/>
  <c r="K464" i="8" a="1"/>
  <c r="K464" i="8" s="1"/>
  <c r="J464" i="8" a="1"/>
  <c r="J464" i="8" s="1"/>
  <c r="K463" i="8" a="1"/>
  <c r="K463" i="8" s="1"/>
  <c r="J463" i="8" a="1"/>
  <c r="J463" i="8" s="1"/>
  <c r="I463" i="8"/>
  <c r="K462" i="8" a="1"/>
  <c r="K462" i="8" s="1"/>
  <c r="J462" i="8" a="1"/>
  <c r="J462" i="8" s="1"/>
  <c r="K461" i="8" a="1"/>
  <c r="K461" i="8" s="1"/>
  <c r="J461" i="8" a="1"/>
  <c r="J461" i="8" s="1"/>
  <c r="K460" i="8" a="1"/>
  <c r="K460" i="8" s="1"/>
  <c r="J460" i="8" a="1"/>
  <c r="J460" i="8" s="1"/>
  <c r="I460" i="8"/>
  <c r="K459" i="8" a="1"/>
  <c r="K459" i="8" s="1"/>
  <c r="J459" i="8" a="1"/>
  <c r="J459" i="8" s="1"/>
  <c r="I459" i="8"/>
  <c r="K458" i="8" a="1"/>
  <c r="K458" i="8" s="1"/>
  <c r="J458" i="8" a="1"/>
  <c r="J458" i="8" s="1"/>
  <c r="K457" i="8" a="1"/>
  <c r="K457" i="8" s="1"/>
  <c r="J457" i="8" a="1"/>
  <c r="J457" i="8" s="1"/>
  <c r="K456" i="8" a="1"/>
  <c r="K456" i="8" s="1"/>
  <c r="J456" i="8" a="1"/>
  <c r="J456" i="8" s="1"/>
  <c r="K455" i="8" a="1"/>
  <c r="K455" i="8" s="1"/>
  <c r="J455" i="8" a="1"/>
  <c r="J455" i="8" s="1"/>
  <c r="K454" i="8" a="1"/>
  <c r="K454" i="8" s="1"/>
  <c r="J454" i="8" a="1"/>
  <c r="J454" i="8" s="1"/>
  <c r="I454" i="8"/>
  <c r="K453" i="8" a="1"/>
  <c r="K453" i="8" s="1"/>
  <c r="J453" i="8" a="1"/>
  <c r="J453" i="8" s="1"/>
  <c r="K452" i="8" a="1"/>
  <c r="K452" i="8" s="1"/>
  <c r="J452" i="8" a="1"/>
  <c r="J452" i="8" s="1"/>
  <c r="I452" i="8"/>
  <c r="N451" i="8"/>
  <c r="K451" i="8" a="1"/>
  <c r="K451" i="8" s="1"/>
  <c r="J451" i="8" a="1"/>
  <c r="J451" i="8" s="1"/>
  <c r="K450" i="8" a="1"/>
  <c r="K450" i="8" s="1"/>
  <c r="J450" i="8" a="1"/>
  <c r="J450" i="8" s="1"/>
  <c r="K449" i="8" a="1"/>
  <c r="K449" i="8" s="1"/>
  <c r="J449" i="8" a="1"/>
  <c r="J449" i="8" s="1"/>
  <c r="N448" i="8"/>
  <c r="K448" i="8" a="1"/>
  <c r="K448" i="8" s="1"/>
  <c r="J448" i="8" a="1"/>
  <c r="J448" i="8" s="1"/>
  <c r="I448" i="8"/>
  <c r="N447" i="8"/>
  <c r="K447" i="8" a="1"/>
  <c r="K447" i="8" s="1"/>
  <c r="J447" i="8" a="1"/>
  <c r="J447" i="8" s="1"/>
  <c r="K446" i="8" a="1"/>
  <c r="K446" i="8" s="1"/>
  <c r="J446" i="8" a="1"/>
  <c r="J446" i="8" s="1"/>
  <c r="N445" i="8"/>
  <c r="K445" i="8" a="1"/>
  <c r="K445" i="8" s="1"/>
  <c r="J445" i="8" a="1"/>
  <c r="J445" i="8" s="1"/>
  <c r="I445" i="8"/>
  <c r="K444" i="8" a="1"/>
  <c r="K444" i="8" s="1"/>
  <c r="J444" i="8" a="1"/>
  <c r="J444" i="8" s="1"/>
  <c r="N443" i="8"/>
  <c r="K443" i="8" a="1"/>
  <c r="K443" i="8" s="1"/>
  <c r="J443" i="8" a="1"/>
  <c r="J443" i="8" s="1"/>
  <c r="Q442" i="8"/>
  <c r="P442" i="8"/>
  <c r="K442" i="8" a="1"/>
  <c r="K442" i="8" s="1"/>
  <c r="J442" i="8" a="1"/>
  <c r="J442" i="8" s="1"/>
  <c r="I442" i="8"/>
  <c r="K436" i="8" a="1"/>
  <c r="K436" i="8" s="1"/>
  <c r="J436" i="8" a="1"/>
  <c r="J436" i="8" s="1"/>
  <c r="K435" i="8" a="1"/>
  <c r="K435" i="8" s="1"/>
  <c r="J435" i="8" a="1"/>
  <c r="J435" i="8" s="1"/>
  <c r="K434" i="8" a="1"/>
  <c r="K434" i="8" s="1"/>
  <c r="J434" i="8" a="1"/>
  <c r="J434" i="8" s="1"/>
  <c r="K433" i="8" a="1"/>
  <c r="K433" i="8" s="1"/>
  <c r="J433" i="8" a="1"/>
  <c r="J433" i="8" s="1"/>
  <c r="K432" i="8" a="1"/>
  <c r="K432" i="8" s="1"/>
  <c r="J432" i="8" a="1"/>
  <c r="J432" i="8" s="1"/>
  <c r="I432" i="8"/>
  <c r="K431" i="8" a="1"/>
  <c r="K431" i="8" s="1"/>
  <c r="J431" i="8" a="1"/>
  <c r="J431" i="8" s="1"/>
  <c r="K430" i="8" a="1"/>
  <c r="K430" i="8" s="1"/>
  <c r="J430" i="8" a="1"/>
  <c r="J430" i="8" s="1"/>
  <c r="N429" i="8"/>
  <c r="K429" i="8" a="1"/>
  <c r="K429" i="8" s="1"/>
  <c r="J429" i="8" a="1"/>
  <c r="J429" i="8" s="1"/>
  <c r="K428" i="8" a="1"/>
  <c r="K428" i="8" s="1"/>
  <c r="J428" i="8" a="1"/>
  <c r="J428" i="8" s="1"/>
  <c r="K427" i="8" a="1"/>
  <c r="K427" i="8" s="1"/>
  <c r="J427" i="8" a="1"/>
  <c r="J427" i="8" s="1"/>
  <c r="N426" i="8"/>
  <c r="K426" i="8" a="1"/>
  <c r="K426" i="8" s="1"/>
  <c r="J426" i="8" a="1"/>
  <c r="J426" i="8" s="1"/>
  <c r="K425" i="8" a="1"/>
  <c r="K425" i="8" s="1"/>
  <c r="J425" i="8" a="1"/>
  <c r="J425" i="8" s="1"/>
  <c r="I425" i="8"/>
  <c r="K424" i="8" a="1"/>
  <c r="K424" i="8" s="1"/>
  <c r="J424" i="8" a="1"/>
  <c r="J424" i="8" s="1"/>
  <c r="I424" i="8"/>
  <c r="K423" i="8" a="1"/>
  <c r="K423" i="8" s="1"/>
  <c r="J423" i="8" a="1"/>
  <c r="J423" i="8" s="1"/>
  <c r="K422" i="8" a="1"/>
  <c r="K422" i="8" s="1"/>
  <c r="J422" i="8" a="1"/>
  <c r="J422" i="8" s="1"/>
  <c r="K421" i="8" a="1"/>
  <c r="K421" i="8" s="1"/>
  <c r="J421" i="8" a="1"/>
  <c r="J421" i="8" s="1"/>
  <c r="I421" i="8"/>
  <c r="N420" i="8"/>
  <c r="N438" i="8" s="1"/>
  <c r="K420" i="8" a="1"/>
  <c r="K420" i="8" s="1"/>
  <c r="J420" i="8" a="1"/>
  <c r="J420" i="8" s="1"/>
  <c r="Q419" i="8"/>
  <c r="P419" i="8"/>
  <c r="K419" i="8" a="1"/>
  <c r="K419" i="8" s="1"/>
  <c r="J419" i="8" a="1"/>
  <c r="J419" i="8" s="1"/>
  <c r="K414" i="8" a="1"/>
  <c r="K414" i="8" s="1"/>
  <c r="J414" i="8" a="1"/>
  <c r="J414" i="8" s="1"/>
  <c r="K413" i="8" a="1"/>
  <c r="K413" i="8" s="1"/>
  <c r="J413" i="8" a="1"/>
  <c r="J413" i="8" s="1"/>
  <c r="K412" i="8" a="1"/>
  <c r="K412" i="8" s="1"/>
  <c r="J412" i="8" a="1"/>
  <c r="J412" i="8" s="1"/>
  <c r="K411" i="8" a="1"/>
  <c r="K411" i="8" s="1"/>
  <c r="J411" i="8" a="1"/>
  <c r="J411" i="8" s="1"/>
  <c r="K410" i="8" a="1"/>
  <c r="K410" i="8" s="1"/>
  <c r="J410" i="8" a="1"/>
  <c r="J410" i="8" s="1"/>
  <c r="I410" i="8"/>
  <c r="K409" i="8" a="1"/>
  <c r="K409" i="8" s="1"/>
  <c r="J409" i="8" a="1"/>
  <c r="J409" i="8" s="1"/>
  <c r="K408" i="8" a="1"/>
  <c r="K408" i="8" s="1"/>
  <c r="J408" i="8" a="1"/>
  <c r="J408" i="8" s="1"/>
  <c r="N407" i="8"/>
  <c r="N416" i="8" s="1"/>
  <c r="K407" i="8" a="1"/>
  <c r="K407" i="8" s="1"/>
  <c r="J407" i="8" a="1"/>
  <c r="J407" i="8" s="1"/>
  <c r="I407" i="8"/>
  <c r="K406" i="8" a="1"/>
  <c r="K406" i="8" s="1"/>
  <c r="J406" i="8" a="1"/>
  <c r="J406" i="8" s="1"/>
  <c r="K405" i="8" a="1"/>
  <c r="K405" i="8" s="1"/>
  <c r="J405" i="8" a="1"/>
  <c r="J405" i="8" s="1"/>
  <c r="K404" i="8" a="1"/>
  <c r="K404" i="8" s="1"/>
  <c r="J404" i="8" a="1"/>
  <c r="J404" i="8" s="1"/>
  <c r="K403" i="8" a="1"/>
  <c r="K403" i="8" s="1"/>
  <c r="J403" i="8" a="1"/>
  <c r="J403" i="8" s="1"/>
  <c r="K402" i="8" a="1"/>
  <c r="K402" i="8" s="1"/>
  <c r="J402" i="8" a="1"/>
  <c r="J402" i="8" s="1"/>
  <c r="Q401" i="8"/>
  <c r="P401" i="8"/>
  <c r="K401" i="8" a="1"/>
  <c r="K401" i="8" s="1"/>
  <c r="J401" i="8" a="1"/>
  <c r="J401" i="8" s="1"/>
  <c r="I401" i="8"/>
  <c r="N392" i="8"/>
  <c r="K392" i="8" a="1"/>
  <c r="K392" i="8" s="1"/>
  <c r="J392" i="8" a="1"/>
  <c r="J392" i="8" s="1"/>
  <c r="I392" i="8"/>
  <c r="N391" i="8"/>
  <c r="N398" i="8" s="1"/>
  <c r="K391" i="8" a="1"/>
  <c r="K391" i="8" s="1"/>
  <c r="J391" i="8" a="1"/>
  <c r="J391" i="8" s="1"/>
  <c r="K390" i="8" a="1"/>
  <c r="K390" i="8" s="1"/>
  <c r="J390" i="8" a="1"/>
  <c r="J390" i="8" s="1"/>
  <c r="K389" i="8" a="1"/>
  <c r="K389" i="8" s="1"/>
  <c r="J389" i="8" a="1"/>
  <c r="J389" i="8" s="1"/>
  <c r="K388" i="8" a="1"/>
  <c r="K388" i="8" s="1"/>
  <c r="J388" i="8" a="1"/>
  <c r="J388" i="8" s="1"/>
  <c r="I388" i="8"/>
  <c r="K387" i="8" a="1"/>
  <c r="K387" i="8" s="1"/>
  <c r="J387" i="8" a="1"/>
  <c r="J387" i="8" s="1"/>
  <c r="I387" i="8"/>
  <c r="K386" i="8" a="1"/>
  <c r="K386" i="8" s="1"/>
  <c r="J386" i="8" a="1"/>
  <c r="J386" i="8" s="1"/>
  <c r="I386" i="8"/>
  <c r="Q385" i="8"/>
  <c r="P385" i="8"/>
  <c r="K385" i="8" a="1"/>
  <c r="K385" i="8" s="1"/>
  <c r="J385" i="8" a="1"/>
  <c r="J385" i="8" s="1"/>
  <c r="I385" i="8"/>
  <c r="K379" i="8" a="1"/>
  <c r="K379" i="8" s="1"/>
  <c r="J379" i="8" a="1"/>
  <c r="J379" i="8" s="1"/>
  <c r="N378" i="8"/>
  <c r="K378" i="8" a="1"/>
  <c r="K378" i="8" s="1"/>
  <c r="J378" i="8" a="1"/>
  <c r="J378" i="8" s="1"/>
  <c r="I378" i="8"/>
  <c r="K377" i="8" a="1"/>
  <c r="K377" i="8" s="1"/>
  <c r="J377" i="8" a="1"/>
  <c r="J377" i="8" s="1"/>
  <c r="K376" i="8" a="1"/>
  <c r="K376" i="8" s="1"/>
  <c r="J376" i="8" a="1"/>
  <c r="J376" i="8" s="1"/>
  <c r="I376" i="8"/>
  <c r="K375" i="8" a="1"/>
  <c r="K375" i="8" s="1"/>
  <c r="J375" i="8" a="1"/>
  <c r="J375" i="8" s="1"/>
  <c r="I375" i="8"/>
  <c r="K374" i="8" a="1"/>
  <c r="K374" i="8" s="1"/>
  <c r="J374" i="8" a="1"/>
  <c r="J374" i="8" s="1"/>
  <c r="I374" i="8"/>
  <c r="N374" i="8" s="1"/>
  <c r="K373" i="8" a="1"/>
  <c r="K373" i="8" s="1"/>
  <c r="J373" i="8" a="1"/>
  <c r="J373" i="8" s="1"/>
  <c r="I373" i="8"/>
  <c r="K372" i="8" a="1"/>
  <c r="K372" i="8" s="1"/>
  <c r="J372" i="8" a="1"/>
  <c r="J372" i="8" s="1"/>
  <c r="N371" i="8"/>
  <c r="N381" i="8" s="1"/>
  <c r="K371" i="8" a="1"/>
  <c r="K371" i="8" s="1"/>
  <c r="J371" i="8" a="1"/>
  <c r="J371" i="8" s="1"/>
  <c r="K370" i="8" a="1"/>
  <c r="K370" i="8" s="1"/>
  <c r="J370" i="8" a="1"/>
  <c r="J370" i="8" s="1"/>
  <c r="K369" i="8" a="1"/>
  <c r="K369" i="8" s="1"/>
  <c r="J369" i="8" a="1"/>
  <c r="J369" i="8" s="1"/>
  <c r="Q368" i="8"/>
  <c r="P368" i="8"/>
  <c r="K368" i="8" a="1"/>
  <c r="K368" i="8" s="1"/>
  <c r="J368" i="8" a="1"/>
  <c r="J368" i="8" s="1"/>
  <c r="N357" i="8"/>
  <c r="K357" i="8" a="1"/>
  <c r="K357" i="8" s="1"/>
  <c r="J357" i="8" a="1"/>
  <c r="J357" i="8" s="1"/>
  <c r="N356" i="8"/>
  <c r="N364" i="8" s="1"/>
  <c r="K356" i="8" a="1"/>
  <c r="K356" i="8" s="1"/>
  <c r="J356" i="8" a="1"/>
  <c r="J356" i="8" s="1"/>
  <c r="I356" i="8"/>
  <c r="K355" i="8" a="1"/>
  <c r="K355" i="8" s="1"/>
  <c r="J355" i="8" a="1"/>
  <c r="J355" i="8" s="1"/>
  <c r="K354" i="8" a="1"/>
  <c r="K354" i="8" s="1"/>
  <c r="J354" i="8" a="1"/>
  <c r="J354" i="8" s="1"/>
  <c r="K353" i="8" a="1"/>
  <c r="K353" i="8" s="1"/>
  <c r="J353" i="8" a="1"/>
  <c r="J353" i="8" s="1"/>
  <c r="I353" i="8"/>
  <c r="K352" i="8" a="1"/>
  <c r="K352" i="8" s="1"/>
  <c r="J352" i="8" a="1"/>
  <c r="J352" i="8" s="1"/>
  <c r="K351" i="8" a="1"/>
  <c r="K351" i="8" s="1"/>
  <c r="J351" i="8" a="1"/>
  <c r="J351" i="8" s="1"/>
  <c r="I351" i="8"/>
  <c r="Q350" i="8"/>
  <c r="P350" i="8"/>
  <c r="K350" i="8" a="1"/>
  <c r="K350" i="8" s="1"/>
  <c r="J350" i="8" a="1"/>
  <c r="J350" i="8" s="1"/>
  <c r="K344" i="8" a="1"/>
  <c r="K344" i="8" s="1"/>
  <c r="J344" i="8" a="1"/>
  <c r="J344" i="8" s="1"/>
  <c r="K343" i="8" a="1"/>
  <c r="K343" i="8" s="1"/>
  <c r="J343" i="8" a="1"/>
  <c r="J343" i="8" s="1"/>
  <c r="I343" i="8"/>
  <c r="K342" i="8" a="1"/>
  <c r="K342" i="8" s="1"/>
  <c r="J342" i="8" a="1"/>
  <c r="J342" i="8" s="1"/>
  <c r="I342" i="8"/>
  <c r="K341" i="8" a="1"/>
  <c r="K341" i="8" s="1"/>
  <c r="J341" i="8" a="1"/>
  <c r="J341" i="8" s="1"/>
  <c r="K340" i="8" a="1"/>
  <c r="K340" i="8" s="1"/>
  <c r="J340" i="8" a="1"/>
  <c r="J340" i="8" s="1"/>
  <c r="I340" i="8"/>
  <c r="K339" i="8" a="1"/>
  <c r="K339" i="8" s="1"/>
  <c r="J339" i="8" a="1"/>
  <c r="J339" i="8" s="1"/>
  <c r="K338" i="8" a="1"/>
  <c r="K338" i="8" s="1"/>
  <c r="J338" i="8" a="1"/>
  <c r="J338" i="8" s="1"/>
  <c r="I338" i="8"/>
  <c r="N337" i="8"/>
  <c r="K337" i="8" a="1"/>
  <c r="K337" i="8" s="1"/>
  <c r="J337" i="8" a="1"/>
  <c r="J337" i="8" s="1"/>
  <c r="K336" i="8" a="1"/>
  <c r="K336" i="8" s="1"/>
  <c r="J336" i="8" a="1"/>
  <c r="J336" i="8" s="1"/>
  <c r="I336" i="8"/>
  <c r="N335" i="8"/>
  <c r="K335" i="8" a="1"/>
  <c r="K335" i="8" s="1"/>
  <c r="J335" i="8" a="1"/>
  <c r="J335" i="8" s="1"/>
  <c r="I335" i="8"/>
  <c r="K334" i="8" a="1"/>
  <c r="K334" i="8" s="1"/>
  <c r="J334" i="8" a="1"/>
  <c r="J334" i="8" s="1"/>
  <c r="I334" i="8"/>
  <c r="N338" i="8" s="1"/>
  <c r="N346" i="8" s="1"/>
  <c r="K333" i="8" a="1"/>
  <c r="K333" i="8" s="1"/>
  <c r="J333" i="8" a="1"/>
  <c r="J333" i="8" s="1"/>
  <c r="I333" i="8"/>
  <c r="Q332" i="8"/>
  <c r="P332" i="8"/>
  <c r="K332" i="8" a="1"/>
  <c r="K332" i="8" s="1"/>
  <c r="J332" i="8" a="1"/>
  <c r="J332" i="8" s="1"/>
  <c r="N328" i="8"/>
  <c r="K326" i="8" a="1"/>
  <c r="K326" i="8" s="1"/>
  <c r="J326" i="8" a="1"/>
  <c r="J326" i="8" s="1"/>
  <c r="I326" i="8"/>
  <c r="K325" i="8" a="1"/>
  <c r="K325" i="8" s="1"/>
  <c r="J325" i="8" a="1"/>
  <c r="J325" i="8" s="1"/>
  <c r="I325" i="8"/>
  <c r="K324" i="8" a="1"/>
  <c r="K324" i="8" s="1"/>
  <c r="J324" i="8" a="1"/>
  <c r="J324" i="8" s="1"/>
  <c r="K323" i="8" a="1"/>
  <c r="K323" i="8" s="1"/>
  <c r="J323" i="8" a="1"/>
  <c r="J323" i="8" s="1"/>
  <c r="K322" i="8" a="1"/>
  <c r="K322" i="8" s="1"/>
  <c r="J322" i="8" a="1"/>
  <c r="J322" i="8" s="1"/>
  <c r="I322" i="8"/>
  <c r="K321" i="8" a="1"/>
  <c r="K321" i="8" s="1"/>
  <c r="J321" i="8" a="1"/>
  <c r="J321" i="8" s="1"/>
  <c r="I321" i="8"/>
  <c r="K320" i="8" a="1"/>
  <c r="K320" i="8" s="1"/>
  <c r="J320" i="8" a="1"/>
  <c r="J320" i="8" s="1"/>
  <c r="K319" i="8" a="1"/>
  <c r="K319" i="8" s="1"/>
  <c r="J319" i="8" a="1"/>
  <c r="J319" i="8" s="1"/>
  <c r="I319" i="8"/>
  <c r="N318" i="8"/>
  <c r="K318" i="8" a="1"/>
  <c r="K318" i="8" s="1"/>
  <c r="J318" i="8" a="1"/>
  <c r="J318" i="8" s="1"/>
  <c r="I318" i="8"/>
  <c r="N317" i="8"/>
  <c r="K317" i="8" a="1"/>
  <c r="K317" i="8" s="1"/>
  <c r="I317" i="8"/>
  <c r="K316" i="8" a="1"/>
  <c r="K316" i="8" s="1"/>
  <c r="J316" i="8" a="1"/>
  <c r="J316" i="8" s="1"/>
  <c r="I316" i="8"/>
  <c r="K315" i="8" a="1"/>
  <c r="K315" i="8" s="1"/>
  <c r="J315" i="8" a="1"/>
  <c r="J315" i="8" s="1"/>
  <c r="K314" i="8" a="1"/>
  <c r="K314" i="8" s="1"/>
  <c r="J314" i="8" a="1"/>
  <c r="J314" i="8" s="1"/>
  <c r="K313" i="8" a="1"/>
  <c r="K313" i="8" s="1"/>
  <c r="Q312" i="8"/>
  <c r="P312" i="8"/>
  <c r="K312" i="8" a="1"/>
  <c r="K312" i="8" s="1"/>
  <c r="J312" i="8" a="1"/>
  <c r="J312" i="8" s="1"/>
  <c r="K307" i="8" a="1"/>
  <c r="K307" i="8" s="1"/>
  <c r="J307" i="8" a="1"/>
  <c r="J307" i="8" s="1"/>
  <c r="K306" i="8" a="1"/>
  <c r="K306" i="8" s="1"/>
  <c r="J306" i="8" a="1"/>
  <c r="J306" i="8" s="1"/>
  <c r="K305" i="8" a="1"/>
  <c r="K305" i="8" s="1"/>
  <c r="J305" i="8" a="1"/>
  <c r="J305" i="8" s="1"/>
  <c r="K304" i="8" a="1"/>
  <c r="K304" i="8" s="1"/>
  <c r="J304" i="8" a="1"/>
  <c r="J304" i="8" s="1"/>
  <c r="K303" i="8" a="1"/>
  <c r="K303" i="8" s="1"/>
  <c r="J303" i="8" a="1"/>
  <c r="J303" i="8" s="1"/>
  <c r="N302" i="8"/>
  <c r="K302" i="8" a="1"/>
  <c r="K302" i="8" s="1"/>
  <c r="J302" i="8" a="1"/>
  <c r="J302" i="8" s="1"/>
  <c r="K301" i="8" a="1"/>
  <c r="K301" i="8" s="1"/>
  <c r="J301" i="8" a="1"/>
  <c r="J301" i="8" s="1"/>
  <c r="I301" i="8"/>
  <c r="K300" i="8" a="1"/>
  <c r="K300" i="8" s="1"/>
  <c r="J300" i="8" a="1"/>
  <c r="J300" i="8" s="1"/>
  <c r="K299" i="8" a="1"/>
  <c r="K299" i="8" s="1"/>
  <c r="J299" i="8" a="1"/>
  <c r="J299" i="8" s="1"/>
  <c r="I299" i="8"/>
  <c r="N298" i="8"/>
  <c r="K298" i="8" a="1"/>
  <c r="K298" i="8" s="1"/>
  <c r="J298" i="8" a="1"/>
  <c r="J298" i="8" s="1"/>
  <c r="I298" i="8"/>
  <c r="N301" i="8" s="1"/>
  <c r="N309" i="8" s="1"/>
  <c r="K297" i="8" a="1"/>
  <c r="K297" i="8" s="1"/>
  <c r="J297" i="8" a="1"/>
  <c r="J297" i="8" s="1"/>
  <c r="I297" i="8"/>
  <c r="K296" i="8" a="1"/>
  <c r="K296" i="8" s="1"/>
  <c r="J296" i="8" a="1"/>
  <c r="J296" i="8" s="1"/>
  <c r="I296" i="8"/>
  <c r="Q295" i="8"/>
  <c r="P295" i="8"/>
  <c r="K295" i="8" a="1"/>
  <c r="K295" i="8" s="1"/>
  <c r="J295" i="8" a="1"/>
  <c r="J295" i="8" s="1"/>
  <c r="K289" i="8" a="1"/>
  <c r="K289" i="8" s="1"/>
  <c r="J289" i="8" a="1"/>
  <c r="J289" i="8" s="1"/>
  <c r="K288" i="8" a="1"/>
  <c r="K288" i="8" s="1"/>
  <c r="J288" i="8" a="1"/>
  <c r="J288" i="8" s="1"/>
  <c r="N287" i="8"/>
  <c r="K287" i="8" a="1"/>
  <c r="K287" i="8" s="1"/>
  <c r="J287" i="8" a="1"/>
  <c r="J287" i="8" s="1"/>
  <c r="I287" i="8"/>
  <c r="K286" i="8" a="1"/>
  <c r="K286" i="8" s="1"/>
  <c r="J286" i="8" a="1"/>
  <c r="J286" i="8" s="1"/>
  <c r="K285" i="8" a="1"/>
  <c r="K285" i="8" s="1"/>
  <c r="J285" i="8" a="1"/>
  <c r="J285" i="8" s="1"/>
  <c r="I285" i="8"/>
  <c r="K284" i="8" a="1"/>
  <c r="K284" i="8" s="1"/>
  <c r="J284" i="8" a="1"/>
  <c r="J284" i="8" s="1"/>
  <c r="I284" i="8"/>
  <c r="K283" i="8" a="1"/>
  <c r="K283" i="8" s="1"/>
  <c r="J283" i="8" a="1"/>
  <c r="J283" i="8" s="1"/>
  <c r="I283" i="8"/>
  <c r="K282" i="8" a="1"/>
  <c r="K282" i="8" s="1"/>
  <c r="J282" i="8" a="1"/>
  <c r="J282" i="8" s="1"/>
  <c r="I282" i="8"/>
  <c r="K281" i="8" a="1"/>
  <c r="K281" i="8" s="1"/>
  <c r="J281" i="8" a="1"/>
  <c r="J281" i="8" s="1"/>
  <c r="I281" i="8"/>
  <c r="K280" i="8" a="1"/>
  <c r="K280" i="8" s="1"/>
  <c r="J280" i="8" a="1"/>
  <c r="J280" i="8" s="1"/>
  <c r="I280" i="8"/>
  <c r="N283" i="8" s="1"/>
  <c r="N291" i="8" s="1"/>
  <c r="K279" i="8" a="1"/>
  <c r="K279" i="8" s="1"/>
  <c r="J279" i="8" a="1"/>
  <c r="J279" i="8" s="1"/>
  <c r="K278" i="8" a="1"/>
  <c r="K278" i="8" s="1"/>
  <c r="J278" i="8" a="1"/>
  <c r="J278" i="8" s="1"/>
  <c r="Q277" i="8"/>
  <c r="P277" i="8"/>
  <c r="K277" i="8" a="1"/>
  <c r="K277" i="8" s="1"/>
  <c r="J277" i="8" a="1"/>
  <c r="J277" i="8" s="1"/>
  <c r="K271" i="8" a="1"/>
  <c r="K271" i="8" s="1"/>
  <c r="J271" i="8" a="1"/>
  <c r="J271" i="8" s="1"/>
  <c r="K270" i="8" a="1"/>
  <c r="K270" i="8" s="1"/>
  <c r="J270" i="8" a="1"/>
  <c r="J270" i="8" s="1"/>
  <c r="K269" i="8" a="1"/>
  <c r="K269" i="8" s="1"/>
  <c r="J269" i="8" a="1"/>
  <c r="J269" i="8" s="1"/>
  <c r="K268" i="8" a="1"/>
  <c r="K268" i="8" s="1"/>
  <c r="J268" i="8" a="1"/>
  <c r="J268" i="8" s="1"/>
  <c r="K267" i="8" a="1"/>
  <c r="K267" i="8" s="1"/>
  <c r="J267" i="8" a="1"/>
  <c r="J267" i="8" s="1"/>
  <c r="K266" i="8" a="1"/>
  <c r="K266" i="8" s="1"/>
  <c r="J266" i="8" a="1"/>
  <c r="J266" i="8" s="1"/>
  <c r="K265" i="8" a="1"/>
  <c r="K265" i="8" s="1"/>
  <c r="J265" i="8" a="1"/>
  <c r="J265" i="8" s="1"/>
  <c r="K264" i="8" a="1"/>
  <c r="K264" i="8" s="1"/>
  <c r="J264" i="8" a="1"/>
  <c r="J264" i="8" s="1"/>
  <c r="I264" i="8"/>
  <c r="N263" i="8"/>
  <c r="K263" i="8" a="1"/>
  <c r="K263" i="8" s="1"/>
  <c r="J263" i="8" a="1"/>
  <c r="J263" i="8" s="1"/>
  <c r="I263" i="8"/>
  <c r="K262" i="8" a="1"/>
  <c r="K262" i="8" s="1"/>
  <c r="J262" i="8" a="1"/>
  <c r="J262" i="8" s="1"/>
  <c r="K261" i="8" a="1"/>
  <c r="K261" i="8" s="1"/>
  <c r="J261" i="8" a="1"/>
  <c r="J261" i="8" s="1"/>
  <c r="K260" i="8" a="1"/>
  <c r="K260" i="8" s="1"/>
  <c r="J260" i="8" a="1"/>
  <c r="J260" i="8" s="1"/>
  <c r="N259" i="8"/>
  <c r="K259" i="8" a="1"/>
  <c r="K259" i="8" s="1"/>
  <c r="J259" i="8" a="1"/>
  <c r="J259" i="8" s="1"/>
  <c r="K258" i="8" a="1"/>
  <c r="K258" i="8" s="1"/>
  <c r="J258" i="8" a="1"/>
  <c r="J258" i="8" s="1"/>
  <c r="I258" i="8"/>
  <c r="K257" i="8" a="1"/>
  <c r="K257" i="8" s="1"/>
  <c r="J257" i="8" a="1"/>
  <c r="J257" i="8" s="1"/>
  <c r="I257" i="8"/>
  <c r="N256" i="8"/>
  <c r="N273" i="8" s="1"/>
  <c r="K256" i="8" a="1"/>
  <c r="K256" i="8" s="1"/>
  <c r="J256" i="8" a="1"/>
  <c r="J256" i="8" s="1"/>
  <c r="I256" i="8"/>
  <c r="K255" i="8" a="1"/>
  <c r="K255" i="8" s="1"/>
  <c r="J255" i="8" a="1"/>
  <c r="J255" i="8" s="1"/>
  <c r="K254" i="8" a="1"/>
  <c r="K254" i="8" s="1"/>
  <c r="J254" i="8" a="1"/>
  <c r="J254" i="8" s="1"/>
  <c r="Q253" i="8"/>
  <c r="P253" i="8"/>
  <c r="K253" i="8" a="1"/>
  <c r="K253" i="8" s="1"/>
  <c r="J253" i="8" a="1"/>
  <c r="J253" i="8" s="1"/>
  <c r="N246" i="8"/>
  <c r="K246" i="8" a="1"/>
  <c r="K246" i="8" s="1"/>
  <c r="J246" i="8" a="1"/>
  <c r="J246" i="8" s="1"/>
  <c r="K245" i="8" a="1"/>
  <c r="K245" i="8" s="1"/>
  <c r="J245" i="8" a="1"/>
  <c r="J245" i="8" s="1"/>
  <c r="K244" i="8" a="1"/>
  <c r="K244" i="8" s="1"/>
  <c r="J244" i="8" a="1"/>
  <c r="J244" i="8" s="1"/>
  <c r="I244" i="8"/>
  <c r="N243" i="8"/>
  <c r="K243" i="8" a="1"/>
  <c r="K243" i="8" s="1"/>
  <c r="J243" i="8" a="1"/>
  <c r="J243" i="8" s="1"/>
  <c r="I243" i="8"/>
  <c r="N242" i="8"/>
  <c r="N249" i="8" s="1"/>
  <c r="K242" i="8" a="1"/>
  <c r="K242" i="8" s="1"/>
  <c r="J242" i="8" a="1"/>
  <c r="J242" i="8" s="1"/>
  <c r="I242" i="8"/>
  <c r="K241" i="8" a="1"/>
  <c r="K241" i="8" s="1"/>
  <c r="J241" i="8" a="1"/>
  <c r="J241" i="8" s="1"/>
  <c r="K240" i="8" a="1"/>
  <c r="K240" i="8" s="1"/>
  <c r="J240" i="8" a="1"/>
  <c r="J240" i="8" s="1"/>
  <c r="K239" i="8" a="1"/>
  <c r="K239" i="8" s="1"/>
  <c r="J239" i="8" a="1"/>
  <c r="J239" i="8" s="1"/>
  <c r="K238" i="8" a="1"/>
  <c r="K238" i="8" s="1"/>
  <c r="J238" i="8" a="1"/>
  <c r="J238" i="8" s="1"/>
  <c r="K237" i="8" a="1"/>
  <c r="K237" i="8" s="1"/>
  <c r="J237" i="8" a="1"/>
  <c r="J237" i="8" s="1"/>
  <c r="Q236" i="8"/>
  <c r="P236" i="8"/>
  <c r="K236" i="8" a="1"/>
  <c r="K236" i="8" s="1"/>
  <c r="J236" i="8" a="1"/>
  <c r="J236" i="8" s="1"/>
  <c r="K230" i="8" a="1"/>
  <c r="K230" i="8" s="1"/>
  <c r="J230" i="8" a="1"/>
  <c r="J230" i="8" s="1"/>
  <c r="K229" i="8" a="1"/>
  <c r="K229" i="8" s="1"/>
  <c r="J229" i="8" a="1"/>
  <c r="J229" i="8" s="1"/>
  <c r="K228" i="8" a="1"/>
  <c r="K228" i="8" s="1"/>
  <c r="J228" i="8" a="1"/>
  <c r="J228" i="8" s="1"/>
  <c r="K227" i="8" a="1"/>
  <c r="K227" i="8" s="1"/>
  <c r="J227" i="8" a="1"/>
  <c r="J227" i="8" s="1"/>
  <c r="K226" i="8" a="1"/>
  <c r="K226" i="8" s="1"/>
  <c r="J226" i="8" a="1"/>
  <c r="J226" i="8" s="1"/>
  <c r="K225" i="8" a="1"/>
  <c r="K225" i="8" s="1"/>
  <c r="J225" i="8" a="1"/>
  <c r="J225" i="8" s="1"/>
  <c r="I225" i="8"/>
  <c r="N224" i="8"/>
  <c r="K224" i="8" a="1"/>
  <c r="K224" i="8" s="1"/>
  <c r="J224" i="8" a="1"/>
  <c r="J224" i="8" s="1"/>
  <c r="K223" i="8" a="1"/>
  <c r="K223" i="8" s="1"/>
  <c r="J223" i="8" a="1"/>
  <c r="J223" i="8" s="1"/>
  <c r="K222" i="8" a="1"/>
  <c r="K222" i="8" s="1"/>
  <c r="J222" i="8" a="1"/>
  <c r="J222" i="8" s="1"/>
  <c r="I222" i="8"/>
  <c r="K221" i="8" a="1"/>
  <c r="K221" i="8" s="1"/>
  <c r="J221" i="8" a="1"/>
  <c r="J221" i="8" s="1"/>
  <c r="K220" i="8" a="1"/>
  <c r="K220" i="8" s="1"/>
  <c r="J220" i="8" a="1"/>
  <c r="J220" i="8" s="1"/>
  <c r="K219" i="8" a="1"/>
  <c r="K219" i="8" s="1"/>
  <c r="J219" i="8" a="1"/>
  <c r="J219" i="8" s="1"/>
  <c r="I219" i="8"/>
  <c r="N220" i="8" s="1"/>
  <c r="K218" i="8" a="1"/>
  <c r="K218" i="8" s="1"/>
  <c r="J218" i="8" a="1"/>
  <c r="J218" i="8" s="1"/>
  <c r="N217" i="8"/>
  <c r="K217" i="8" a="1"/>
  <c r="K217" i="8" s="1"/>
  <c r="J217" i="8" a="1"/>
  <c r="J217" i="8" s="1"/>
  <c r="K216" i="8" a="1"/>
  <c r="K216" i="8" s="1"/>
  <c r="J216" i="8" a="1"/>
  <c r="J216" i="8" s="1"/>
  <c r="N215" i="8"/>
  <c r="N232" i="8" s="1"/>
  <c r="K215" i="8" a="1"/>
  <c r="K215" i="8" s="1"/>
  <c r="J215" i="8" a="1"/>
  <c r="J215" i="8" s="1"/>
  <c r="Q214" i="8"/>
  <c r="P214" i="8"/>
  <c r="K214" i="8" a="1"/>
  <c r="K214" i="8" s="1"/>
  <c r="J214" i="8" a="1"/>
  <c r="J214" i="8" s="1"/>
  <c r="K208" i="8" a="1"/>
  <c r="K208" i="8" s="1"/>
  <c r="J208" i="8" a="1"/>
  <c r="J208" i="8" s="1"/>
  <c r="I208" i="8"/>
  <c r="K207" i="8" a="1"/>
  <c r="K207" i="8" s="1"/>
  <c r="J207" i="8" a="1"/>
  <c r="J207" i="8" s="1"/>
  <c r="I207" i="8"/>
  <c r="K206" i="8" a="1"/>
  <c r="K206" i="8" s="1"/>
  <c r="J206" i="8" a="1"/>
  <c r="J206" i="8" s="1"/>
  <c r="K205" i="8" a="1"/>
  <c r="K205" i="8" s="1"/>
  <c r="J205" i="8" a="1"/>
  <c r="J205" i="8" s="1"/>
  <c r="K204" i="8" a="1"/>
  <c r="K204" i="8" s="1"/>
  <c r="J204" i="8" a="1"/>
  <c r="J204" i="8" s="1"/>
  <c r="K203" i="8" a="1"/>
  <c r="K203" i="8" s="1"/>
  <c r="J203" i="8" a="1"/>
  <c r="J203" i="8" s="1"/>
  <c r="I203" i="8"/>
  <c r="K202" i="8" a="1"/>
  <c r="K202" i="8" s="1"/>
  <c r="J202" i="8" a="1"/>
  <c r="J202" i="8" s="1"/>
  <c r="K201" i="8" a="1"/>
  <c r="K201" i="8" s="1"/>
  <c r="J201" i="8" a="1"/>
  <c r="J201" i="8" s="1"/>
  <c r="K200" i="8" a="1"/>
  <c r="K200" i="8" s="1"/>
  <c r="J200" i="8" a="1"/>
  <c r="J200" i="8" s="1"/>
  <c r="K199" i="8" a="1"/>
  <c r="K199" i="8" s="1"/>
  <c r="J199" i="8" a="1"/>
  <c r="J199" i="8" s="1"/>
  <c r="I199" i="8"/>
  <c r="K198" i="8" a="1"/>
  <c r="K198" i="8" s="1"/>
  <c r="J198" i="8" a="1"/>
  <c r="J198" i="8" s="1"/>
  <c r="I198" i="8"/>
  <c r="K197" i="8" a="1"/>
  <c r="K197" i="8" s="1"/>
  <c r="J197" i="8" a="1"/>
  <c r="J197" i="8" s="1"/>
  <c r="K196" i="8" a="1"/>
  <c r="K196" i="8" s="1"/>
  <c r="J196" i="8" a="1"/>
  <c r="J196" i="8" s="1"/>
  <c r="I196" i="8"/>
  <c r="N195" i="8"/>
  <c r="N210" i="8" s="1"/>
  <c r="K195" i="8" a="1"/>
  <c r="K195" i="8" s="1"/>
  <c r="J195" i="8" a="1"/>
  <c r="J195" i="8" s="1"/>
  <c r="I195" i="8"/>
  <c r="Q194" i="8"/>
  <c r="P194" i="8"/>
  <c r="K194" i="8" a="1"/>
  <c r="K194" i="8" s="1"/>
  <c r="J194" i="8" a="1"/>
  <c r="J194" i="8" s="1"/>
  <c r="K185" i="8" a="1"/>
  <c r="K185" i="8" s="1"/>
  <c r="J185" i="8" a="1"/>
  <c r="J185" i="8" s="1"/>
  <c r="I185" i="8"/>
  <c r="N184" i="8"/>
  <c r="K184" i="8" a="1"/>
  <c r="K184" i="8" s="1"/>
  <c r="J184" i="8" a="1"/>
  <c r="J184" i="8" s="1"/>
  <c r="I184" i="8"/>
  <c r="K183" i="8" a="1"/>
  <c r="K183" i="8" s="1"/>
  <c r="J183" i="8" a="1"/>
  <c r="J183" i="8" s="1"/>
  <c r="I183" i="8"/>
  <c r="K182" i="8" a="1"/>
  <c r="K182" i="8" s="1"/>
  <c r="J182" i="8" a="1"/>
  <c r="J182" i="8" s="1"/>
  <c r="K181" i="8" a="1"/>
  <c r="K181" i="8" s="1"/>
  <c r="J181" i="8" a="1"/>
  <c r="J181" i="8" s="1"/>
  <c r="N180" i="8"/>
  <c r="N190" i="8" s="1"/>
  <c r="K180" i="8" a="1"/>
  <c r="K180" i="8" s="1"/>
  <c r="J180" i="8" a="1"/>
  <c r="J180" i="8" s="1"/>
  <c r="K179" i="8" a="1"/>
  <c r="K179" i="8" s="1"/>
  <c r="J179" i="8" a="1"/>
  <c r="J179" i="8" s="1"/>
  <c r="K178" i="8" a="1"/>
  <c r="K178" i="8" s="1"/>
  <c r="J178" i="8" a="1"/>
  <c r="J178" i="8" s="1"/>
  <c r="I178" i="8"/>
  <c r="Q177" i="8"/>
  <c r="P177" i="8"/>
  <c r="K177" i="8" a="1"/>
  <c r="K177" i="8" s="1"/>
  <c r="J177" i="8" a="1"/>
  <c r="J177" i="8" s="1"/>
  <c r="K171" i="8" a="1"/>
  <c r="K171" i="8" s="1"/>
  <c r="J171" i="8" a="1"/>
  <c r="J171" i="8" s="1"/>
  <c r="K170" i="8" a="1"/>
  <c r="K170" i="8" s="1"/>
  <c r="J170" i="8" a="1"/>
  <c r="J170" i="8" s="1"/>
  <c r="I170" i="8"/>
  <c r="K169" i="8" a="1"/>
  <c r="K169" i="8" s="1"/>
  <c r="J169" i="8" a="1"/>
  <c r="J169" i="8" s="1"/>
  <c r="K168" i="8" a="1"/>
  <c r="K168" i="8" s="1"/>
  <c r="J168" i="8" a="1"/>
  <c r="J168" i="8" s="1"/>
  <c r="I168" i="8"/>
  <c r="N167" i="8"/>
  <c r="N173" i="8" s="1"/>
  <c r="K167" i="8" a="1"/>
  <c r="K167" i="8" s="1"/>
  <c r="J167" i="8" a="1"/>
  <c r="J167" i="8" s="1"/>
  <c r="I167" i="8"/>
  <c r="K166" i="8" a="1"/>
  <c r="K166" i="8" s="1"/>
  <c r="J166" i="8" a="1"/>
  <c r="J166" i="8" s="1"/>
  <c r="K165" i="8" a="1"/>
  <c r="K165" i="8" s="1"/>
  <c r="J165" i="8" a="1"/>
  <c r="J165" i="8" s="1"/>
  <c r="I165" i="8"/>
  <c r="K164" i="8" a="1"/>
  <c r="K164" i="8" s="1"/>
  <c r="J164" i="8" a="1"/>
  <c r="J164" i="8" s="1"/>
  <c r="I164" i="8"/>
  <c r="K163" i="8" a="1"/>
  <c r="K163" i="8" s="1"/>
  <c r="J163" i="8" a="1"/>
  <c r="J163" i="8" s="1"/>
  <c r="I163" i="8"/>
  <c r="K162" i="8" a="1"/>
  <c r="K162" i="8" s="1"/>
  <c r="J162" i="8" a="1"/>
  <c r="J162" i="8" s="1"/>
  <c r="I162" i="8"/>
  <c r="K161" i="8" a="1"/>
  <c r="K161" i="8" s="1"/>
  <c r="J161" i="8" a="1"/>
  <c r="J161" i="8" s="1"/>
  <c r="K160" i="8" a="1"/>
  <c r="K160" i="8" s="1"/>
  <c r="J160" i="8" a="1"/>
  <c r="J160" i="8" s="1"/>
  <c r="K159" i="8" a="1"/>
  <c r="K159" i="8" s="1"/>
  <c r="J159" i="8" a="1"/>
  <c r="J159" i="8" s="1"/>
  <c r="Q158" i="8"/>
  <c r="P158" i="8"/>
  <c r="K158" i="8" a="1"/>
  <c r="K158" i="8" s="1"/>
  <c r="J158" i="8" a="1"/>
  <c r="J158" i="8" s="1"/>
  <c r="K152" i="8" a="1"/>
  <c r="K152" i="8" s="1"/>
  <c r="J152" i="8" a="1"/>
  <c r="J152" i="8" s="1"/>
  <c r="K151" i="8" a="1"/>
  <c r="K151" i="8" s="1"/>
  <c r="J151" i="8" a="1"/>
  <c r="J151" i="8" s="1"/>
  <c r="K150" i="8" a="1"/>
  <c r="K150" i="8" s="1"/>
  <c r="J150" i="8" a="1"/>
  <c r="J150" i="8" s="1"/>
  <c r="I150" i="8"/>
  <c r="K149" i="8" a="1"/>
  <c r="K149" i="8" s="1"/>
  <c r="J149" i="8" a="1"/>
  <c r="J149" i="8" s="1"/>
  <c r="N148" i="8"/>
  <c r="K148" i="8" a="1"/>
  <c r="K148" i="8" s="1"/>
  <c r="J148" i="8" a="1"/>
  <c r="J148" i="8" s="1"/>
  <c r="K147" i="8" a="1"/>
  <c r="K147" i="8" s="1"/>
  <c r="J147" i="8" a="1"/>
  <c r="J147" i="8" s="1"/>
  <c r="I147" i="8"/>
  <c r="K146" i="8" a="1"/>
  <c r="K146" i="8" s="1"/>
  <c r="J146" i="8" a="1"/>
  <c r="J146" i="8" s="1"/>
  <c r="N145" i="8"/>
  <c r="K145" i="8" a="1"/>
  <c r="K145" i="8" s="1"/>
  <c r="J145" i="8" a="1"/>
  <c r="J145" i="8" s="1"/>
  <c r="K144" i="8" a="1"/>
  <c r="K144" i="8" s="1"/>
  <c r="J144" i="8" a="1"/>
  <c r="J144" i="8" s="1"/>
  <c r="N143" i="8"/>
  <c r="N154" i="8" s="1"/>
  <c r="K143" i="8" a="1"/>
  <c r="K143" i="8" s="1"/>
  <c r="J143" i="8" a="1"/>
  <c r="J143" i="8" s="1"/>
  <c r="K142" i="8" a="1"/>
  <c r="K142" i="8" s="1"/>
  <c r="J142" i="8" a="1"/>
  <c r="J142" i="8" s="1"/>
  <c r="K141" i="8" a="1"/>
  <c r="K141" i="8" s="1"/>
  <c r="J141" i="8" a="1"/>
  <c r="J141" i="8" s="1"/>
  <c r="K140" i="8" a="1"/>
  <c r="K140" i="8" s="1"/>
  <c r="J140" i="8" a="1"/>
  <c r="J140" i="8" s="1"/>
  <c r="I140" i="8"/>
  <c r="K139" i="8" a="1"/>
  <c r="K139" i="8" s="1"/>
  <c r="J139" i="8" a="1"/>
  <c r="J139" i="8" s="1"/>
  <c r="Q138" i="8"/>
  <c r="P138" i="8"/>
  <c r="K138" i="8" a="1"/>
  <c r="K138" i="8" s="1"/>
  <c r="J138" i="8" a="1"/>
  <c r="J138" i="8" s="1"/>
  <c r="K132" i="8" a="1"/>
  <c r="K132" i="8" s="1"/>
  <c r="J132" i="8" a="1"/>
  <c r="J132" i="8" s="1"/>
  <c r="I132" i="8"/>
  <c r="K131" i="8" a="1"/>
  <c r="K131" i="8" s="1"/>
  <c r="J131" i="8" a="1"/>
  <c r="J131" i="8" s="1"/>
  <c r="K130" i="8" a="1"/>
  <c r="K130" i="8" s="1"/>
  <c r="J130" i="8" a="1"/>
  <c r="J130" i="8" s="1"/>
  <c r="I130" i="8"/>
  <c r="K129" i="8" a="1"/>
  <c r="K129" i="8" s="1"/>
  <c r="J129" i="8" a="1"/>
  <c r="J129" i="8" s="1"/>
  <c r="I129" i="8"/>
  <c r="K128" i="8" a="1"/>
  <c r="K128" i="8" s="1"/>
  <c r="J128" i="8" a="1"/>
  <c r="J128" i="8" s="1"/>
  <c r="I128" i="8"/>
  <c r="N127" i="8"/>
  <c r="K127" i="8" a="1"/>
  <c r="K127" i="8" s="1"/>
  <c r="J127" i="8" a="1"/>
  <c r="J127" i="8" s="1"/>
  <c r="K126" i="8" a="1"/>
  <c r="K126" i="8" s="1"/>
  <c r="J126" i="8" a="1"/>
  <c r="J126" i="8" s="1"/>
  <c r="I126" i="8"/>
  <c r="K125" i="8" a="1"/>
  <c r="K125" i="8" s="1"/>
  <c r="J125" i="8" a="1"/>
  <c r="J125" i="8" s="1"/>
  <c r="K124" i="8" a="1"/>
  <c r="K124" i="8" s="1"/>
  <c r="J124" i="8" a="1"/>
  <c r="J124" i="8" s="1"/>
  <c r="K123" i="8" a="1"/>
  <c r="K123" i="8" s="1"/>
  <c r="J123" i="8" a="1"/>
  <c r="J123" i="8" s="1"/>
  <c r="K122" i="8" a="1"/>
  <c r="K122" i="8" s="1"/>
  <c r="J122" i="8" a="1"/>
  <c r="J122" i="8" s="1"/>
  <c r="I122" i="8"/>
  <c r="K121" i="8" a="1"/>
  <c r="K121" i="8" s="1"/>
  <c r="J121" i="8" a="1"/>
  <c r="J121" i="8" s="1"/>
  <c r="I121" i="8"/>
  <c r="K120" i="8" a="1"/>
  <c r="K120" i="8" s="1"/>
  <c r="J120" i="8" a="1"/>
  <c r="J120" i="8" s="1"/>
  <c r="I120" i="8"/>
  <c r="N119" i="8"/>
  <c r="K119" i="8" a="1"/>
  <c r="K119" i="8" s="1"/>
  <c r="J119" i="8" a="1"/>
  <c r="J119" i="8" s="1"/>
  <c r="I119" i="8"/>
  <c r="N122" i="8" s="1"/>
  <c r="N134" i="8" s="1"/>
  <c r="K118" i="8" a="1"/>
  <c r="K118" i="8" s="1"/>
  <c r="J118" i="8" a="1"/>
  <c r="J118" i="8" s="1"/>
  <c r="K117" i="8" a="1"/>
  <c r="K117" i="8" s="1"/>
  <c r="J117" i="8" a="1"/>
  <c r="J117" i="8" s="1"/>
  <c r="Q116" i="8"/>
  <c r="P116" i="8"/>
  <c r="K116" i="8" a="1"/>
  <c r="K116" i="8" s="1"/>
  <c r="J116" i="8" a="1"/>
  <c r="J116" i="8" s="1"/>
  <c r="I110" i="8"/>
  <c r="L110" i="8" s="1"/>
  <c r="L109" i="8"/>
  <c r="L108" i="8"/>
  <c r="I107" i="8"/>
  <c r="L107" i="8" s="1"/>
  <c r="N106" i="8"/>
  <c r="I106" i="8"/>
  <c r="L106" i="8" s="1"/>
  <c r="L105" i="8"/>
  <c r="I105" i="8"/>
  <c r="I104" i="8"/>
  <c r="L104" i="8" s="1"/>
  <c r="L103" i="8"/>
  <c r="I103" i="8"/>
  <c r="N102" i="8"/>
  <c r="N112" i="8" s="1"/>
  <c r="L102" i="8"/>
  <c r="L101" i="8"/>
  <c r="L100" i="8"/>
  <c r="L99" i="8"/>
  <c r="L98" i="8"/>
  <c r="L97" i="8"/>
  <c r="Q96" i="8"/>
  <c r="P96" i="8"/>
  <c r="L96" i="8"/>
  <c r="N93" i="8"/>
  <c r="I82" i="8"/>
  <c r="Q81" i="8"/>
  <c r="P81" i="8"/>
  <c r="L81" i="8"/>
  <c r="L93" i="8" s="1"/>
  <c r="L76" i="8"/>
  <c r="I75" i="8"/>
  <c r="L75" i="8" s="1"/>
  <c r="I74" i="8"/>
  <c r="L74" i="8" s="1"/>
  <c r="L73" i="8"/>
  <c r="L72" i="8"/>
  <c r="L71" i="8"/>
  <c r="I70" i="8"/>
  <c r="L70" i="8" s="1"/>
  <c r="N69" i="8"/>
  <c r="L69" i="8"/>
  <c r="I69" i="8"/>
  <c r="L68" i="8"/>
  <c r="I67" i="8"/>
  <c r="N72" i="8" s="1"/>
  <c r="Q66" i="8"/>
  <c r="P66" i="8"/>
  <c r="L66" i="8"/>
  <c r="N61" i="8"/>
  <c r="L57" i="8"/>
  <c r="L56" i="8"/>
  <c r="L55" i="8"/>
  <c r="I55" i="8"/>
  <c r="N54" i="8"/>
  <c r="L54" i="8"/>
  <c r="L53" i="8"/>
  <c r="I53" i="8"/>
  <c r="N57" i="8" s="1"/>
  <c r="L52" i="8"/>
  <c r="Q51" i="8"/>
  <c r="P51" i="8"/>
  <c r="L51" i="8"/>
  <c r="L46" i="8"/>
  <c r="N45" i="8"/>
  <c r="L45" i="8"/>
  <c r="I44" i="8"/>
  <c r="L44" i="8" s="1"/>
  <c r="L43" i="8"/>
  <c r="L42" i="8"/>
  <c r="L41" i="8"/>
  <c r="I41" i="8"/>
  <c r="L40" i="8"/>
  <c r="L39" i="8"/>
  <c r="N38" i="8"/>
  <c r="L38" i="8"/>
  <c r="L37" i="8"/>
  <c r="I37" i="8"/>
  <c r="N41" i="8" s="1"/>
  <c r="N48" i="8" s="1"/>
  <c r="L36" i="8"/>
  <c r="I36" i="8"/>
  <c r="Q35" i="8"/>
  <c r="P35" i="8"/>
  <c r="L35" i="8"/>
  <c r="N28" i="8"/>
  <c r="L25" i="8"/>
  <c r="L24" i="8"/>
  <c r="L23" i="8"/>
  <c r="L22" i="8"/>
  <c r="I22" i="8"/>
  <c r="L21" i="8"/>
  <c r="R20" i="8"/>
  <c r="Q20" i="8"/>
  <c r="I20" i="8"/>
  <c r="N26" i="8" s="1"/>
  <c r="N32" i="8" s="1"/>
  <c r="L15" i="8"/>
  <c r="L14" i="8"/>
  <c r="N13" i="8"/>
  <c r="L13" i="8"/>
  <c r="I13" i="8"/>
  <c r="N12" i="8"/>
  <c r="I12" i="8"/>
  <c r="L12" i="8" s="1"/>
  <c r="I11" i="8"/>
  <c r="L11" i="8" s="1"/>
  <c r="I10" i="8"/>
  <c r="L10" i="8" s="1"/>
  <c r="L9" i="8"/>
  <c r="I9" i="8"/>
  <c r="L8" i="8"/>
  <c r="I8" i="8"/>
  <c r="N9" i="8" s="1"/>
  <c r="L7" i="8"/>
  <c r="I6" i="8"/>
  <c r="L6" i="8" s="1"/>
  <c r="I5" i="8"/>
  <c r="L5" i="8" s="1"/>
  <c r="N4" i="8"/>
  <c r="N17" i="8" s="1"/>
  <c r="L4" i="8"/>
  <c r="Q3" i="8"/>
  <c r="L3" i="8"/>
  <c r="O167" i="7"/>
  <c r="N167" i="7"/>
  <c r="M167" i="7"/>
  <c r="L167" i="7"/>
  <c r="K167" i="7"/>
  <c r="J167" i="7"/>
  <c r="G167" i="7"/>
  <c r="F167" i="7"/>
  <c r="D167" i="7"/>
  <c r="C167" i="7"/>
  <c r="B167" i="7"/>
  <c r="O166" i="7"/>
  <c r="N166" i="7"/>
  <c r="M166" i="7"/>
  <c r="L166" i="7"/>
  <c r="K166" i="7"/>
  <c r="J166" i="7"/>
  <c r="G166" i="7"/>
  <c r="F166" i="7"/>
  <c r="E166" i="7"/>
  <c r="D166" i="7"/>
  <c r="C166" i="7"/>
  <c r="B166" i="7"/>
  <c r="O165" i="7"/>
  <c r="N165" i="7"/>
  <c r="M165" i="7"/>
  <c r="L165" i="7"/>
  <c r="K165" i="7"/>
  <c r="J165" i="7"/>
  <c r="G165" i="7"/>
  <c r="F165" i="7"/>
  <c r="E165" i="7"/>
  <c r="D165" i="7"/>
  <c r="C165" i="7"/>
  <c r="D101" i="7"/>
  <c r="B101" i="7"/>
  <c r="D100" i="7"/>
  <c r="D99" i="7"/>
  <c r="B99" i="7"/>
  <c r="A99" i="7"/>
  <c r="D98" i="7"/>
  <c r="D97" i="7"/>
  <c r="B97" i="7"/>
  <c r="D96" i="7"/>
  <c r="D95" i="7"/>
  <c r="B95" i="7"/>
  <c r="D94" i="7"/>
  <c r="D93" i="7"/>
  <c r="B93" i="7"/>
  <c r="D92" i="7"/>
  <c r="D91" i="7"/>
  <c r="B91" i="7"/>
  <c r="A91" i="7"/>
  <c r="D90" i="7"/>
  <c r="A125" i="6"/>
  <c r="A124" i="6"/>
  <c r="A123" i="6"/>
  <c r="A121" i="6"/>
  <c r="A120" i="6"/>
  <c r="A119" i="6"/>
  <c r="A118" i="6"/>
  <c r="B119" i="6" s="1"/>
  <c r="A117" i="6"/>
  <c r="A116" i="6"/>
  <c r="A114" i="6"/>
  <c r="A115" i="6" s="1"/>
  <c r="D83" i="6"/>
  <c r="D82" i="6"/>
  <c r="B82" i="6"/>
  <c r="D81" i="6"/>
  <c r="D80" i="6"/>
  <c r="D79" i="6"/>
  <c r="B79" i="6"/>
  <c r="A79" i="6"/>
  <c r="D78" i="6"/>
  <c r="D77" i="6"/>
  <c r="D76" i="6"/>
  <c r="B76" i="6"/>
  <c r="D75" i="6"/>
  <c r="D74" i="6"/>
  <c r="D73" i="6"/>
  <c r="B73" i="6"/>
  <c r="D72" i="6"/>
  <c r="D71" i="6"/>
  <c r="D70" i="6"/>
  <c r="B70" i="6"/>
  <c r="D69" i="6"/>
  <c r="D68" i="6"/>
  <c r="D67" i="6"/>
  <c r="B67" i="6"/>
  <c r="A67" i="6"/>
  <c r="D66" i="6"/>
  <c r="D87" i="5"/>
  <c r="D86" i="5"/>
  <c r="B86" i="5"/>
  <c r="D85" i="5"/>
  <c r="D84" i="5"/>
  <c r="D83" i="5"/>
  <c r="B83" i="5"/>
  <c r="A83" i="5"/>
  <c r="D82" i="5"/>
  <c r="D81" i="5"/>
  <c r="D80" i="5"/>
  <c r="B80" i="5"/>
  <c r="D79" i="5"/>
  <c r="D78" i="5"/>
  <c r="D77" i="5"/>
  <c r="B77" i="5"/>
  <c r="D76" i="5"/>
  <c r="D75" i="5"/>
  <c r="D74" i="5"/>
  <c r="B74" i="5"/>
  <c r="D73" i="5"/>
  <c r="D72" i="5"/>
  <c r="D71" i="5"/>
  <c r="B71" i="5"/>
  <c r="A71" i="5"/>
  <c r="D70" i="5"/>
  <c r="C27" i="4"/>
  <c r="C21" i="4"/>
  <c r="C17" i="4"/>
  <c r="C9" i="4"/>
  <c r="C8" i="4"/>
  <c r="C7" i="4"/>
  <c r="C6" i="4"/>
  <c r="C5" i="4"/>
  <c r="C11" i="4" s="1"/>
  <c r="D136" i="2"/>
  <c r="C136" i="2"/>
  <c r="B136" i="2"/>
  <c r="D135" i="2"/>
  <c r="C135" i="2"/>
  <c r="B135" i="2"/>
  <c r="D134" i="2"/>
  <c r="C134" i="2"/>
  <c r="B134" i="2"/>
  <c r="D133" i="2"/>
  <c r="C133" i="2"/>
  <c r="B133" i="2"/>
  <c r="D132" i="2"/>
  <c r="C132" i="2"/>
  <c r="B132" i="2"/>
  <c r="D131" i="2"/>
  <c r="C131" i="2"/>
  <c r="B131" i="2"/>
  <c r="D130" i="2"/>
  <c r="C130" i="2"/>
  <c r="B130" i="2"/>
  <c r="D129" i="2"/>
  <c r="C129" i="2"/>
  <c r="B129" i="2"/>
  <c r="D128" i="2"/>
  <c r="C128" i="2"/>
  <c r="B128" i="2"/>
  <c r="D127" i="2"/>
  <c r="C127" i="2"/>
  <c r="B127" i="2"/>
  <c r="D126" i="2"/>
  <c r="C126" i="2"/>
  <c r="B126" i="2"/>
  <c r="D125" i="2"/>
  <c r="C125" i="2"/>
  <c r="B125" i="2"/>
  <c r="D124" i="2"/>
  <c r="C124" i="2"/>
  <c r="B124" i="2"/>
  <c r="D123" i="2"/>
  <c r="C123" i="2"/>
  <c r="B123" i="2"/>
  <c r="D122" i="2"/>
  <c r="C122" i="2"/>
  <c r="B122" i="2"/>
  <c r="D121" i="2"/>
  <c r="C121" i="2"/>
  <c r="B121" i="2"/>
  <c r="D120" i="2"/>
  <c r="C120" i="2"/>
  <c r="B120" i="2"/>
  <c r="D119" i="2"/>
  <c r="C119" i="2"/>
  <c r="B119" i="2"/>
  <c r="D118" i="2"/>
  <c r="C118" i="2"/>
  <c r="B118" i="2"/>
  <c r="D117" i="2"/>
  <c r="C117" i="2"/>
  <c r="B117" i="2"/>
  <c r="D116" i="2"/>
  <c r="C116" i="2"/>
  <c r="B116" i="2"/>
  <c r="D115" i="2"/>
  <c r="C115" i="2"/>
  <c r="B115" i="2"/>
  <c r="D114" i="2"/>
  <c r="C114" i="2"/>
  <c r="B114" i="2"/>
  <c r="D113" i="2"/>
  <c r="C113" i="2"/>
  <c r="B113" i="2"/>
  <c r="D112" i="2"/>
  <c r="C112" i="2"/>
  <c r="B112" i="2"/>
  <c r="D111" i="2"/>
  <c r="C111" i="2"/>
  <c r="B111" i="2"/>
  <c r="D110" i="2"/>
  <c r="C110" i="2"/>
  <c r="B110" i="2"/>
  <c r="D109" i="2"/>
  <c r="C109" i="2"/>
  <c r="B109" i="2"/>
  <c r="D108" i="2"/>
  <c r="C108" i="2"/>
  <c r="B108" i="2"/>
  <c r="D107" i="2"/>
  <c r="C107" i="2"/>
  <c r="B107" i="2"/>
  <c r="D106" i="2"/>
  <c r="C106" i="2"/>
  <c r="B106" i="2"/>
  <c r="D105" i="2"/>
  <c r="C105" i="2"/>
  <c r="B105" i="2"/>
  <c r="D104" i="2"/>
  <c r="C104" i="2"/>
  <c r="B104" i="2"/>
  <c r="D103" i="2"/>
  <c r="C103" i="2"/>
  <c r="B103" i="2"/>
  <c r="D102" i="2"/>
  <c r="C102" i="2"/>
  <c r="B102" i="2"/>
  <c r="D101" i="2"/>
  <c r="C101" i="2"/>
  <c r="B101" i="2"/>
  <c r="D100" i="2"/>
  <c r="C100" i="2"/>
  <c r="B100" i="2"/>
  <c r="D99" i="2"/>
  <c r="C99" i="2"/>
  <c r="B99" i="2"/>
  <c r="D98" i="2"/>
  <c r="C98" i="2"/>
  <c r="B98" i="2"/>
  <c r="D97" i="2"/>
  <c r="C97" i="2"/>
  <c r="B97" i="2"/>
  <c r="D96" i="2"/>
  <c r="C96" i="2"/>
  <c r="B96" i="2"/>
  <c r="D95" i="2"/>
  <c r="C95" i="2"/>
  <c r="B95" i="2"/>
  <c r="D94" i="2"/>
  <c r="C94" i="2"/>
  <c r="B94" i="2"/>
  <c r="D93" i="2"/>
  <c r="C93" i="2"/>
  <c r="B93" i="2"/>
  <c r="D92" i="2"/>
  <c r="C92" i="2"/>
  <c r="B92" i="2"/>
  <c r="D91" i="2"/>
  <c r="C91" i="2"/>
  <c r="B91" i="2"/>
  <c r="D90" i="2"/>
  <c r="C90" i="2"/>
  <c r="B90" i="2"/>
  <c r="D89" i="2"/>
  <c r="C89" i="2"/>
  <c r="B89" i="2"/>
  <c r="D88" i="2"/>
  <c r="C88" i="2"/>
  <c r="B88" i="2"/>
  <c r="D87" i="2"/>
  <c r="C87" i="2"/>
  <c r="B87" i="2"/>
  <c r="D86" i="2"/>
  <c r="C86" i="2"/>
  <c r="B86" i="2"/>
  <c r="D85" i="2"/>
  <c r="C85" i="2"/>
  <c r="B85" i="2"/>
  <c r="D84" i="2"/>
  <c r="C84" i="2"/>
  <c r="B84" i="2"/>
  <c r="D83" i="2"/>
  <c r="C83" i="2"/>
  <c r="B83" i="2"/>
  <c r="D82" i="2"/>
  <c r="C82" i="2"/>
  <c r="B82" i="2"/>
  <c r="D81" i="2"/>
  <c r="C81" i="2"/>
  <c r="B81" i="2"/>
  <c r="D80" i="2"/>
  <c r="C80" i="2"/>
  <c r="B80" i="2"/>
  <c r="D79" i="2"/>
  <c r="C79" i="2"/>
  <c r="B79" i="2"/>
  <c r="D78" i="2"/>
  <c r="C78" i="2"/>
  <c r="B78" i="2"/>
  <c r="D77" i="2"/>
  <c r="C77" i="2"/>
  <c r="B77" i="2"/>
  <c r="D76" i="2"/>
  <c r="C76" i="2"/>
  <c r="B76" i="2"/>
  <c r="D75" i="2"/>
  <c r="C75" i="2"/>
  <c r="B75" i="2"/>
  <c r="D74" i="2"/>
  <c r="C74" i="2"/>
  <c r="B74" i="2"/>
  <c r="D73" i="2"/>
  <c r="C73" i="2"/>
  <c r="B73" i="2"/>
  <c r="D72" i="2"/>
  <c r="C72" i="2"/>
  <c r="B72" i="2"/>
  <c r="D71" i="2"/>
  <c r="C71" i="2"/>
  <c r="B71" i="2"/>
  <c r="D70" i="2"/>
  <c r="C70" i="2"/>
  <c r="B70" i="2"/>
  <c r="D69" i="2"/>
  <c r="C69" i="2"/>
  <c r="B69" i="2"/>
  <c r="D68" i="2"/>
  <c r="C68" i="2"/>
  <c r="B68" i="2"/>
  <c r="D67" i="2"/>
  <c r="C67" i="2"/>
  <c r="B67" i="2"/>
  <c r="D66" i="2"/>
  <c r="C66" i="2"/>
  <c r="B66" i="2"/>
  <c r="D65" i="2"/>
  <c r="C65" i="2"/>
  <c r="B65" i="2"/>
  <c r="D64" i="2"/>
  <c r="C64" i="2"/>
  <c r="B64" i="2"/>
  <c r="D63" i="2"/>
  <c r="C63" i="2"/>
  <c r="B63" i="2"/>
  <c r="D62" i="2"/>
  <c r="C62" i="2"/>
  <c r="B62" i="2"/>
  <c r="D61" i="2"/>
  <c r="C61" i="2"/>
  <c r="B61" i="2"/>
  <c r="D60" i="2"/>
  <c r="C60" i="2"/>
  <c r="B60" i="2"/>
  <c r="D59" i="2"/>
  <c r="C59" i="2"/>
  <c r="B59" i="2"/>
  <c r="D58" i="2"/>
  <c r="C58" i="2"/>
  <c r="B58" i="2"/>
  <c r="D57" i="2"/>
  <c r="C57" i="2"/>
  <c r="B57" i="2"/>
  <c r="D56" i="2"/>
  <c r="C56" i="2"/>
  <c r="B56" i="2"/>
  <c r="D55" i="2"/>
  <c r="C55" i="2"/>
  <c r="B55" i="2"/>
  <c r="D54" i="2"/>
  <c r="C54" i="2"/>
  <c r="B54" i="2"/>
  <c r="D53" i="2"/>
  <c r="C53" i="2"/>
  <c r="B53" i="2"/>
  <c r="D52" i="2"/>
  <c r="C52" i="2"/>
  <c r="B52" i="2"/>
  <c r="D51" i="2"/>
  <c r="C51" i="2"/>
  <c r="B51" i="2"/>
  <c r="D50" i="2"/>
  <c r="C50" i="2"/>
  <c r="B50" i="2"/>
  <c r="D49" i="2"/>
  <c r="C49" i="2"/>
  <c r="B49" i="2"/>
  <c r="D48" i="2"/>
  <c r="C48" i="2"/>
  <c r="B48" i="2"/>
  <c r="D47" i="2"/>
  <c r="C47" i="2"/>
  <c r="B47" i="2"/>
  <c r="D46" i="2"/>
  <c r="C46" i="2"/>
  <c r="B46" i="2"/>
  <c r="D45" i="2"/>
  <c r="C45" i="2"/>
  <c r="B45" i="2"/>
  <c r="D44" i="2"/>
  <c r="C44" i="2"/>
  <c r="B44" i="2"/>
  <c r="D43" i="2"/>
  <c r="C43" i="2"/>
  <c r="B43" i="2"/>
  <c r="D42" i="2"/>
  <c r="C42" i="2"/>
  <c r="B42" i="2"/>
  <c r="D41" i="2"/>
  <c r="C41" i="2"/>
  <c r="B41" i="2"/>
  <c r="D40" i="2"/>
  <c r="C40" i="2"/>
  <c r="B40" i="2"/>
  <c r="D39" i="2"/>
  <c r="C39" i="2"/>
  <c r="B39" i="2"/>
  <c r="D38" i="2"/>
  <c r="C38" i="2"/>
  <c r="B38" i="2"/>
  <c r="D37" i="2"/>
  <c r="C37" i="2"/>
  <c r="B37" i="2"/>
  <c r="D36" i="2"/>
  <c r="C36" i="2"/>
  <c r="B36" i="2"/>
  <c r="D35" i="2"/>
  <c r="C35" i="2"/>
  <c r="B35" i="2"/>
  <c r="D34" i="2"/>
  <c r="C34" i="2"/>
  <c r="B34" i="2"/>
  <c r="D33" i="2"/>
  <c r="C33" i="2"/>
  <c r="B33" i="2"/>
  <c r="D32" i="2"/>
  <c r="C32" i="2"/>
  <c r="B32" i="2"/>
  <c r="D31" i="2"/>
  <c r="C31" i="2"/>
  <c r="B31" i="2"/>
  <c r="D30" i="2"/>
  <c r="C30" i="2"/>
  <c r="B30" i="2"/>
  <c r="D29" i="2"/>
  <c r="C29" i="2"/>
  <c r="B29" i="2"/>
  <c r="D28" i="2"/>
  <c r="C28" i="2"/>
  <c r="B28" i="2"/>
  <c r="D27" i="2"/>
  <c r="C27" i="2"/>
  <c r="B27" i="2"/>
  <c r="D26" i="2"/>
  <c r="C26" i="2"/>
  <c r="B26" i="2"/>
  <c r="D25" i="2"/>
  <c r="C25" i="2"/>
  <c r="B25" i="2"/>
  <c r="D24" i="2"/>
  <c r="C24" i="2"/>
  <c r="B24" i="2"/>
  <c r="D23" i="2"/>
  <c r="C23" i="2"/>
  <c r="B23" i="2"/>
  <c r="D22" i="2"/>
  <c r="C22" i="2"/>
  <c r="B22" i="2"/>
  <c r="D21" i="2"/>
  <c r="C21" i="2"/>
  <c r="B21" i="2"/>
  <c r="D20" i="2"/>
  <c r="C20" i="2"/>
  <c r="B20" i="2"/>
  <c r="D19" i="2"/>
  <c r="C19" i="2"/>
  <c r="B19" i="2"/>
  <c r="D18" i="2"/>
  <c r="C18" i="2"/>
  <c r="B18" i="2"/>
  <c r="D17" i="2"/>
  <c r="C17" i="2"/>
  <c r="B17" i="2"/>
  <c r="D16" i="2"/>
  <c r="C16" i="2"/>
  <c r="B16" i="2"/>
  <c r="D15" i="2"/>
  <c r="C15" i="2"/>
  <c r="B15" i="2"/>
  <c r="D14" i="2"/>
  <c r="C14" i="2"/>
  <c r="B14" i="2"/>
  <c r="D13" i="2"/>
  <c r="C13" i="2"/>
  <c r="B13" i="2"/>
  <c r="D12" i="2"/>
  <c r="C12" i="2"/>
  <c r="B12" i="2"/>
  <c r="D11" i="2"/>
  <c r="C11" i="2"/>
  <c r="B11" i="2"/>
  <c r="D10" i="2"/>
  <c r="C10" i="2"/>
  <c r="B10" i="2"/>
  <c r="D9" i="2"/>
  <c r="C9" i="2"/>
  <c r="B9" i="2"/>
  <c r="D8" i="2"/>
  <c r="C8" i="2"/>
  <c r="B8" i="2"/>
  <c r="D7" i="2"/>
  <c r="C7" i="2"/>
  <c r="B7" i="2"/>
  <c r="D6" i="2"/>
  <c r="C6" i="2"/>
  <c r="B6" i="2"/>
  <c r="D5" i="2"/>
  <c r="C5" i="2"/>
  <c r="B5" i="2"/>
  <c r="D4" i="2"/>
  <c r="C4" i="2"/>
  <c r="B4" i="2"/>
  <c r="D3" i="2"/>
  <c r="C3" i="2"/>
  <c r="B3" i="2"/>
  <c r="D2" i="2"/>
  <c r="C2" i="2"/>
  <c r="B2" i="2"/>
  <c r="D1" i="2"/>
  <c r="C1" i="2"/>
  <c r="B1" i="2"/>
  <c r="M30" i="9" l="1"/>
  <c r="M31" i="9"/>
  <c r="M32" i="9"/>
  <c r="M42" i="9"/>
  <c r="M43" i="9"/>
  <c r="N62" i="9"/>
  <c r="N89" i="9"/>
  <c r="N96" i="9"/>
  <c r="O126" i="9"/>
  <c r="O128" i="9"/>
  <c r="O130" i="9"/>
  <c r="O132" i="9"/>
  <c r="N147" i="9"/>
  <c r="O148" i="9"/>
  <c r="N151" i="9"/>
  <c r="O152" i="9"/>
  <c r="N30" i="9"/>
  <c r="N31" i="9"/>
  <c r="N32" i="9"/>
  <c r="N42" i="9"/>
  <c r="N43" i="9"/>
  <c r="O62" i="9"/>
  <c r="O89" i="9"/>
  <c r="O96" i="9"/>
  <c r="O147" i="9"/>
  <c r="N150" i="9"/>
  <c r="O151" i="9"/>
  <c r="O154" i="9"/>
  <c r="L1561" i="8"/>
  <c r="L750" i="8"/>
  <c r="L848" i="8"/>
  <c r="L1542" i="8"/>
  <c r="L1547" i="8"/>
  <c r="L442" i="8"/>
  <c r="L474" i="8" s="1"/>
  <c r="L593" i="8"/>
  <c r="L606" i="8" s="1"/>
  <c r="L116" i="8"/>
  <c r="L134" i="8" s="1"/>
  <c r="L267" i="8"/>
  <c r="L271" i="8"/>
  <c r="L307" i="8"/>
  <c r="L1293" i="8"/>
  <c r="L125" i="8"/>
  <c r="L183" i="8"/>
  <c r="L1020" i="8"/>
  <c r="L1092" i="8"/>
  <c r="L1185" i="8"/>
  <c r="L1199" i="8"/>
  <c r="L1287" i="8"/>
  <c r="L563" i="8"/>
  <c r="L1253" i="8"/>
  <c r="L674" i="8"/>
  <c r="L890" i="8"/>
  <c r="L904" i="8" s="1"/>
  <c r="L412" i="8"/>
  <c r="L1045" i="8"/>
  <c r="L1357" i="8"/>
  <c r="L1371" i="8" s="1"/>
  <c r="L223" i="8"/>
  <c r="L688" i="8"/>
  <c r="L1363" i="8"/>
  <c r="L140" i="8"/>
  <c r="L219" i="8"/>
  <c r="L243" i="8"/>
  <c r="L334" i="8"/>
  <c r="L401" i="8"/>
  <c r="L496" i="8"/>
  <c r="L571" i="8"/>
  <c r="L711" i="8"/>
  <c r="L742" i="8"/>
  <c r="L880" i="8"/>
  <c r="L915" i="8"/>
  <c r="L956" i="8"/>
  <c r="L1017" i="8"/>
  <c r="L1029" i="8"/>
  <c r="L1051" i="8"/>
  <c r="L1115" i="8"/>
  <c r="L1144" i="8"/>
  <c r="L1250" i="8"/>
  <c r="L1264" i="8" s="1"/>
  <c r="L1251" i="8"/>
  <c r="L1311" i="8"/>
  <c r="L1449" i="8"/>
  <c r="L1505" i="8"/>
  <c r="L203" i="8"/>
  <c r="L738" i="8"/>
  <c r="L771" i="8"/>
  <c r="L788" i="8"/>
  <c r="L833" i="8"/>
  <c r="L977" i="8"/>
  <c r="L1019" i="8"/>
  <c r="L1077" i="8"/>
  <c r="L1117" i="8"/>
  <c r="L1124" i="8"/>
  <c r="L1138" i="8" s="1"/>
  <c r="L1125" i="8"/>
  <c r="L419" i="8"/>
  <c r="L438" i="8" s="1"/>
  <c r="L693" i="8"/>
  <c r="L894" i="8"/>
  <c r="L975" i="8"/>
  <c r="L1430" i="8"/>
  <c r="L151" i="8"/>
  <c r="L472" i="8"/>
  <c r="L957" i="8"/>
  <c r="L1414" i="8"/>
  <c r="L318" i="8"/>
  <c r="L1163" i="8"/>
  <c r="L138" i="8"/>
  <c r="L154" i="8" s="1"/>
  <c r="L217" i="8"/>
  <c r="L225" i="8"/>
  <c r="L241" i="8"/>
  <c r="L378" i="8"/>
  <c r="L405" i="8"/>
  <c r="L653" i="8"/>
  <c r="L657" i="8"/>
  <c r="L681" i="8"/>
  <c r="L732" i="8"/>
  <c r="L785" i="8"/>
  <c r="L876" i="8"/>
  <c r="L917" i="8"/>
  <c r="L994" i="8"/>
  <c r="L1014" i="8"/>
  <c r="L1031" i="8"/>
  <c r="L1161" i="8"/>
  <c r="L1290" i="8"/>
  <c r="L1376" i="8"/>
  <c r="L1413" i="8"/>
  <c r="L1453" i="8"/>
  <c r="L1503" i="8"/>
  <c r="L1544" i="8"/>
  <c r="L239" i="8"/>
  <c r="L245" i="8"/>
  <c r="L312" i="8"/>
  <c r="L328" i="8" s="1"/>
  <c r="L425" i="8"/>
  <c r="L550" i="8"/>
  <c r="L769" i="8"/>
  <c r="L837" i="8"/>
  <c r="L855" i="8"/>
  <c r="L933" i="8"/>
  <c r="L937" i="8"/>
  <c r="L954" i="8"/>
  <c r="L958" i="8"/>
  <c r="L973" i="8"/>
  <c r="L988" i="8"/>
  <c r="L991" i="8"/>
  <c r="L1007" i="8"/>
  <c r="L1059" i="8"/>
  <c r="L1072" i="8"/>
  <c r="L1075" i="8"/>
  <c r="L1111" i="8"/>
  <c r="L1145" i="8"/>
  <c r="L1308" i="8"/>
  <c r="L1313" i="8"/>
  <c r="L1327" i="8"/>
  <c r="L1395" i="8"/>
  <c r="L1399" i="8"/>
  <c r="L388" i="8"/>
  <c r="L736" i="8"/>
  <c r="L805" i="8"/>
  <c r="L835" i="8"/>
  <c r="L926" i="8"/>
  <c r="L943" i="8" s="1"/>
  <c r="L989" i="8"/>
  <c r="L1005" i="8"/>
  <c r="L1184" i="8"/>
  <c r="L1310" i="8"/>
  <c r="L1359" i="8"/>
  <c r="L1361" i="8"/>
  <c r="L122" i="8"/>
  <c r="L150" i="8"/>
  <c r="L166" i="8"/>
  <c r="L178" i="8"/>
  <c r="L118" i="8"/>
  <c r="L129" i="8"/>
  <c r="L170" i="8"/>
  <c r="L195" i="8"/>
  <c r="L142" i="8"/>
  <c r="L146" i="8"/>
  <c r="L152" i="8"/>
  <c r="L237" i="8"/>
  <c r="L411" i="8"/>
  <c r="L435" i="8"/>
  <c r="L457" i="8"/>
  <c r="L500" i="8"/>
  <c r="L515" i="8"/>
  <c r="L553" i="8"/>
  <c r="L559" i="8"/>
  <c r="L576" i="8"/>
  <c r="L578" i="8"/>
  <c r="L659" i="8"/>
  <c r="L229" i="8"/>
  <c r="L260" i="8"/>
  <c r="L322" i="8"/>
  <c r="L420" i="8"/>
  <c r="L452" i="8"/>
  <c r="L503" i="8"/>
  <c r="L512" i="8"/>
  <c r="L525" i="8" s="1"/>
  <c r="L514" i="8"/>
  <c r="L537" i="8"/>
  <c r="L539" i="8"/>
  <c r="L582" i="8"/>
  <c r="L595" i="8"/>
  <c r="L637" i="8"/>
  <c r="L649" i="8"/>
  <c r="L666" i="8" s="1"/>
  <c r="L710" i="8"/>
  <c r="L720" i="8"/>
  <c r="L838" i="8"/>
  <c r="L1116" i="8"/>
  <c r="L1179" i="8"/>
  <c r="L197" i="8"/>
  <c r="L199" i="8"/>
  <c r="L295" i="8"/>
  <c r="L309" i="8" s="1"/>
  <c r="L320" i="8"/>
  <c r="L351" i="8"/>
  <c r="L379" i="8"/>
  <c r="L385" i="8"/>
  <c r="L398" i="8" s="1"/>
  <c r="L406" i="8"/>
  <c r="L428" i="8"/>
  <c r="L447" i="8"/>
  <c r="L484" i="8"/>
  <c r="L521" i="8"/>
  <c r="L572" i="8"/>
  <c r="L574" i="8"/>
  <c r="L631" i="8"/>
  <c r="L740" i="8"/>
  <c r="L874" i="8"/>
  <c r="L877" i="8"/>
  <c r="L884" i="8"/>
  <c r="L901" i="8"/>
  <c r="L910" i="8"/>
  <c r="L221" i="8"/>
  <c r="L256" i="8"/>
  <c r="L278" i="8"/>
  <c r="L314" i="8"/>
  <c r="L340" i="8"/>
  <c r="L377" i="8"/>
  <c r="L436" i="8"/>
  <c r="L462" i="8"/>
  <c r="L499" i="8"/>
  <c r="L519" i="8"/>
  <c r="L533" i="8"/>
  <c r="L561" i="8"/>
  <c r="L570" i="8"/>
  <c r="L613" i="8"/>
  <c r="L655" i="8"/>
  <c r="L656" i="8"/>
  <c r="L675" i="8"/>
  <c r="L677" i="8"/>
  <c r="L698" i="8"/>
  <c r="L803" i="8"/>
  <c r="L845" i="8"/>
  <c r="L976" i="8"/>
  <c r="L992" i="8"/>
  <c r="L1018" i="8"/>
  <c r="L1032" i="8"/>
  <c r="L1033" i="8"/>
  <c r="L1088" i="8"/>
  <c r="L1119" i="8"/>
  <c r="L1160" i="8"/>
  <c r="L1174" i="8" s="1"/>
  <c r="L1215" i="8"/>
  <c r="L1273" i="8"/>
  <c r="L1375" i="8"/>
  <c r="L1389" i="8" s="1"/>
  <c r="L1411" i="8"/>
  <c r="L1425" i="8" s="1"/>
  <c r="L1432" i="8"/>
  <c r="L1435" i="8"/>
  <c r="L1448" i="8"/>
  <c r="L1468" i="8"/>
  <c r="L1507" i="8"/>
  <c r="L1537" i="8"/>
  <c r="L1551" i="8" s="1"/>
  <c r="L1538" i="8"/>
  <c r="L1557" i="8"/>
  <c r="L1559" i="8"/>
  <c r="L840" i="8"/>
  <c r="L878" i="8"/>
  <c r="L941" i="8"/>
  <c r="L949" i="8"/>
  <c r="L1046" i="8"/>
  <c r="L1052" i="8"/>
  <c r="L1080" i="8"/>
  <c r="L1086" i="8"/>
  <c r="L1097" i="8"/>
  <c r="L1165" i="8"/>
  <c r="L1180" i="8"/>
  <c r="L1217" i="8"/>
  <c r="L1257" i="8"/>
  <c r="L1269" i="8"/>
  <c r="L1270" i="8"/>
  <c r="L1272" i="8"/>
  <c r="L1309" i="8"/>
  <c r="L1377" i="8"/>
  <c r="L1393" i="8"/>
  <c r="L1407" i="8" s="1"/>
  <c r="L1429" i="8"/>
  <c r="L1443" i="8" s="1"/>
  <c r="L1506" i="8"/>
  <c r="L1520" i="8"/>
  <c r="L1521" i="8"/>
  <c r="L1543" i="8"/>
  <c r="L712" i="8"/>
  <c r="L751" i="8"/>
  <c r="L766" i="8"/>
  <c r="L780" i="8" s="1"/>
  <c r="L793" i="8"/>
  <c r="L802" i="8"/>
  <c r="L843" i="8"/>
  <c r="L872" i="8"/>
  <c r="L886" i="8" s="1"/>
  <c r="L879" i="8"/>
  <c r="L881" i="8"/>
  <c r="L896" i="8"/>
  <c r="L913" i="8"/>
  <c r="L968" i="8"/>
  <c r="L1047" i="8"/>
  <c r="L1258" i="8"/>
  <c r="L1307" i="8"/>
  <c r="L1312" i="8"/>
  <c r="L1415" i="8"/>
  <c r="L1504" i="8"/>
  <c r="L119" i="8"/>
  <c r="L148" i="8"/>
  <c r="L579" i="8"/>
  <c r="L123" i="8"/>
  <c r="L132" i="8"/>
  <c r="L126" i="8"/>
  <c r="L128" i="8"/>
  <c r="L130" i="8"/>
  <c r="L139" i="8"/>
  <c r="L145" i="8"/>
  <c r="L158" i="8"/>
  <c r="L173" i="8" s="1"/>
  <c r="L160" i="8"/>
  <c r="L147" i="8"/>
  <c r="L177" i="8"/>
  <c r="L190" i="8" s="1"/>
  <c r="L181" i="8"/>
  <c r="L185" i="8"/>
  <c r="L200" i="8"/>
  <c r="L222" i="8"/>
  <c r="L224" i="8"/>
  <c r="L226" i="8"/>
  <c r="L228" i="8"/>
  <c r="L230" i="8"/>
  <c r="L242" i="8"/>
  <c r="L244" i="8"/>
  <c r="L246" i="8"/>
  <c r="L253" i="8"/>
  <c r="L273" i="8" s="1"/>
  <c r="L255" i="8"/>
  <c r="L259" i="8"/>
  <c r="L263" i="8"/>
  <c r="L265" i="8"/>
  <c r="L269" i="8"/>
  <c r="L286" i="8"/>
  <c r="L288" i="8"/>
  <c r="L296" i="8"/>
  <c r="L298" i="8"/>
  <c r="L300" i="8"/>
  <c r="L306" i="8"/>
  <c r="L325" i="8"/>
  <c r="L354" i="8"/>
  <c r="L356" i="8"/>
  <c r="L386" i="8"/>
  <c r="L389" i="8"/>
  <c r="L392" i="8"/>
  <c r="L404" i="8"/>
  <c r="L407" i="8"/>
  <c r="L423" i="8"/>
  <c r="L426" i="8"/>
  <c r="L431" i="8"/>
  <c r="L434" i="8"/>
  <c r="L443" i="8"/>
  <c r="L445" i="8"/>
  <c r="L450" i="8"/>
  <c r="L455" i="8"/>
  <c r="L461" i="8"/>
  <c r="L501" i="8"/>
  <c r="L516" i="8"/>
  <c r="L518" i="8"/>
  <c r="L522" i="8"/>
  <c r="L530" i="8"/>
  <c r="L548" i="8"/>
  <c r="L554" i="8"/>
  <c r="L577" i="8"/>
  <c r="L583" i="8"/>
  <c r="L585" i="8"/>
  <c r="L615" i="8"/>
  <c r="L628" i="8"/>
  <c r="L642" i="8"/>
  <c r="L650" i="8"/>
  <c r="L662" i="8"/>
  <c r="L672" i="8"/>
  <c r="L679" i="8"/>
  <c r="L680" i="8"/>
  <c r="L687" i="8"/>
  <c r="L705" i="8" s="1"/>
  <c r="L703" i="8"/>
  <c r="L722" i="8"/>
  <c r="L723" i="8"/>
  <c r="L731" i="8"/>
  <c r="L734" i="8"/>
  <c r="L735" i="8"/>
  <c r="L737" i="8"/>
  <c r="L786" i="8"/>
  <c r="L795" i="8"/>
  <c r="L857" i="8"/>
  <c r="L875" i="8"/>
  <c r="L898" i="8"/>
  <c r="L143" i="8"/>
  <c r="L159" i="8"/>
  <c r="L161" i="8"/>
  <c r="L163" i="8"/>
  <c r="L165" i="8"/>
  <c r="L171" i="8"/>
  <c r="L179" i="8"/>
  <c r="L194" i="8"/>
  <c r="L210" i="8" s="1"/>
  <c r="L198" i="8"/>
  <c r="L204" i="8"/>
  <c r="L206" i="8"/>
  <c r="L208" i="8"/>
  <c r="L216" i="8"/>
  <c r="L220" i="8"/>
  <c r="L227" i="8"/>
  <c r="L264" i="8"/>
  <c r="L268" i="8"/>
  <c r="L280" i="8"/>
  <c r="L282" i="8"/>
  <c r="L284" i="8"/>
  <c r="L305" i="8"/>
  <c r="L316" i="8"/>
  <c r="L342" i="8"/>
  <c r="L353" i="8"/>
  <c r="L414" i="8"/>
  <c r="L449" i="8"/>
  <c r="L454" i="8"/>
  <c r="L467" i="8"/>
  <c r="L498" i="8"/>
  <c r="L502" i="8"/>
  <c r="L513" i="8"/>
  <c r="L517" i="8"/>
  <c r="L538" i="8"/>
  <c r="L546" i="8"/>
  <c r="L555" i="8"/>
  <c r="L564" i="8"/>
  <c r="L587" i="8"/>
  <c r="L614" i="8"/>
  <c r="L641" i="8"/>
  <c r="L689" i="8"/>
  <c r="L691" i="8"/>
  <c r="L694" i="8"/>
  <c r="L739" i="8"/>
  <c r="L754" i="8"/>
  <c r="L770" i="8"/>
  <c r="L798" i="8"/>
  <c r="L813" i="8"/>
  <c r="L891" i="8"/>
  <c r="L909" i="8"/>
  <c r="L911" i="8"/>
  <c r="L972" i="8"/>
  <c r="L1008" i="8"/>
  <c r="L162" i="8"/>
  <c r="L164" i="8"/>
  <c r="L168" i="8"/>
  <c r="L180" i="8"/>
  <c r="L182" i="8"/>
  <c r="L184" i="8"/>
  <c r="L201" i="8"/>
  <c r="L205" i="8"/>
  <c r="L207" i="8"/>
  <c r="L215" i="8"/>
  <c r="L240" i="8"/>
  <c r="L257" i="8"/>
  <c r="L262" i="8"/>
  <c r="L287" i="8"/>
  <c r="L289" i="8"/>
  <c r="L297" i="8"/>
  <c r="L301" i="8"/>
  <c r="L302" i="8"/>
  <c r="L313" i="8"/>
  <c r="L319" i="8"/>
  <c r="L324" i="8"/>
  <c r="L326" i="8"/>
  <c r="L332" i="8"/>
  <c r="L346" i="8" s="1"/>
  <c r="L336" i="8"/>
  <c r="L338" i="8"/>
  <c r="L344" i="8"/>
  <c r="L355" i="8"/>
  <c r="L357" i="8"/>
  <c r="L368" i="8"/>
  <c r="L381" i="8" s="1"/>
  <c r="K528" i="8" s="1"/>
  <c r="L528" i="8" s="1"/>
  <c r="L541" i="8" s="1"/>
  <c r="L370" i="8"/>
  <c r="L371" i="8"/>
  <c r="L373" i="8"/>
  <c r="L375" i="8"/>
  <c r="L387" i="8"/>
  <c r="L390" i="8"/>
  <c r="L402" i="8"/>
  <c r="L416" i="8" s="1"/>
  <c r="L408" i="8"/>
  <c r="L410" i="8"/>
  <c r="L413" i="8"/>
  <c r="L421" i="8"/>
  <c r="L424" i="8"/>
  <c r="L427" i="8"/>
  <c r="L429" i="8"/>
  <c r="L432" i="8"/>
  <c r="L444" i="8"/>
  <c r="L446" i="8"/>
  <c r="L451" i="8"/>
  <c r="L456" i="8"/>
  <c r="L458" i="8"/>
  <c r="L470" i="8"/>
  <c r="L471" i="8"/>
  <c r="L478" i="8"/>
  <c r="L491" i="8" s="1"/>
  <c r="L481" i="8"/>
  <c r="L482" i="8"/>
  <c r="L497" i="8"/>
  <c r="L520" i="8"/>
  <c r="L531" i="8"/>
  <c r="L535" i="8"/>
  <c r="L549" i="8"/>
  <c r="L551" i="8"/>
  <c r="L552" i="8"/>
  <c r="L560" i="8"/>
  <c r="L580" i="8"/>
  <c r="L584" i="8"/>
  <c r="L594" i="8"/>
  <c r="L611" i="8"/>
  <c r="L616" i="8"/>
  <c r="L629" i="8"/>
  <c r="L630" i="8"/>
  <c r="L636" i="8"/>
  <c r="L651" i="8"/>
  <c r="L652" i="8"/>
  <c r="L664" i="8"/>
  <c r="L692" i="8"/>
  <c r="L699" i="8"/>
  <c r="L701" i="8"/>
  <c r="L730" i="8"/>
  <c r="L753" i="8"/>
  <c r="L859" i="8"/>
  <c r="L960" i="8"/>
  <c r="L967" i="8"/>
  <c r="L981" i="8" s="1"/>
  <c r="L986" i="8"/>
  <c r="L678" i="8"/>
  <c r="L696" i="8"/>
  <c r="L713" i="8"/>
  <c r="L715" i="8"/>
  <c r="L717" i="8"/>
  <c r="L801" i="8"/>
  <c r="L832" i="8"/>
  <c r="L841" i="8"/>
  <c r="L854" i="8"/>
  <c r="L868" i="8" s="1"/>
  <c r="L860" i="8"/>
  <c r="L927" i="8"/>
  <c r="L946" i="8"/>
  <c r="L963" i="8" s="1"/>
  <c r="L948" i="8"/>
  <c r="L952" i="8"/>
  <c r="L1012" i="8"/>
  <c r="L1027" i="8"/>
  <c r="L1073" i="8"/>
  <c r="L1093" i="8"/>
  <c r="L1100" i="8"/>
  <c r="L1112" i="8"/>
  <c r="L1196" i="8"/>
  <c r="L1210" i="8" s="1"/>
  <c r="L1202" i="8"/>
  <c r="L1254" i="8"/>
  <c r="L1259" i="8"/>
  <c r="L1268" i="8"/>
  <c r="L1282" i="8" s="1"/>
  <c r="L1288" i="8"/>
  <c r="L1397" i="8"/>
  <c r="L1412" i="8"/>
  <c r="L1452" i="8"/>
  <c r="L1470" i="8"/>
  <c r="L1522" i="8"/>
  <c r="L1546" i="8"/>
  <c r="L1548" i="8"/>
  <c r="L1555" i="8"/>
  <c r="L1569" i="8" s="1"/>
  <c r="L811" i="8"/>
  <c r="L825" i="8" s="1"/>
  <c r="L814" i="8"/>
  <c r="L830" i="8"/>
  <c r="L847" i="8"/>
  <c r="L856" i="8"/>
  <c r="L908" i="8"/>
  <c r="L922" i="8" s="1"/>
  <c r="L914" i="8"/>
  <c r="L930" i="8"/>
  <c r="L932" i="8"/>
  <c r="L947" i="8"/>
  <c r="L971" i="8"/>
  <c r="L974" i="8"/>
  <c r="L996" i="8"/>
  <c r="L998" i="8"/>
  <c r="L1016" i="8"/>
  <c r="L1200" i="8"/>
  <c r="L784" i="8"/>
  <c r="L807" i="8" s="1"/>
  <c r="L839" i="8"/>
  <c r="L846" i="8"/>
  <c r="L883" i="8"/>
  <c r="L893" i="8"/>
  <c r="L900" i="8"/>
  <c r="L929" i="8"/>
  <c r="L950" i="8"/>
  <c r="L990" i="8"/>
  <c r="L999" i="8"/>
  <c r="L1010" i="8"/>
  <c r="L1028" i="8"/>
  <c r="L1050" i="8"/>
  <c r="L1054" i="8"/>
  <c r="L1101" i="8"/>
  <c r="L1142" i="8"/>
  <c r="L1156" i="8" s="1"/>
  <c r="L1201" i="8"/>
  <c r="L1232" i="8"/>
  <c r="L1246" i="8" s="1"/>
  <c r="L1255" i="8"/>
  <c r="L1256" i="8"/>
  <c r="L1274" i="8"/>
  <c r="L1289" i="8"/>
  <c r="L1379" i="8"/>
  <c r="L1396" i="8"/>
  <c r="L1434" i="8"/>
  <c r="L1539" i="8"/>
  <c r="L1044" i="8"/>
  <c r="L1061" i="8" s="1"/>
  <c r="L1048" i="8"/>
  <c r="L1053" i="8"/>
  <c r="L1056" i="8"/>
  <c r="L1058" i="8"/>
  <c r="L1070" i="8"/>
  <c r="L1074" i="8"/>
  <c r="L1085" i="8"/>
  <c r="L1103" i="8" s="1"/>
  <c r="L1090" i="8"/>
  <c r="L1091" i="8"/>
  <c r="L1096" i="8"/>
  <c r="L1098" i="8"/>
  <c r="L1113" i="8"/>
  <c r="L1143" i="8"/>
  <c r="L1181" i="8"/>
  <c r="L1292" i="8"/>
  <c r="L1316" i="8"/>
  <c r="L1322" i="8"/>
  <c r="L1326" i="8"/>
  <c r="L1341" i="8"/>
  <c r="L1343" i="8"/>
  <c r="L1358" i="8"/>
  <c r="L1378" i="8"/>
  <c r="L1380" i="8"/>
  <c r="L1394" i="8"/>
  <c r="L1418" i="8"/>
  <c r="L1433" i="8"/>
  <c r="L1447" i="8"/>
  <c r="L1461" i="8" s="1"/>
  <c r="L1486" i="8"/>
  <c r="L1488" i="8"/>
  <c r="L1508" i="8"/>
  <c r="L1519" i="8"/>
  <c r="L1533" i="8" s="1"/>
  <c r="L1523" i="8"/>
  <c r="L1541" i="8"/>
  <c r="L1560" i="8"/>
  <c r="L1057" i="8"/>
  <c r="L1069" i="8"/>
  <c r="L1095" i="8"/>
  <c r="L1182" i="8"/>
  <c r="L1315" i="8"/>
  <c r="L1342" i="8"/>
  <c r="L1360" i="8"/>
  <c r="L1362" i="8"/>
  <c r="L1431" i="8"/>
  <c r="L1465" i="8"/>
  <c r="L1479" i="8" s="1"/>
  <c r="L1467" i="8"/>
  <c r="L1469" i="8"/>
  <c r="L1471" i="8"/>
  <c r="L1502" i="8"/>
  <c r="L1540" i="8"/>
  <c r="L1099" i="8"/>
  <c r="L1417" i="8"/>
  <c r="L1466" i="8"/>
  <c r="L1545" i="8"/>
  <c r="L1556" i="8"/>
  <c r="M1" i="4"/>
  <c r="D6" i="4"/>
  <c r="H1" i="4"/>
  <c r="D8" i="4"/>
  <c r="D4" i="4"/>
  <c r="D3" i="4"/>
  <c r="D7" i="4"/>
  <c r="D9" i="4"/>
  <c r="C23" i="4"/>
  <c r="D17" i="4" s="1"/>
  <c r="D5" i="4"/>
  <c r="L17" i="8"/>
  <c r="N63" i="8"/>
  <c r="L144" i="8"/>
  <c r="L236" i="8"/>
  <c r="L249" i="8" s="1"/>
  <c r="L238" i="8"/>
  <c r="L261" i="8"/>
  <c r="L277" i="8"/>
  <c r="L291" i="8" s="1"/>
  <c r="L279" i="8"/>
  <c r="L281" i="8"/>
  <c r="L283" i="8"/>
  <c r="L285" i="8"/>
  <c r="L299" i="8"/>
  <c r="L315" i="8"/>
  <c r="L317" i="8"/>
  <c r="L323" i="8"/>
  <c r="L341" i="8"/>
  <c r="L343" i="8"/>
  <c r="L352" i="8"/>
  <c r="L369" i="8"/>
  <c r="L448" i="8"/>
  <c r="L453" i="8"/>
  <c r="N78" i="8"/>
  <c r="L117" i="8"/>
  <c r="L121" i="8"/>
  <c r="L124" i="8"/>
  <c r="L167" i="8"/>
  <c r="L169" i="8"/>
  <c r="L196" i="8"/>
  <c r="L202" i="8"/>
  <c r="L214" i="8"/>
  <c r="L232" i="8" s="1"/>
  <c r="L218" i="8"/>
  <c r="L304" i="8"/>
  <c r="L321" i="8"/>
  <c r="L333" i="8"/>
  <c r="L335" i="8"/>
  <c r="L337" i="8"/>
  <c r="L339" i="8"/>
  <c r="L48" i="8"/>
  <c r="L63" i="8" s="1"/>
  <c r="L112" i="8"/>
  <c r="L120" i="8"/>
  <c r="L127" i="8"/>
  <c r="L131" i="8"/>
  <c r="L141" i="8"/>
  <c r="L149" i="8"/>
  <c r="L254" i="8"/>
  <c r="L258" i="8"/>
  <c r="L266" i="8"/>
  <c r="L270" i="8"/>
  <c r="L303" i="8"/>
  <c r="L350" i="8"/>
  <c r="L364" i="8" s="1"/>
  <c r="L372" i="8"/>
  <c r="L374" i="8"/>
  <c r="L376" i="8"/>
  <c r="L391" i="8"/>
  <c r="L403" i="8"/>
  <c r="L409" i="8"/>
  <c r="L422" i="8"/>
  <c r="L430" i="8"/>
  <c r="L433" i="8"/>
  <c r="L459" i="8"/>
  <c r="L20" i="8"/>
  <c r="L32" i="8" s="1"/>
  <c r="L67" i="8"/>
  <c r="L78" i="8" s="1"/>
  <c r="L469" i="8"/>
  <c r="N508" i="8"/>
  <c r="N541" i="8"/>
  <c r="L545" i="8"/>
  <c r="L566" i="8" s="1"/>
  <c r="L547" i="8"/>
  <c r="L556" i="8"/>
  <c r="L558" i="8"/>
  <c r="L573" i="8"/>
  <c r="L575" i="8"/>
  <c r="L581" i="8"/>
  <c r="L586" i="8"/>
  <c r="L610" i="8"/>
  <c r="L623" i="8" s="1"/>
  <c r="L633" i="8"/>
  <c r="L635" i="8"/>
  <c r="L663" i="8"/>
  <c r="L669" i="8"/>
  <c r="L684" i="8" s="1"/>
  <c r="L671" i="8"/>
  <c r="L673" i="8"/>
  <c r="L676" i="8"/>
  <c r="L690" i="8"/>
  <c r="L709" i="8"/>
  <c r="L719" i="8"/>
  <c r="L721" i="8"/>
  <c r="N474" i="8"/>
  <c r="L460" i="8"/>
  <c r="L464" i="8"/>
  <c r="L466" i="8"/>
  <c r="L468" i="8"/>
  <c r="L483" i="8"/>
  <c r="L485" i="8"/>
  <c r="L532" i="8"/>
  <c r="L536" i="8"/>
  <c r="L562" i="8"/>
  <c r="N589" i="8"/>
  <c r="L612" i="8"/>
  <c r="L632" i="8"/>
  <c r="L634" i="8"/>
  <c r="L639" i="8"/>
  <c r="L643" i="8"/>
  <c r="N666" i="8"/>
  <c r="L661" i="8"/>
  <c r="L670" i="8"/>
  <c r="L682" i="8"/>
  <c r="L718" i="8"/>
  <c r="L748" i="8"/>
  <c r="L762" i="8" s="1"/>
  <c r="L772" i="8"/>
  <c r="L791" i="8"/>
  <c r="L463" i="8"/>
  <c r="L465" i="8"/>
  <c r="L479" i="8"/>
  <c r="L495" i="8"/>
  <c r="L508" i="8" s="1"/>
  <c r="L529" i="8"/>
  <c r="L534" i="8"/>
  <c r="L569" i="8"/>
  <c r="L589" i="8" s="1"/>
  <c r="L627" i="8"/>
  <c r="L645" i="8" s="1"/>
  <c r="L638" i="8"/>
  <c r="L640" i="8"/>
  <c r="L654" i="8"/>
  <c r="L658" i="8"/>
  <c r="L660" i="8"/>
  <c r="L695" i="8"/>
  <c r="L697" i="8"/>
  <c r="L700" i="8"/>
  <c r="L702" i="8"/>
  <c r="L708" i="8"/>
  <c r="L725" i="8" s="1"/>
  <c r="L714" i="8"/>
  <c r="L716" i="8"/>
  <c r="L729" i="8"/>
  <c r="L744" i="8" s="1"/>
  <c r="L733" i="8"/>
  <c r="L741" i="8"/>
  <c r="L749" i="8"/>
  <c r="L752" i="8"/>
  <c r="L767" i="8"/>
  <c r="L768" i="8"/>
  <c r="L816" i="8"/>
  <c r="L790" i="8"/>
  <c r="L797" i="8"/>
  <c r="L799" i="8"/>
  <c r="L804" i="8"/>
  <c r="L815" i="8"/>
  <c r="L842" i="8"/>
  <c r="L844" i="8"/>
  <c r="L858" i="8"/>
  <c r="L882" i="8"/>
  <c r="L895" i="8"/>
  <c r="L897" i="8"/>
  <c r="L918" i="8"/>
  <c r="L928" i="8"/>
  <c r="L931" i="8"/>
  <c r="L936" i="8"/>
  <c r="L940" i="8"/>
  <c r="L951" i="8"/>
  <c r="L953" i="8"/>
  <c r="L959" i="8"/>
  <c r="L993" i="8"/>
  <c r="L997" i="8"/>
  <c r="L1006" i="8"/>
  <c r="L1022" i="8" s="1"/>
  <c r="L1011" i="8"/>
  <c r="L1015" i="8"/>
  <c r="L1026" i="8"/>
  <c r="L1040" i="8" s="1"/>
  <c r="L935" i="8"/>
  <c r="L939" i="8"/>
  <c r="L955" i="8"/>
  <c r="L970" i="8"/>
  <c r="L985" i="8"/>
  <c r="L1001" i="8" s="1"/>
  <c r="L987" i="8"/>
  <c r="L1030" i="8"/>
  <c r="L1110" i="8"/>
  <c r="L787" i="8"/>
  <c r="L789" i="8"/>
  <c r="L792" i="8"/>
  <c r="L794" i="8"/>
  <c r="L796" i="8"/>
  <c r="L800" i="8"/>
  <c r="L812" i="8"/>
  <c r="L817" i="8"/>
  <c r="L829" i="8"/>
  <c r="L850" i="8" s="1"/>
  <c r="L831" i="8"/>
  <c r="L834" i="8"/>
  <c r="L836" i="8"/>
  <c r="L873" i="8"/>
  <c r="L889" i="8"/>
  <c r="L892" i="8"/>
  <c r="L902" i="8"/>
  <c r="L912" i="8"/>
  <c r="L934" i="8"/>
  <c r="L938" i="8"/>
  <c r="L961" i="8"/>
  <c r="L969" i="8"/>
  <c r="L995" i="8"/>
  <c r="L1009" i="8"/>
  <c r="L1013" i="8"/>
  <c r="L1049" i="8"/>
  <c r="L1055" i="8"/>
  <c r="L1066" i="8"/>
  <c r="L1068" i="8"/>
  <c r="L1071" i="8"/>
  <c r="L1079" i="8"/>
  <c r="L1087" i="8"/>
  <c r="L1089" i="8"/>
  <c r="L1094" i="8"/>
  <c r="L1107" i="8"/>
  <c r="L1121" i="8" s="1"/>
  <c r="L1109" i="8"/>
  <c r="L1114" i="8"/>
  <c r="L1118" i="8"/>
  <c r="L1146" i="8"/>
  <c r="N1174" i="8"/>
  <c r="L1214" i="8"/>
  <c r="L1228" i="8" s="1"/>
  <c r="L1216" i="8"/>
  <c r="L1271" i="8"/>
  <c r="L1291" i="8"/>
  <c r="L1304" i="8"/>
  <c r="L1318" i="8" s="1"/>
  <c r="L1306" i="8"/>
  <c r="L1314" i="8"/>
  <c r="L1324" i="8"/>
  <c r="L1325" i="8"/>
  <c r="L1198" i="8"/>
  <c r="L1305" i="8"/>
  <c r="L1451" i="8"/>
  <c r="L1065" i="8"/>
  <c r="L1082" i="8" s="1"/>
  <c r="N1082" i="8"/>
  <c r="L1067" i="8"/>
  <c r="L1076" i="8"/>
  <c r="L1078" i="8"/>
  <c r="L1108" i="8"/>
  <c r="L1162" i="8"/>
  <c r="L1164" i="8"/>
  <c r="L1183" i="8"/>
  <c r="L1197" i="8"/>
  <c r="L1218" i="8"/>
  <c r="L1252" i="8"/>
  <c r="L1286" i="8"/>
  <c r="L1300" i="8" s="1"/>
  <c r="L1321" i="8"/>
  <c r="L1335" i="8" s="1"/>
  <c r="L1323" i="8"/>
  <c r="L1487" i="8"/>
  <c r="L1339" i="8"/>
  <c r="L1353" i="8" s="1"/>
  <c r="L1450" i="8"/>
  <c r="L1484" i="8"/>
  <c r="N8" i="9"/>
  <c r="M8" i="9"/>
  <c r="O8" i="9"/>
  <c r="L1340" i="8"/>
  <c r="L1381" i="8"/>
  <c r="L1398" i="8"/>
  <c r="L1400" i="8"/>
  <c r="L1416" i="8"/>
  <c r="L1483" i="8"/>
  <c r="L1497" i="8" s="1"/>
  <c r="L1485" i="8"/>
  <c r="O9" i="9"/>
  <c r="N15" i="9"/>
  <c r="M15" i="9"/>
  <c r="N35" i="9"/>
  <c r="O39" i="9"/>
  <c r="N39" i="9"/>
  <c r="O50" i="9"/>
  <c r="N50" i="9"/>
  <c r="O100" i="9"/>
  <c r="N100" i="9"/>
  <c r="O122" i="9"/>
  <c r="N122" i="9"/>
  <c r="O124" i="9"/>
  <c r="N124" i="9"/>
  <c r="N1569" i="8"/>
  <c r="L1558" i="8"/>
  <c r="O7" i="9"/>
  <c r="N7" i="9"/>
  <c r="O23" i="9"/>
  <c r="N23" i="9"/>
  <c r="O35" i="9"/>
  <c r="N47" i="9"/>
  <c r="M47" i="9"/>
  <c r="N75" i="9"/>
  <c r="M75" i="9"/>
  <c r="N77" i="9"/>
  <c r="M77" i="9"/>
  <c r="N83" i="9"/>
  <c r="M83" i="9"/>
  <c r="M100" i="9"/>
  <c r="N105" i="9"/>
  <c r="M105" i="9"/>
  <c r="N108" i="9"/>
  <c r="M108" i="9"/>
  <c r="N111" i="9"/>
  <c r="M111" i="9"/>
  <c r="N113" i="9"/>
  <c r="M113" i="9"/>
  <c r="M122" i="9"/>
  <c r="M124" i="9"/>
  <c r="L1501" i="8"/>
  <c r="L1515" i="8" s="1"/>
  <c r="N14" i="9"/>
  <c r="M14" i="9"/>
  <c r="M23" i="9"/>
  <c r="O40" i="9"/>
  <c r="N40" i="9"/>
  <c r="O49" i="9"/>
  <c r="N49" i="9"/>
  <c r="N64" i="9"/>
  <c r="M64" i="9"/>
  <c r="O79" i="9"/>
  <c r="N79" i="9"/>
  <c r="N91" i="9"/>
  <c r="M91" i="9"/>
  <c r="O99" i="9"/>
  <c r="N99" i="9"/>
  <c r="N110" i="9"/>
  <c r="M110" i="9"/>
  <c r="N120" i="9"/>
  <c r="M120" i="9"/>
  <c r="O123" i="9"/>
  <c r="N123" i="9"/>
  <c r="N125" i="9"/>
  <c r="M125" i="9"/>
  <c r="O134" i="9"/>
  <c r="N134" i="9"/>
  <c r="M134" i="9"/>
  <c r="O6" i="9"/>
  <c r="N6" i="9"/>
  <c r="N9" i="9"/>
  <c r="O13" i="9"/>
  <c r="N13" i="9"/>
  <c r="O14" i="9"/>
  <c r="O24" i="9"/>
  <c r="N24" i="9"/>
  <c r="M40" i="9"/>
  <c r="M49" i="9"/>
  <c r="O64" i="9"/>
  <c r="O66" i="9"/>
  <c r="N66" i="9"/>
  <c r="N76" i="9"/>
  <c r="M76" i="9"/>
  <c r="M79" i="9"/>
  <c r="O91" i="9"/>
  <c r="M99" i="9"/>
  <c r="N104" i="9"/>
  <c r="M104" i="9"/>
  <c r="N107" i="9"/>
  <c r="M107" i="9"/>
  <c r="N112" i="9"/>
  <c r="M112" i="9"/>
  <c r="M123" i="9"/>
  <c r="M126" i="9"/>
  <c r="M127" i="9"/>
  <c r="M128" i="9"/>
  <c r="M129" i="9"/>
  <c r="M130" i="9"/>
  <c r="M131" i="9"/>
  <c r="M132" i="9"/>
  <c r="M154" i="9"/>
  <c r="K1178" i="8" l="1"/>
  <c r="L1178" i="8" s="1"/>
  <c r="L1192" i="8" s="1"/>
  <c r="K480" i="8"/>
  <c r="L480" i="8" s="1"/>
  <c r="K916" i="8"/>
  <c r="L916" i="8" s="1"/>
  <c r="K899" i="8"/>
  <c r="L899" i="8" s="1"/>
  <c r="G6" i="4"/>
  <c r="H6" i="4" s="1"/>
  <c r="G9" i="4"/>
  <c r="H9" i="4" s="1"/>
  <c r="G5" i="4"/>
  <c r="H5" i="4" s="1"/>
  <c r="G8" i="4"/>
  <c r="H8" i="4" s="1"/>
  <c r="G4" i="4"/>
  <c r="H4" i="4" s="1"/>
  <c r="G3" i="4"/>
  <c r="H3" i="4" s="1"/>
  <c r="G7" i="4"/>
  <c r="H7" i="4" s="1"/>
  <c r="D20" i="4"/>
  <c r="D19" i="4"/>
  <c r="D18" i="4"/>
  <c r="M14" i="4"/>
  <c r="H14" i="4"/>
  <c r="D21" i="4"/>
  <c r="D16" i="4"/>
  <c r="L8" i="4"/>
  <c r="L4" i="4"/>
  <c r="L3" i="4"/>
  <c r="L7" i="4"/>
  <c r="L6" i="4"/>
  <c r="L9" i="4"/>
  <c r="L5" i="4"/>
  <c r="G21" i="4" l="1"/>
  <c r="G20" i="4"/>
  <c r="H20" i="4" s="1"/>
  <c r="G17" i="4"/>
  <c r="G19" i="4"/>
  <c r="H19" i="4" s="1"/>
  <c r="G18" i="4"/>
  <c r="H18" i="4" s="1"/>
  <c r="G16" i="4"/>
  <c r="H16" i="4" s="1"/>
  <c r="L21" i="4"/>
  <c r="L20" i="4"/>
  <c r="L19" i="4"/>
  <c r="L18" i="4"/>
  <c r="L16" i="4"/>
  <c r="L17" i="4"/>
  <c r="F17" i="4" l="1"/>
  <c r="H17" i="4"/>
  <c r="H21" i="4"/>
  <c r="F21" i="4"/>
</calcChain>
</file>

<file path=xl/sharedStrings.xml><?xml version="1.0" encoding="utf-8"?>
<sst xmlns="http://schemas.openxmlformats.org/spreadsheetml/2006/main" count="16359" uniqueCount="5441">
  <si>
    <t>titulo</t>
  </si>
  <si>
    <t>ingredientes</t>
  </si>
  <si>
    <t>preparo</t>
  </si>
  <si>
    <t>url</t>
  </si>
  <si>
    <t>Bolo de cenoura</t>
  </si>
  <si>
    <t>1/2 xícara (chá) de óleo
 3 cenouras médias raladas
 4 ovos
 2 xícaras (chá) de açúcar
 2 e 1/2 xícaras (chá) de farinha de trigo
 1 colher (sopa) de fermento em pó
 1 colher (sopa) de manteiga
 3 colheres (sopa) de chocolate em pó
 1 xícara (chá) de açúcar
 1 xícara (chá) de leite</t>
  </si>
  <si>
    <t>Em um liquidificador, adicione a cenoura, os ovos e o óleo, depois misture.
 Acrescente o açúcar e bata novamente por 5 minutos.
 Em uma tigela ou na batedeira, adicione a farinha de trigo e depoismisture novamente.
 Acrescente o fermento e misture lentamente com uma colher.
 Asse em um forno preaquecido a 180° C por aproximadamente 40 minutos.
 Despeje em uma tigela a manteiga, o chocolate em pó, o açúcar e o leite, depois misture.
 Leve a mistura ao fogo e continue misturando até obter uma consistência cremosa, depois despeje acalda por cima do bolo.</t>
  </si>
  <si>
    <t>https://www.tudogostoso.com.br/receita/23-bolo-de-cenoura.html</t>
  </si>
  <si>
    <t>Bolo gelado</t>
  </si>
  <si>
    <t>4 ovos
 2 xícaras (chá) de açúcar
 3 xícaras (chá) de farinha de trigo
 1 copo (americano) de suco de laranja
 1 colher (sopa) de fermento em pó
 1 garrafa pequena de leite de coco
 1 garrafa de leite (utilize a mesma garrafa do leite de coco como medida)
 1 lata de leite condensado
 1 pacote de coco ralado sem açúcar</t>
  </si>
  <si>
    <t>Em uma batedeira, bata as claras em neve acrescentando o açúcar aos poucos e bata por 3 minutos.
 Adicione as gemas, o trigo, o suco e continue batendo até formar uma massa homogênea.
 Por último, adicione o fermento e bata por mais 40 segundos na menor velocidade da batedeira.
 Despeje a massa em uma forma média e untada.
 Asse em forno preaquecido em temperatura média de 180 °C por 40 minutos ou até dourar.
 Em uma tigela, misture o leite de coco, o leite, o leite condensado e reserve.
 Após 40 minutos, retire o bolo do forno e fure toda a sua superfície com um garfo para facilitar a penetração da cobertura.
 Com o bolo ainda quente, despeje a cobertura sobre ele e salpique por cima o coco ralado.
 Leve a geladeira por 3 horas, depois corte o bolo em quadrados do tamanho que preferir e embrulhe com papel alumínio.
 Conserve na geladeira.</t>
  </si>
  <si>
    <t>https://www.tudogostoso.com.br/receita/2313-bolo-gelado.html</t>
  </si>
  <si>
    <t>Torta de liquidificador</t>
  </si>
  <si>
    <t>1 ovo
 6 colheres (sopa) de farinha de trigo
 5 colheres (sopa) de queijo ralado
 1 pitada de orégano
 1 colher (sobremesa) de fermento em pó
 1/2 cebola
 1 xícara (chá) de leite
 1/2 xícara (chá) de óleo
 1 pitada de sal</t>
  </si>
  <si>
    <t>Bata todos os ingredientes no liquidificador até que a massa esteja firme e encorpada.
 Para uma massa mais consistente, acrescente mais uma porção de farinha de trigo.
 Unte uma forma com óleo e despeje metade da massa até cobrir todo o fundo.
 Em seguida, acrescente um recheio de sua escolha e cubra com o restante da massa.
 Asse em forno médio (180° C), preaquecido, por 30 minutos.</t>
  </si>
  <si>
    <t>https://www.tudogostoso.com.br/receita/1362-torta-de-liquidificador.html</t>
  </si>
  <si>
    <t>Fricassê de frango</t>
  </si>
  <si>
    <t>1 lata de creme de leite
 1 lata de milho verde
 1 copo de requeijão cremoso
 100 g de azeitona sem caroço
 2 peitos de frango desfiados
 200 g de mussarela fatiada
 100 g de batata palha
 1 xícara de água
 1 pitada de sal</t>
  </si>
  <si>
    <t>Bata no liquidificador o milho, o requeijão, o creme de leite e a água.
 Refogue o creme do liquidificador com o frango desfiado, as azeitonas e o sal até ficar com uma textura espessa.
 Coloque o refogado numa assadeira, cubra com mussarela e espalhe a batata palha por cima.
 Leve ao forno até borbulhar.
 Sirvacom arroz branco.</t>
  </si>
  <si>
    <t>https://www.tudogostoso.com.br/receita/10254-fricasse-de-frango.html</t>
  </si>
  <si>
    <t>Bolo de chocolate molhadinho</t>
  </si>
  <si>
    <t>2 xícaras de farinha de trigo
 2 xícaras de açúcar
 1 xícara de leite
 6 colheres (sopa) de chocolate em pó
 1 colher (sopa) de fermento em pó
 6 ovos
 Cobertura
 2 colheres (sopa) de manteiga
 2 xícaras de leite
 1 xícara de chocolate em pó</t>
  </si>
  <si>
    <t>Em uma batedeira, bata as claras em neve.
 Acrescente as gemas, o açúcar e bata novamente.
 Adicione a farinha, o chocolate em pó, o fermento, o leite e bata por mais alguns minutos.
 Despeje a massa em uma forma untada e leve para assar em forno médio (180° C), preaquecido, por 40 minutos.
 Em uma panela, leve a fogo médio o chocolate em pó, a manteiga e o leite, deixe até ferver.
 Despeje quente sobre o bolo já assado.</t>
  </si>
  <si>
    <t>https://www.tudogostoso.com.br/receita/951-bolo-de-chocolate-molhadinho.html</t>
  </si>
  <si>
    <t>Panqueca de carne moída</t>
  </si>
  <si>
    <t>1 e 1/2 xícara (chá) de farinha de trigo
 1 xícara (chá) de leite
 2 ovos
 4 colheres (sopa) de óleo
 sal a gosto
 300 g de carne moída
 2 colheres (sopa) de cebola picada ou ralada
 1/2 tomate cortado em cubos
 1/2 lata de extrato de tomate
 1 caixa de creme de leite
 sal a gosto
 400 g de muçarela fatiado
 queijo ralado a gosto</t>
  </si>
  <si>
    <t>Bata no liquidificador os ovos, o leite, o óleo, e acrescente a farinha de trigo aos poucos.
 Após acrescentar toda a farinha de trigo, adicione sal a gosto.
 Misture a massa até obter uma consistência cremosa.
 Com um papel-toalha, espalhe óleo por toda a frigideira e despeje uma concha de massa.
 Faça movimentos circulares para que a massa se espalhepor toda a frigideira.
 Espere até a massa soltar do fundo e vire a massa para fritar do outro lado.
 Em uma panela, doure a cebola com o óleo e acrescente a carne.
 Deixe cozinhar até que saia água da carne, diminua o fogo e tampe.
 Acrescente o tomate picado e tampe novamente.
 Deixe cozinhar por mais 3 minutos e misture.
 Acrescenteo extrato de tomatee temperos a gosto.
 Deixe cozinhar por mais 10 minutos.
 Quando o molho engrossar, desligue o fogo.
 Deixe esfriar o molho, acrescente o creme de leite e misture bem.
 Quando estiver bem homogêneo, leve novamente ao fogo e deixe cozinhar em fogo baixo por mais 5 minutos.
 Recheie a panqueca com uma fatia de mussarela, uma porção de carne e enrole.
 Faça esse processo com todas as panquecas.
 Despeje um pouco de caldo no fundo de um refratário,para untar.
 Disponha as panquecas já prontas no refratário e despeje sobre elas o restante do molho.
 Polvilhe queijo ralado sobre as panquecas.
 Leve ao forno para gratinar, em fogo médio, por 20 minutos ou até que o queijo esteja derretido.</t>
  </si>
  <si>
    <t>https://www.tudogostoso.com.br/receita/760-panqueca-de-carne-moida.html</t>
  </si>
  <si>
    <t>Pudim de leite condensado simples</t>
  </si>
  <si>
    <t>1 lata de leite condensado
 1 xícara de leite de vaca
 4 ovos inteiros
 1 xícara (chá) de açúcar
 1/3 de xícara (chá) de água</t>
  </si>
  <si>
    <t>Em uma panela, misture a água e o açúcar até formar uma calda.
 Unte uma forma com a calda e reserve.
 Bata todos os ingredientes no liquidificador e despeje na forma caramelizada.
 Leve para assar em banho-maria por 40 minutos.
 Desenforme e sirva.</t>
  </si>
  <si>
    <t>https://www.tudogostoso.com.br/receita/3687-pudim-de-leite-condensado.html</t>
  </si>
  <si>
    <t>Bolo simples</t>
  </si>
  <si>
    <t>2 xícaras (chá) de açúcar
 3 xícaras (chá) de farinha de trigo
 4 colheres (sopa) de margarina
 3 ovos
 1 e 1/2 xícara (chá) de leite
 1 colher (sopa) bem cheia de fermento em pó</t>
  </si>
  <si>
    <t>Bata as claras em nevee reserve.
 Misture as gemas, a margarina e o açúcaraté obter uma massa homogênea.
 Acrescente o leite e a farinha de trigo aos poucos, sem parar de bater.
 Por último, adicione as claras em neve e o fermento.
 Despeje a massa em uma forma grande de furo centraluntada e enfarinhada.
 Asse em forno médio 180 °C, preaquecido, por aproximadamente 40 minutos ou ao furar o bolo com um garfo, este saia limpo.</t>
  </si>
  <si>
    <t>https://www.tudogostoso.com.br/receita/29124-bolo-simples.html</t>
  </si>
  <si>
    <t>Bolinho de chuva</t>
  </si>
  <si>
    <t>2 ovos
 2 colheres (sopa) de açúcar
 1 xícara (chá) de leite
 2 e 1/2 xícaras (chá) de farinha de trigo
 1 colher (sopa) de fermento
 3 colheres (sopa) de açúcar
 1 colher (chá) de canela</t>
  </si>
  <si>
    <t>Em um recipiente, adicione os ovos, o açúcar, o leite, a farinha de trigo e o fermento, depois misture-os até obter uma massa lisa e homogênea.
 Com a ajuda de uma colher, pegue porções da mistura e despeje em uma panela com o óleo quente.
 Retire do fogo quando estiver no ponto, depois misture a canela com açúcar e salpique no bolinho de chuva já frito.</t>
  </si>
  <si>
    <t>https://www.tudogostoso.com.br/receita/4683-bolinho-de-chuva.html</t>
  </si>
  <si>
    <t>Torta de frango</t>
  </si>
  <si>
    <t>500 g de peito de frango sem pele
 1/2 litro de caldo de galinha
 4 colheres (sopa) de óleo
 1 dente de alho amassado
 1 cebola picada
 3 tomates sem pele e sem sementes
 1 xícara (chá) de ervilhas
 sal a gosto
 pimenta-do-reino a gosto
 250 ml de leite
 3/4 de xícara (chá) de óleo
 2 ovos
 1 e 1/2 xícara (chá) de farinha de trigo
 sal a gosto
 1 colher (sopa) de fermento em pó
 queijo ralado a gosto</t>
  </si>
  <si>
    <t>Cozinhe o peito de frango no caldo até ficar macio.
 Separe 1 xícara (chá) de caldo do cozimento e reserve.
 Refogue os demais ingredientes e acrescente as ervilhas por último.
 Desfie o frango, misture ao caldo e deixe cozinhar até secar.
 Bata o leite, o óleo e os ovos no liquidificador em velocidade baixa.
 Acrescente aos poucos a farinha, o sal e o fermento.
 Despeje metade da massa em uma forma untada e adicione o recheio sobre ela.
 Cubra com o restante de massa e o queijo ralado.
 Leve ao forno preaquecido (180° C) até dourar.</t>
  </si>
  <si>
    <t>https://www.tudogostoso.com.br/receita/1282-torta-de-frango.html</t>
  </si>
  <si>
    <t>Danoninho caseiro</t>
  </si>
  <si>
    <t>1 lata de leite condensado
 2 caixas de creme de leite
 200 g de iogurte natural
 1 pacote de suco em pó sabor morango</t>
  </si>
  <si>
    <t>Em um liquidificador, bata todos os ingrediente até obter uma consistência cremosa.
 Dispense a mistura em um recipiente e leve à geladeira até que esteja firme.</t>
  </si>
  <si>
    <t>https://www.tudogostoso.com.br/receita/19728-danoninho-caseiro.html</t>
  </si>
  <si>
    <t>Brigadeiro</t>
  </si>
  <si>
    <t>1 caixa de leite condensado
 1 colher (sopa) de margarina sem sal
 7 colheres (sopa) de achocolatado ou 4 colheres (sopa) de chocolate em pó
 chocolate granulado</t>
  </si>
  <si>
    <t>Em uma panela funda, acrescente o leite condensado, a margarina e o chocolate em pó.
 Cozinhe em fogo médio e mexa até que o brigadeiro comece a desgrudar da panela.
 Deixe esfriar efaça pequenas bolascom a mão passando a massa no chocolate granulado.</t>
  </si>
  <si>
    <t>https://www.tudogostoso.com.br/receita/114-brigadeiro.html</t>
  </si>
  <si>
    <t>A melhor receita de bolo de chocolate</t>
  </si>
  <si>
    <t>4 ovos
 4 colheres (sopa) de chocolate em pó
 2 colheres (sopa) de manteiga
 3 xícaras (chá) de farinha de trigo
 2 xícaras (chá) de açúcar
 2 colheres (sopa) de fermento
 1 xícara (chá) de leite
 2 colheres (sopa) de manteiga
 7 colheres (sopa) de chocolate em pó
 2 latas de creme de leite com soro
 3 colheres (sopa) de açúcar</t>
  </si>
  <si>
    <t>Em um liquidificador adicione os ovos, o chocolate em pó, a manteiga, a farinha de trigo, o açúcar e o leite, depoisbata por 5 minutos.
 Adicione o fermento e misture com uma espátula delicadamente.
 Em uma forma untada, despeje a massa e asse em forno médio (180 ºC) preaquecido por cerca de 40 minutos. Não se esqueça de usar uma forma alta para essa receita: como leva duas colheres de fermento, ela cresce bastante! Outra solução pode ser colocar apenas uma colher de fermento e manter a sua receita em uma forma pequena.
 Em uma panela, aqueça a manteiga e misture o chocolate em pó até que esteja homogêneo.
 Acrescente o creme de leite e misture bem até obter uma consistência cremosa.
 Desligue o fogo e acrescente o açúcar.</t>
  </si>
  <si>
    <t>https://www.tudogostoso.com.br/receita/62547-a-melhor-receita-de-bolo-de-chocolate.html</t>
  </si>
  <si>
    <t>Panquecas (receita da vovó)</t>
  </si>
  <si>
    <t>1 copo de leite
 1 ovo
 1 copo de farinha de trigo
 1 colher (sopa) de óleo
 1 pitada de sal</t>
  </si>
  <si>
    <t>Bata todos os ingredientes no liquidificador até obter uma consistência cremosa.
 Unte uma frigideira com manteiga, espere esquentar e despeje uma concha de massa.
 Faça movimentos circulares para que a massa se espalhe por toda a frigideira.
 Deixe assar até que a borda obtenha uma cor dourada.
 Espere até a massa se soltar do fundo, vire e deixe fritar do outro lado.
 Recheie a gosto, enrole e sirva.</t>
  </si>
  <si>
    <t>https://www.tudogostoso.com.br/receita/1316-panquecas-receita-da-vovo.html</t>
  </si>
  <si>
    <t>Bolo de fubá da vó Maria</t>
  </si>
  <si>
    <t>4 ovos
 2 xícaras (chá) de açúcar
 2 xícaras (chá) de trigo
 1 xícara (chá) de fubá
 3 colheres (sopa) de margarina
 1 xícara (chá) de leite
 4 colheres (chá) de fermento</t>
  </si>
  <si>
    <t>Em uma batedeira, bata as claras em neve e acrescente o açúcar.
 Adicione as gemas, a margarina, o leite, a farinha de trigo, o fubá e continue batendo.
 Acrescente por último o fermento e misture com uma colher ou espátula.
 Despeje a massa em uma forma untada e deixe assar em forno médio (180° C), preaquecido, por aproximadamente 30 minutos.</t>
  </si>
  <si>
    <t>https://www.tudogostoso.com.br/receita/79-bolo-de-fuba-da-vo-maria.html</t>
  </si>
  <si>
    <t>Chocolate quente cremoso</t>
  </si>
  <si>
    <t>2 xícaras (chá) de leite
 1 colher (sopa) de amido de milho
 3 colheres (sopa) de chocolate em pó
 4 colheres (sopa) de açúcar
 1 canela em pau
 1 caixinha de creme de leite</t>
  </si>
  <si>
    <t>Em um liquidificador, bata o leite, o amido de milho, o chocolate em pó e o açúcar.
 Despeje a mistura em uma panela com a canela e leve ao fogo baixo, mexendo sempre até ferver.
 Desligue, adicione o creme de leite e mexa bem até obter uma mistura homogênea.
 Retire a canela e sirva quente.</t>
  </si>
  <si>
    <t>https://www.tudogostoso.com.br/receita/130871-chocolate-quente-cremoso.html</t>
  </si>
  <si>
    <t>Bolo de fubá cremoso</t>
  </si>
  <si>
    <t>4 ovos
 4 xícaras de leite
 3 xícaras de açúcar
 2 colheres de farinha de trigo
 1 e 1/2 xícara de fubá
 2 colheres de margarina
 100 g de queijo ralado
 1 colher de fermento em pó</t>
  </si>
  <si>
    <t>Em um liquidificador, misture todos os ingredientesaté obter uma consistência cremosa.
 Despeje a massa em uma forma untada e polvilhada com farinha de trigo.
 Asse em forno médio (180° C), preaquecido, por 40 minutos.
 Sirva frio.</t>
  </si>
  <si>
    <t>https://www.tudogostoso.com.br/receita/3468-bolo-de-fuba-cremoso.html</t>
  </si>
  <si>
    <t>Mousse de limão rápido</t>
  </si>
  <si>
    <t>1 lata de leite condensado
 1 lata de creme de leite
 1/2 copo (americano) de suco puro de limão
 Bis de limão</t>
  </si>
  <si>
    <t>No liquidificador, bata o leite condensado e o creme de leite por 3 minutos.
 Acrescente aos poucos o suco de limão e continue batendo.
 Despejeo mousse em um refratárioe leve à geladeira.
 Na hora de servir, triture o bis e coloque por cima do mousse para decorar.</t>
  </si>
  <si>
    <t>https://www.tudogostoso.com.br/receita/155693-mousse-de-limao-rapido.html</t>
  </si>
  <si>
    <t>Pizza de liquidificador fácil</t>
  </si>
  <si>
    <t>1 xícara (chá) de leite
 1 ovo
 1 colher (chá) de sal
 1 colher (chá) de açúcar
 1 colher (sopa) de margarina
 1 e 1/2 xícara (chá) de farinha de trigo
 1 colher (sobremesa) de fermento em pó
 1/2 lata de molho de tomate
 250 g de mussarela ralada grossa
 2 tomates fatiados
 azeitona picada
 orégano a gosto</t>
  </si>
  <si>
    <t>No liquidificador bata o leite, o ovo, o sal, o açúcar, a margarina, a farinha de trigo e o fermento em pó até que tudo esteja encorporado.
 Despeje a massa em uma assadeira parapizzauntada com margarina e leve ao forno preaquecido por 20 minutos.
 Retire do forno e despeje omolho de tomate.
 Cubra a massa com mussarela ralada, tomate e orégano a gosto.
 Leve novamente ao forno até derreter a mussarela.</t>
  </si>
  <si>
    <t>https://www.tudogostoso.com.br/receita/93498-pizza-de-liquidificador-facil.html</t>
  </si>
  <si>
    <t>Doce gelado de coco com chocolate</t>
  </si>
  <si>
    <t>1 lata de leite condensado
 800 ml de leite
 200 g de coco ralado
 1 e 1/2 colher (sopa) de amido de milho
 1 pitada de sal
 1 lata de creme de leite
 12 colheres (sopa) de achocolatado</t>
  </si>
  <si>
    <t>Em uma panela, misture todos ingredientes e leve ao fogo até formar um creme homogêneo.
 Despeje o creme em uma travessa ou em porções individuais e reserve.
 Em um recipiente, misture bem o creme de leite e oachocolatadosem levar ao fogo.
 Despeje a mistura por cima do creme branco e leva à geladeira.
 Sirva gelado.</t>
  </si>
  <si>
    <t>https://www.tudogostoso.com.br/receita/140770-doce-gelado-de-coco-com-chocolate.html</t>
  </si>
  <si>
    <t>Pão caseiro</t>
  </si>
  <si>
    <t>2 e 1/2 copos de água morna
 2 colheres (sopa) de açúcar
 1 colher de sal
 1 ovo
 1 copo de óleo
 1 kg de farinha de trigo
 50 g de fermento de padaria</t>
  </si>
  <si>
    <t>Misture o fermento e a água morna, reserve.
 No liquidificador, bata o açúcar, o óleo, o sal, o ovo e a água com o fermento por alguns minutos.
 Despeje a massa e acrescente a farinha de trigo aos poucos, misturando com as mãos.
 Acrescente a farinha de trigo até que a massa desgrude das mãos e deixe crescer por 1 hora.
 Divida a massa em partes e modele os pães.
 Deixe crescer, novamente, por 40 minutos.
 Leve para assar por 30 minutos.</t>
  </si>
  <si>
    <t>https://www.tudogostoso.com.br/receita/9589-pao-caseiro.html</t>
  </si>
  <si>
    <t>Bolo de banana rápido de liquidificador</t>
  </si>
  <si>
    <t>3 ovos
 2 xícaras (chá) de açúcar
 1 xícara (chá) de leite
 1/2 xícara (chá) de óleo
 2 xícaras (chá) de farinha de trigo
 1 colher (sopa) de fermento químico
 7 bananas
 3/4 xícara (chá) de açúcar
 1/2 xícara (chá) de água quente</t>
  </si>
  <si>
    <t>Em uma panela, adicione o açúcar e misture até derreter.
 Despeje a água quente e mexa até dissolver o açúcar.
 Deixe engrossar até chegar ao ponto de calda e reserve.
 Bata no liquidificador os ovos, o açúcar, o óleo e o leite.
 Acrescente a farinha de trigo aos poucos e continue batendo até obter uma massa lisa e homogênea.
 Adicione por último o fermento e bata navelocidade mínima do liquidificador.
 Unte uma forma média com margarina e farinha.
 Despeje o caramelo e as bananas cortadas no comprimento.
 Leve para assar em forno médio 180º C, preaquecido por aproximadamente 30 minutos.</t>
  </si>
  <si>
    <t>https://www.tudogostoso.com.br/receita/119737-bolo-de-banana-rapido-de-liquidificador.html</t>
  </si>
  <si>
    <t>Mousse de limão</t>
  </si>
  <si>
    <t>1 lata de leite condensado
 1 lata de creme de leite
 1/2 xícara de suco de limão (esse suco é puro mesmo, sem água, é só espremer o limão)</t>
  </si>
  <si>
    <t>Coloque no liquidificador o creme de leite (com soro mesmo) e o leite condensado.
 Bata um pouco e depois vá acrescentando o suco do limão, aos poucos.
 Ele vai ficar bem consistente, leve à geladeira.</t>
  </si>
  <si>
    <t>https://www.tudogostoso.com.br/receita/1621-mousse-de-limao.html</t>
  </si>
  <si>
    <t>Bolo prestígio</t>
  </si>
  <si>
    <t>3 ovos
 1/2 xícara (chá) de óleo
 1 xícara (chá) de leite
 1 xícara (chá) de açúcar
 1 xícara (chá) de chocolate em pó
 2 xícaras (chá) de farinha de trigo
 1 colher (sopa) de fermento
 coco ralado a gosto
 1 garrafa de leite de coco
 1 xícara (chá) de leite
 3 colheres (sopa) de açúcar
 1 lata de leite condensado
 1 colher (sopa) de margarina
 100 g de coco ralado
 3 colheres (sopa) de margarina
 8 colheres (sopa) de açúcar
 2 colheres (sopa) de chocolate em pó
 2 xícaras (chá) de leite</t>
  </si>
  <si>
    <t>Bata no liquidificador, os ovos, o óleo e o leite por 3 minutos e reserve.
 Em um recipiente, misture o açúcar, o trigo, o fermento, o chocolate e o coco ralado a gosto.
 Despeje sobre a mistura do liquidificador e mexa até que a massa fique consistente.
 Despeje a massa em uma forma untada e leve ao forno médio, preaquecido, por 30 minutos ou até que ao enfiar um garfo, este saia limpo.
 Deixe esfriar, corte ao meio e reserve.
 Em um recipiente, misture o leite de coco, o leite e o açúcar e despeje sobre a massa cortada ao meio para umedecê-la.
 Em uma panela, leve o leite condensado, a margarina e o coco ralado ao fogo até desgrudar do fundo.
 Leve a margarina, o açúcar, o chocolate em pó e o leite ao fogo até obter uma consistência firme
 Fure a parte de baixo do bolo com um garfo e despeje com parte da calda.
 Aplique o recheio sobre a metade de baixo do bolo
 Coloque a outra metade do bolo sobre o recheio.
 Cubra o bolo com a cobertura de chocolate.
 Leve à geladeira por 45 minutos.</t>
  </si>
  <si>
    <t>https://www.tudogostoso.com.br/receita/51484-bolo-prestigio.html</t>
  </si>
  <si>
    <t>Brigadeirão rápido e fácil</t>
  </si>
  <si>
    <t>1 lata de leite condensado
 1 caixa de creme de leite
 8 colheres de achocolatado em pó
 3 ovos
 1 colher de margarina sem sal
 chocolate granulado</t>
  </si>
  <si>
    <t>Bata todos os ingredientes no liquidificador por 5 minutos até obter uma consistência cremosa.
 Despeje a massa em uma forma com furo central para micro-ondas, untada com margarina.
 Leve ao forno micro-ondas por 10 minutos.
 Deixe a massa esfriar por 15 minutos e leve à geladeira por 1 hora.
 Desenforme e confeite com chocolate granulado.</t>
  </si>
  <si>
    <t>https://www.tudogostoso.com.br/receita/73135-brigadeirao-rapido-e-facil.html</t>
  </si>
  <si>
    <t>Strogonoff de frango</t>
  </si>
  <si>
    <t>3 peitos de frango cortados em cubos
 1 dente de alho picado
 sal a gosto
 pimenta-do-reino a gosto
 1 cebola picada
 2 colheres (sopa) de maionese
 1 colher de manteiga
 1/2 copo de ketchup
 1/3 copo de mostarda
 1 copo de cogumelos
 1 copo de creme de leite
 batata palha a gosto</t>
  </si>
  <si>
    <t>Em uma panela, misture o frango, o alho, a maionese, o sal e a pimenta.
 Em uma frigideira grande, derreta a manteiga e doure a cebola.
 Junte o frango temperado até que esteja dourado.
 Adicione os cogumelos, o ketchup e a mostarda.
 Incorporeo creme de leitee retire do fogo antes de ferver.
 Sirva com arroz branco e batata palha.</t>
  </si>
  <si>
    <t>https://www.tudogostoso.com.br/receita/2462-strogonoff-de-frango.html</t>
  </si>
  <si>
    <t>Mousse de maracujá</t>
  </si>
  <si>
    <t>1 lata de leite condensado
 1 lata de suco de maracujá (medida pela lata de leite condensado)
 1 lata de creme de leite sem soro</t>
  </si>
  <si>
    <t>Em um liquidificador, bata o creme de leite, o leite condensado e o suco concentrado de maracujá.
 Em uma tigela, despeje a mistura e leve à geladeira por, no mínimo, 4 horas.</t>
  </si>
  <si>
    <t>https://www.tudogostoso.com.br/receita/1599-mousse-de-maracuja.html</t>
  </si>
  <si>
    <t>Bolo de milho cremoso</t>
  </si>
  <si>
    <t>1 lata de milho verde
 1 lata de óleo (medida da lata de milho)
 1 lata de açúcar (medida da lata de milho)
 1 lata de fubá (medida da lata de milho)
 4 ovos
 2 colheres (sopa) de farinha de trigo
 2 colheres (sopa) de coco ralado
 1 e 1/2 colher (chá) de fermento em pó</t>
  </si>
  <si>
    <t>Em um liquidificador, adicione o milho verde, o óleo, o açúcar, o fubá, os ovos e a farinha de trigo, depois bata até obter umaconsistência cremosa.
 Depois, acrescente o coco ralado e o fermento, misture novamente.
 Despeje a massa em uma assadeira untada e leve para assar, em um forno médio a 180 °C, preaquecido por 40 minutos.</t>
  </si>
  <si>
    <t>https://www.tudogostoso.com.br/receita/94018-bolo-de-milho-cremoso.html</t>
  </si>
  <si>
    <t>Torta de frango de liquidificador deliciosa e fácil</t>
  </si>
  <si>
    <t>500 ml de leite
 250 ml de óleo de soja
 3 xícaras de farinha de trigo
 1 colher (café) de sal
 4 ovos
 2 colheres (café) de fermento
 25 g de queijo parmesão ralado
 1 pitada de orégano
 1 peito de frango grande cozido por 30 minutos em panela de pressão e desfiado
 1 lata de palmito picado
 1 lata de ervilha com milho
 100 ml de molho de tomate
 1 tomate picado
 1 cebola picada
 azeitonas
 orégano</t>
  </si>
  <si>
    <t>Misture todos os ingredientes em uma bacia até obter uma consistência firme e reserve.
 Reserve o queijo.
 Bata os demais ingredientes da massa no liquidificador e acrescente por último o fermento.
 Despeje metade da massa em uma assadeira grande de inox ou alumínio, untada com manteiga.
 Acrescente o recheio por cima e cubra com o restante da massa.
 Polvilhe queijo parmesão e coloque para assar em forno alto (220° C), preaquecido, por 40 minutos.</t>
  </si>
  <si>
    <t>https://www.tudogostoso.com.br/receita/53203-torta-de-frango-de-liquidificador-deliciosa-e-facil.html</t>
  </si>
  <si>
    <t>Creme de milho</t>
  </si>
  <si>
    <t>1 lata de milho
 1 e 1/2 xícara (chá) de leite
 1 colher (sopa) de manteiga
 1 cebola média ralada
 1 tablete de caldo de legumes
 1 lata de creme de leite
 2 colheres (sopa) de farinha de trigo</t>
  </si>
  <si>
    <t>No liquidificador, bata o milho e o leite e reserve.
 Em uma panela, aqueça a manteiga, junte a cebola e refogue um pouco.
 Adicione a farinha de trigo e mexa rapidamente.
 Deixe dourar e misture o milho batido com o leite ao caldo.
 Mexa até dissolvê-lo completamente e cozinhe por cerca de 10 minutos, até obter uma consistência cremosa.
 Acrescente o creme de leite, mexa e desligue o fogo.</t>
  </si>
  <si>
    <t>https://www.tudogostoso.com.br/receita/6662-creme-de-milho.html</t>
  </si>
  <si>
    <t>Panqueca americana</t>
  </si>
  <si>
    <t>1 e 1/4 xícara (chá) de farinha de trigo
 1 colher (sopa) de açúcar
 3 colheres (chá) de fermento em pó
 2 ovos levemente batidos
 1 xícara (chá) de leite
 2 colheres (sopa) de manteiga derretida
 pitada de sal
 óleo</t>
  </si>
  <si>
    <t>Misture em um recipiente: a farinha, o açúcar, o fermento e o sal.
 Em outro recipiente, misture os ovos, o leite e a manteiga.
 Acrescente os líquidos aos secos, sem misturar em excesso.
 O ponto da massa não deve ser muito líquido, deve escorrer lentamente.
 Aqueça e unte a frigideira com óleo, coloque a massa no centro, cerca de 1/4 xícara por panqueca.
 Vire a massa para assar do outro lado e está pronto!</t>
  </si>
  <si>
    <t>https://www.tudogostoso.com.br/receita/13110-panqueca-americana.html</t>
  </si>
  <si>
    <t>Molho branco para macarrão</t>
  </si>
  <si>
    <t>1 cebola pequena picada
 1 colher de margarina
 1 caixa de creme de leite
 1/2 litro de leite
 1 colher (sopa) de amido de milho
 1 xícara de queijo ralado
 pimenta-do-reino a gosto
 1 colher (sobremesa) de sal</t>
  </si>
  <si>
    <t>Em uma panela, derreta a margarina e acrescente a cebola, o sal e a pimenta-do-reino.
 Quando a cebola estiver bem transparente, acrescente o creme de leite e misture.
 Dissolva o amido no leite e adicione ao molho.
 Quando o molho estiver com uma consistência firme, desligue o fogo e acrescente o queijo, mexendo bem, para ele não grudar.
 Sirva com macarrão ouarroz de forno.</t>
  </si>
  <si>
    <t>https://www.tudogostoso.com.br/receita/8072-molho-branco-para-macarrao.html</t>
  </si>
  <si>
    <t>Pão caseiro rápido e fofo</t>
  </si>
  <si>
    <t>1 e 1/4 xícara de leite morno
 1/2 xícara de óleo
 2 ovos
 2 tabletes de fermento para pão
 3 xícaras de farinha de trigo
 1 colher (chá) de sal
 1/4 xícara de açúcar</t>
  </si>
  <si>
    <t>Bata no liquidificador o leite, o óleo, os ovos e os tabletes de fermento, reserve.
 Em uma vasilha, misture a farinha, o sal e o açúcar e despeje sobre mistura do liquidificador.
 Bata até borbulhar e deixe crescer por 20 minutos.
 Despeje a massa em uma forma untada e polvilhada e leve para assar em forno médio-alto (220° C), preaquecido, por 30 minutos.</t>
  </si>
  <si>
    <t>https://www.tudogostoso.com.br/receita/35829-pao-caseiro-rapido-e-fofo.html</t>
  </si>
  <si>
    <t>Bolo de chocolate de liquidificador</t>
  </si>
  <si>
    <t>1 xícara (chá) de leite morno
 3 ovos
 4 colheres (sopa) de margarina derretida
 2 xícaras (chá) de açúcar
 1 xícara (chá) de chocolate em pó
 2 xícaras (chá) de farinha de trigo
 1 colher (sopa) de fermento químico em pó
 1 xícara (chá) de açúcar
 3 colheres (sopa) de amido de milho
 5 colheres (sopa) de chocolate em pó
 1 xícara (chá) de água
 3 colheres (sopa) de margarina ou manteiga
 1 colher (chá) de essência de baunilha</t>
  </si>
  <si>
    <t>Bata bem todos os ingredientes da massa (menos o fermento) no liquidificador, aproximadamente 2 a 3 minutos.
 Acrescente o fermento e bata por mais uns 15 segundos.
 Coloque em uma forma redonda, untada com manteiga e polvilhada com farinha de trigo.
 Asse por cerca de 40 minutos em forno médio (180º C), preaquecido.
 Leve todos os ingredientes ao fogo até engrossar, em ponto de brigadeiro.
 Cubra o bolo em seguida.</t>
  </si>
  <si>
    <t>https://www.tudogostoso.com.br/receita/9614-bolo-de-chocolate-de-liquidificador.html</t>
  </si>
  <si>
    <t>Torta salgada de liquidificador</t>
  </si>
  <si>
    <t>3 ovos
 13 colheres de farinha de trigo
 1 e 1/2 xícara de leite
 3 colheres de queijo
 1 colher de fermento
 1/2 xícara de óleo
 sal a gosto
 1 cebola
 alho e sal a gosto
 1 pimentão
 2 tomates sem pele
 orégano
 1 pimenta-de-cheiro
 cheiro verde
 óleo</t>
  </si>
  <si>
    <t>Em uma panela com óleo, coloque a cebola e o alho para dourar.
 Acrescente o recheio escolhido e refogue.
 Coloque os demais ingredientes e deixe cozinhar por alguns minutos.
 Bata todos ingredientes da massa no liquidificador e adicione por último o fermento.
 Unte uma forma retangular com margarina e polvilhe com farinha de trigo.
 Despeje a massa e espalhe cuidadosamente o recheio.
 Se desejar, salpique queijo por cima.
 Leve ao forno preaquecido a 180º C e asse por aproximadamente 40 minutos.</t>
  </si>
  <si>
    <t>https://www.tudogostoso.com.br/receita/1600-torta-salgada-de-liquidificador.html</t>
  </si>
  <si>
    <t>Lasanha de carne moída</t>
  </si>
  <si>
    <t>500 g de massa de lasanha
 500 g de carne moída
 2 caixas de creme de leite
 3 colheres de manteiga
 3 colheres de farinha de trigo
 500 g de presunto
 500 g de mussarela
 sal a gosto
 2 copos de leite
 1 cebola ralada
 3 colheres de óleo
 1 caixa de molho de tomate
 3 dentes de alho amassados
 1 pacote de queijo ralado</t>
  </si>
  <si>
    <t>Cozinhea massasegundo as orientações do fabricante, despeje em um refratário com água gelada para não grudar e reserve.
 Refogue o alho, a cebola, a carne moída, o molho de tomate, deixe cozinhar por 3 minutos e reserve.
 Derreta a margarina, coloque as 3 colheres de farinha de trigo e mexa.
 Despeje o leite aos poucos e continue mexendo.
 Por último, coloque o creme de leite, mexa por 1 minuto e desligue o fogo.
 Despeje uma parte domolho à bolonhesaem um refratário, a metade da massa, a metade do presunto, a metade da mussarela, todo o molho branco e o restante da massa.
 Repita as camadas até a borda do recipiente.
 Finalize com o queijo ralado e leve ao forno alto (220° C), preaquecido, por cerca de 20 minutos.</t>
  </si>
  <si>
    <t>https://www.tudogostoso.com.br/receita/876-lasanha-de-carne-moida.html</t>
  </si>
  <si>
    <t>Empadão de frango delicioso</t>
  </si>
  <si>
    <t>400 g de farinha de trigo
 200 g de manteiga gelada
 1 ovo inteiro
 1 gema de ovo batido para a massa
 sal a gosto
 6 colheres (sopa) de leite
 1 gema de ovo para pincelar sobre a massa
 1 kg de peito de frango desossado
 1 cebola média picadinha
 2 dentes de alho picados e amassados
 1 tomate picado sem pele
 1 colher de sopa de azeite
 cheiro-verde picado
 1 lata de milho verde
 1 lata de molho de tomate
 1 colher (sopa) cheia de farinha de trigo
 3 cubos de caldo de galinha
 azeitonas picadas</t>
  </si>
  <si>
    <t>Cozinhe o peito defrango, desfie e reserve.
 Em uma panela, coloque o azeite, frite a cebola e deixe dourar.
 Adicione o alho, frite por mais alguns minutos e acrescente o frango desfiado.
 Dissolva os cubinhos decaldo de galinhana água quente e junte ao refogado.
 Acrescente o trigo e mexa sem parar, vigorosamente, até obter uma consistência cremosa.
 Despeje o milho, as azeitonas, o cheiro-verde, o tomate e misture.
 Em uma tigela, misture o trigo e a manteiga até obter uma farofa.
 Acrescente os demais ingredientes e amasse bem até obter uma massa lisa.
 Embrulhe em papel filme e leve à geladeira por aproximadamente 30 minutos.
 Use metade da massa para forrar a assadeira e a outra para cobrir o recheio.
 Pincele o empadão com a gema e leve ao forno médio (180° C), preaquecido, por aproximadamente 40 minutos.</t>
  </si>
  <si>
    <t>https://www.tudogostoso.com.br/receita/8054-empadao-de-frango-delicioso.html</t>
  </si>
  <si>
    <t>Bolo de milho de lata no liquidificador</t>
  </si>
  <si>
    <t>1 lata de milho (sem o líquido)
 1 lata de leite (medida da lata de milho)
 1 lata de açúcar (medida da lata de milho)
 1 lata de flocão de milho
 1/2 lata de óleo de soja
 3 ovos inteiros
 1 colher (sopa) de fermento em pó
 margarina para untar
 farinha de trigo para untar</t>
  </si>
  <si>
    <t>Escorra o milho e use a própria lata para as medidas.
 Unte e enfarinhe uma forma de bolo com furo.
 Preaqueça o forno.
 Coloque no liquidificador o milho (já escorrido), o leite, açúcar, flocão de milho, óleo, ovos e bata bem até que o milho fique bem moído.
 Se quiser, pode acrescentar duas colheres de sopa de coco ralado.
 Acrescente o fermento em pó e pulse o liquidificador 3 vezes.
 Despeje essa massa na forma e leve ao forno médio.
 Deixe assar por, aproximadamente, 40 minutos.
 Faça oteste do palitoe observe um tom dourado médio, para saber que o bolo está pronto.
 Espere esfriar totalmente para desenformar.</t>
  </si>
  <si>
    <t>https://www.tudogostoso.com.br/receita/143393-bolo-de-milho-de-lata-no-liquidificador.html</t>
  </si>
  <si>
    <t>Mousse de maracujá fácil</t>
  </si>
  <si>
    <t>2 caixas de gelatina de maracujá
 2 xícaras de água quente
 1/2 xícara de suco de maracujá
 2 xícaras de leite de vaca
 1 lata de leite condensado
 1 lata de creme de leite sem soro</t>
  </si>
  <si>
    <t>Prepare a gelatina com a água quente.
 Depois é só bater todos os ingredientes no liquidificador e colocar numa travessa para gelar.</t>
  </si>
  <si>
    <t>https://www.tudogostoso.com.br/receita/16-mousse-de-maracuja-facil.html</t>
  </si>
  <si>
    <t>Bolo de fubá superfofo</t>
  </si>
  <si>
    <t>2 ovos
 2 xícaras de leite
 2 xícaras de açúcar
 2 xícaras de fubá
 2 xícaras de farinha de trigo
 1 xícara de óleo
 2 colheres (chá) de fermento em pó</t>
  </si>
  <si>
    <t>Bata no liquidificador em velocidade alta, os ovos, o óleo, o leite e o açúcar.
 Quando estiver homogêneo, vá acrescentando a farinha e o fubá.
 A massa vai começar a ficar grossa, então ajude mexendo com uma colher.
 Quando estiver tudo bem misturado acrescente o fermento em pó e misture bem.
 Unte uma assadeira grande de buraco no meio com óleo e açúcar (de preferência cristal).
 Leve ao forno médio até dourar (cerca de 40 minutos).
 Espete um palito ou faca para ter certeza de estar assado.
 Quando estiver quase totalmente frio pode desenformar.
 Fica macio, não é um bolo de fubá seco e fica maravilhoso!</t>
  </si>
  <si>
    <t>https://www.tudogostoso.com.br/receita/144162-bolo-de-fuba-super-fofo.html</t>
  </si>
  <si>
    <t>Massa de pizza</t>
  </si>
  <si>
    <t>1 kg de farinha de trigo
 30 g de fermento biológico
 3 xícaras de água morna
 3/4 xícaras de óleo
 1 colher (chá) de sal
 1 colher (chá) de açúcar
 1 colher (sopa) de pinga</t>
  </si>
  <si>
    <t>Misture o fermento, o sal e o açúcar em um pouco de água morna, até que o fermento esteja completamente dissolvido.
 Em seguida, adicione metade da medida de farinha de trigo, o óleo e mexa até criar uma consistência pastosa.
 Acrescente o restante da farinha de trigo, a pinga, a água morna e misture bem.
 Assim que a massa desgrudar das mãos, deixe crescer por 30 minutos.
 Abra os discos, fure a massa com um garfo e pincele o molho.
 Leve ao forno médio (180° C), preaquecido, por 15 minutos.</t>
  </si>
  <si>
    <t>https://www.tudogostoso.com.br/receita/324-massa-de-pizza.html</t>
  </si>
  <si>
    <t>2 ovos
 1 xícara (chá) de açúcar
 1 xícara (chá) de leite
 2 e 1/2 xícaras de farinha de trigo
 1 colher (sopa) de fermento em pó
 3 colheres (sopa) de açúcar para polvilhar
 1 colher (sopa) de canela para polvilhar
 1 litro de óleo para fritar</t>
  </si>
  <si>
    <t>Misture todos os ingredientes até obter uma massa cremosa e homogênea.
 Deixe aquecer uma panela com bastante óleo para que os bolinhos possam boiar.
 Quando o óleo estiver bem quente (180º C), com uma colher, comece a colocar pequenas quantidades de massa, efriteaté que dourem por inteiro.
 Coloque os bolinhos sobre papel absorvente e depois passe-os no açúcar com canela.</t>
  </si>
  <si>
    <t>https://www.tudogostoso.com.br/receita/76049-bolinho-de-chuva.html</t>
  </si>
  <si>
    <t>Torta de banana rápida</t>
  </si>
  <si>
    <t>2 xícaras de farinha de trigo
 2 xícaras de açúcar
 1 colher (sopa) de fermento em pó
 2 ovos batidos
 1 copo de leite
 5 colheres (sopa) de margarina
 10 bananas cortadas na horizontal</t>
  </si>
  <si>
    <t>Para a farofa, misture numa vasilha o trigo, o açúcar, e o fermento, reserve.
 Derreta a margarina, acrescente o leite e os ovos, mexa bem.
 Numa forma untada coloque uma camada de farofa e outra de bananas, e assim por diante.
 Despeje o líquido por cima, sem mexer.
 Asse em forno morno até dourar.</t>
  </si>
  <si>
    <t>https://www.tudogostoso.com.br/receita/2211-torta-de-banana-rapida.html</t>
  </si>
  <si>
    <t>Coxinha prática deliciosa</t>
  </si>
  <si>
    <t>1 xícara (chá) de água
 2 xícaras (chá) de leite
 2 tabletes de caldo de bacon ou costela
 1/2 xícara (chá) de batata cozida e amassada
 1 colher (sopa) de manteiga
 2 e 1/2 xícaras (chá) de farinha de trigo
 margarina para untar a forma
 farinha de rosca
 2 ovos batidos
 óleo para fritar
 Recheio
 1 e 1/2 kg de frango
 3 colheres (sopa) de requeijão cremoso
 2 colheres (sopa) de azeite
 1 cebola pequena
 2 dentes de alho
 tempero a gosto</t>
  </si>
  <si>
    <t>Em uma panela, coloque o azeite, o alho picado e a cebola.
 Espere fritar e adicione o frango desfiado e os temperos de sua preferência.
 Refogue tudo por 5 minutos, retire do fogo, acrescente o requeijão, misture e reserve.
 Em uma panela grande, adicione a água, o leite, o tablete de caldo, a batata, a manteiga e deixe ferver. Acrescente a farinha de trigo de uma só vez, mexendo até soltar do fundo da panela.
 Despeje a massa sobre uma superfície lisa e untada, sove bem e deixe esfriar.
 Abra a massa com as mãos, recheie e modele em forma de coxinha.
 Passe a massa modelada pelo ovo batido e pela farinha de rosca.
 Frite em óleo quente até dourar e escorra sobre papel absorvente.</t>
  </si>
  <si>
    <t>https://www.tudogostoso.com.br/receita/1363-coxinha-pratica-deliciosa.html</t>
  </si>
  <si>
    <t>Pavê de Bis</t>
  </si>
  <si>
    <t>1 lata de leite condensado
 1 litro de leite
 4 colheres (sopa) de amido de milho
 2 ovos separados
 2 caixas de chocolate Bis picado
 1 xícara de açúcar
 1 lata de creme de leite</t>
  </si>
  <si>
    <t>Misture o leite condensado, o leite, a maisena, as gemas e leve ao fogo.
 Mexa sempre até engrossar e reserve.
 Forre o fundo de uma forma refratária grande com metade do creme.
 Forme uma camada com o chocolate picado e complete com o restante do creme.
 Bata as claras em neve e acrescente o açúcar, aos poucos, batendo sempre, até obter um suspiro firme.
 Junte o creme de leite e mexa bem.
 Coloque essa mistura por cima do creme e leve à geladeira até a hora de servir.</t>
  </si>
  <si>
    <t>https://www.tudogostoso.com.br/receita/612-pave-de-bis.html</t>
  </si>
  <si>
    <t>Misto quente de forno à minha moda</t>
  </si>
  <si>
    <t>Margarina para untar
 12 fatias de pão de forma (sem a casca)
 1/2 lata de molho de tomate pronto (coloquei 1 sache de sazon sabor do nordeste)
 6 fatias de presunto (ou a gosto)
 4 colheres de sopa de requeijão
 12 fatias de mussarela (ou a gosto)
 1/2 caixa de creme de leite
 1 tomate grande cortado em rodelas
 orégano a gosto</t>
  </si>
  <si>
    <t>Unte um refratário com margarina.
 Forre o fundo com 6 fatias de pão de forma.
 Colocar metade do molho de tomate temperado, presunto, camada de requeijão, metade da mussarela, restante do pão de forma, molho de tomate, creme de leite, mussarela, tomate em rodelas, orégano.
 Leve o refratário ao forno até a mussarela derreter (fiz no micro-ondas)</t>
  </si>
  <si>
    <t>https://www.tudogostoso.com.br/receita/138603-misto-quente-de-forno-a-minha-moda.html</t>
  </si>
  <si>
    <t>Pão segura marido</t>
  </si>
  <si>
    <t>1 kg de farinha de trigo
 2 copos de leite morno
 1 copo de óleo
 1 colher (sopa) de fermento
 sal a gosto
 250 g de presunto
 250 g de mussarela
 molho de tomate
 requeijão
 orégano</t>
  </si>
  <si>
    <t>Em um recipiente, misture o leite, o óleo, o fermento, o sal e um pouco de farinha.
 Acrescente mais farinha aos poucos, misturando sempre até que a massa solte das mãos.
 Deixe a massa descansar por 15 minutos.
 Divida a massa e abra uma das partes em uma superfície limpa e seca.
 Despeje uma camada de molho de tomate, cubra com presunto, mussarela, requeijão e orégano.
 Dobre as beiradas da massa e enrole como um rocambole.
 Faça o mesmo com a outra parte da massa.
 Leve ao forno médio (180° C), preaquecido, por cerca de 20 minutos.</t>
  </si>
  <si>
    <t>https://www.tudogostoso.com.br/receita/1511-pao-segura-marido.html</t>
  </si>
  <si>
    <t>Bolo de caneca micro-ondas</t>
  </si>
  <si>
    <t>1 ovo
 2 colheres (sopa) de achocolatado em pó
 3 colheres (sopa) rasas de açúcar
 4 colheres (sopa) rasas de farinha de trigo
 1 colher (sopa) de óleo
 1 colher (café) rasa de fermento em pó
 4 colheres (sopa) de leite
 2 colheres (sopa) de achocolatado em pó
 1 colher (sopa) de margarina
 1/2 xícara de leite</t>
  </si>
  <si>
    <t>Coloque todos os ingredientes dentro de uma caneca de aproximadamente 300 ml ou mais.
 Mexa até obter uma massa homogêneae leve ao micro-ondas por 3 minutos.
 Coloque todos os ingredientes em uma panela, leve ao fogo médio e misture até obter uma consistência grossa.
 Despeje a calda sobre o bolo assim que retirá-lo do microondas.</t>
  </si>
  <si>
    <t>https://www.tudogostoso.com.br/receita/60429-bolo-de-caneca-micro-ondas.html</t>
  </si>
  <si>
    <t>Bolo de banana caramelada</t>
  </si>
  <si>
    <t>3 ovos
 3 colheres (sopa) de margarina
 1 e 1/2 xícara de açúcar
 1 pitada de sal
 1 xícara de leite
 2 xícaras de farinha de trigo
 1 colher (sopa) rasa de fermento
 1 xícara de açúcar
 4 a 5 bananas</t>
  </si>
  <si>
    <t>Despeje o açúcar em uma forma redonda com furo central e leve ao fogo até que esteja completamente derretido.
 Logo após, fatie as bananas e disponha sobre o açúcar caramelizado.
 Bata as claras em neve e separe.
 Em outra travessa, bata os ovos com a margarina e o açúcar.
 Acrescente a farinha, o leite, o sal e o fermento.
 Por último, misture as claras em neve e continue batendo.
 Despeje a massa na forma caramelizada com as bananas fatiadas.
 Leve em forno médio (180° C), preaquecido, por 30 minutos.</t>
  </si>
  <si>
    <t>https://www.tudogostoso.com.br/receita/41516-bolo-de-banana-caramelada.html</t>
  </si>
  <si>
    <t>Bolo pega marido</t>
  </si>
  <si>
    <t>1 lata de leite condensado
 1 lata de leite integral (a mesma medida da lata de leite condensado)
 1 vidro pequeno de leite de coco
 1 lata de farinha de trigo especial (ou comum) (mesma lata)
 1/2 medida da lata de açúcar (mesma lata)
 3 ovos grandes inteiros
 3 colheres de sopa de margarina</t>
  </si>
  <si>
    <t>Bata todos tudo no liquidificador.
 Coloque em uma fôrma untada e enfarinhada.
 Leve ao forno médio (200°C) até dourar, 30 a 60 minutos, depende do forno.
 Faça o teste do palito para retirar do forno.
 O bolo fica com consistência de uma queijada e é muito gostoso!</t>
  </si>
  <si>
    <t>https://www.tudogostoso.com.br/receita/139339-bolo-pega-marido.html</t>
  </si>
  <si>
    <t>Bolo de fubá de liquidificador</t>
  </si>
  <si>
    <t>1 copo de óleo
 3 ovos
 1 e 1/2 copo de açúcar
 2 copos de fubá
 1 copo de trigo
 1 copo de leite
 1 colher de sopa de fermento em pó
 1 pitada de sal</t>
  </si>
  <si>
    <t>Bater tudo no liquidificador.
 Colocar em uma forma untada com margarina e polvilhada com trigo ou fubá.
 Assar em forno preaquecido a 180ºC por 45 minutos.
 Quando sair do forno polvilhar com açúcar e canela.</t>
  </si>
  <si>
    <t>https://www.tudogostoso.com.br/receita/25518-bolo-de-fuba-de-liquidificador.html</t>
  </si>
  <si>
    <t>Pudim de leite condensado</t>
  </si>
  <si>
    <t>1 lata de leite condensado
 1 lata de leite (medida da lata de leite condensado)
 3 ovos inteiros
 1 xícara (chá) de açúcar
 1/2 xícara de água</t>
  </si>
  <si>
    <t>Primeiro, bata bem os ovos no liquidificador.
 Acrescente o leite condensado e o leite, e bata novamente.
 Derreta o açúcar na panela até ficar moreno, acrescente a água e deixe engrossar.
 Coloque em uma forma redonda e despeje a massa do pudim por cima.
 Asse em forno médio por 45 minutos, com a assadeira redondadentro de uma maior com água.
 Espete um garfo para ver se está bem assado.
 Deixe esfriar e desenforme.</t>
  </si>
  <si>
    <t>https://www.tudogostoso.com.br/receita/31593-pudim-de-leite-condensado.html</t>
  </si>
  <si>
    <t>Bolo de maçã de liquidificador - o melhor do mundo</t>
  </si>
  <si>
    <t>2 xícaras de farinha de trigo
 2 xícaras de açúcar
 1 colher de sopa de fermento em pó
 1 colher de sopa de canela em pó
 1 pitada de sal
 3 ovos
 3 maçãs grandes
 1 xícara de óleo vegetal</t>
  </si>
  <si>
    <t>Unte e polvilhe com farinha um tabuleiro médio (23×35), ou uma fôrma de buraco no meio.
 Em uma tigela grande, peneirar a farinha e o açúcar. Juntar os demais ingredientes secos. Reservar.
 Descascar as maçãs, reservando as cascas. Picar em cubinhos.
 Bater no liquidificador os ovos, o óleo e as cascas da maçã.
 Juntar essa mistura na tigela com os ingredientes secos e misturar delicadamente.
 Junte as maçãs picadas, misture e despeje na assadeira.
 Asse por cerca de 40 a 50 minutos em forno médio.
 Depois de pronto polvilhar açúcar e canela.</t>
  </si>
  <si>
    <t>https://www.tudogostoso.com.br/receita/109535-bolo-de-maca-de-liquidificador-o-melhor-do-mundo.html</t>
  </si>
  <si>
    <t>Carne de panela de pressão</t>
  </si>
  <si>
    <t>1 kg de carne (acém, patinho ou lombo de porco)
 8 cebolas grandes cortadas em rodelas
 3 ou 4 cubos de caldo de carne</t>
  </si>
  <si>
    <t>Forre o fundo de uma panela de pressão com metade das cebolas.
 Esfarele um cubo de caldo de carne por cima das cebolas, adicione a carne, adicione outro cubo de caldo de carne e cubra com o restante das cebolas.
 Feche a panela de pressão, sem adicionar água, e deixe cozinhar por 25 minutos.
 Se preferir, adicione batatas em rodelas e deixe cozinhar por mais 10 minutos.</t>
  </si>
  <si>
    <t>https://www.tudogostoso.com.br/receita/1438-carne-de-panela-de-pressao.html</t>
  </si>
  <si>
    <t>Massa de panqueca simples</t>
  </si>
  <si>
    <t>1 ovo
 1 xícara de farinha de trigo
 1 xícara de leite
 1 pitada de sal
 1 colher (sopa) de óleo</t>
  </si>
  <si>
    <t>Bata todos os ingredientes no liquidificador até obter uma consistência cremosa.
 Unte uma frigideira com óleo e despeje uma concha de massa.
 Faça movimentos circulares para que a massa se espalhepor toda a frigideira.
 Espere até a massa se soltar do fundo, vire e deixe fritar do outro lado.
 Acrescente o recheio de sua preferência, enrole e está pronta para servir.</t>
  </si>
  <si>
    <t>https://www.tudogostoso.com.br/receita/113143-massa-de-panqueca-simples.html</t>
  </si>
  <si>
    <t>Chocolate quente especial</t>
  </si>
  <si>
    <t>1 litro de leite desnatado
 1 lata de leite condensado
 4 colheres (sopa) de chocolate em pó
 2 colheres (sopa) de amido de milho
 canela em pó para polvilhar</t>
  </si>
  <si>
    <t>Bater todos os ingredientes no liquidificador (menos a canela).
 Levar ao fogo em temperatura média até o líquido ferver engrossar.
 Servir em xícaras, polvilhar com canela.
 Para um sabor especial pode se colocar chantilly sobre a xícara de chocolate.</t>
  </si>
  <si>
    <t>https://www.tudogostoso.com.br/receita/33-chocolate-quente-especial.html</t>
  </si>
  <si>
    <t>Caldo verde</t>
  </si>
  <si>
    <t>4 batatas médias
 1 tablete de caldo de galinha
 1 colher (sopa) de óleo
 1 colher (sopa) rasa de sal ou a gosto
 5 xícaras (chá) de água
 1 xícara (chá) de couve manteiga cortada em tiras
 1 lingüiça calabresa defumada cortada em rodelas</t>
  </si>
  <si>
    <t>Na panela de pressão, coloque a batata, o caldo de galinha, o óleo, a água e sal.
 Cozinhe por cerca de 10 minutos (começar a contar o tempo depois que a panela começar a chiar) até a batata desmanchar.
 Em seguida,bata tudo no liquidificador.
 Acrescente as rodelas de calabresa e ferva.
 Desligue o fogo e adicione a couve-manteiga.
 Na hora de servir, coloque um fio de azeite ou croutons</t>
  </si>
  <si>
    <t>https://www.tudogostoso.com.br/receita/9031-caldo-verde.html</t>
  </si>
  <si>
    <t>Bolinho de arroz</t>
  </si>
  <si>
    <t>2 xícaras (chá) de arroz cozido
 1/2 xícara (chá) de queijo ralado
 1/2 xícara (chá) de leite
 2 colheres (sopa) de cheiro-verde picado
 1 colher (sopa) de fermento em pó
 1/2 xícara (chá) de amido de milho
 1/2 xícara (chá) de farinha de trigo
 3 ovos
 óleo para fritar</t>
  </si>
  <si>
    <t>Em um recipiente, misture todos os ingredientes até criar uma massa firme e encorpada.
 Molde os bolinhos e frite-osno óleo quente, até que fiquem dourados.
 Escorra sobre papel absorvente.</t>
  </si>
  <si>
    <t>https://www.tudogostoso.com.br/receita/4224-bolinho-de-arroz.html</t>
  </si>
  <si>
    <t>Massa de panqueca</t>
  </si>
  <si>
    <t>2 xícaras (chá) de farinha de trigo
 2 xícaras (chá) de leite
 3 ovos
 1 pitada de sal</t>
  </si>
  <si>
    <t>Bata todos os ingredientesno liquidificadorpor 2 minutos.
 Em seguida desligue e,com uma colher, misture a farinha que grudou no copo do liquidificador.
 Bata novamente só para misturar e reserve.
 Unte a frigideira com um fio de óleo e leve ao fogo até aquecer.
 Com o auxílio de uma concha, pegue uma porção de massa e coloque na frigideira, gire a frigideira para espalhar bem a massa.
 Abaixe o fogo e deixe dourar por baixo, em seguida vire do outro lado e deixe dourar, repita o processo com toda a massa.</t>
  </si>
  <si>
    <t>https://www.tudogostoso.com.br/receita/82681-massa-de-panqueca.html</t>
  </si>
  <si>
    <t>Bolo de fubá com goiabada</t>
  </si>
  <si>
    <t>1 ovo
 1 copo (americano) de leite
 1 copo (americano) de fubá
 1 copo (americano) de açúcar
 1/2 copo (americano) de óleo
 1 copo (americano) farinha de trigo
 1 colher de fermento em pó
 goiabada em pedaços
 erva-doce a gosto</t>
  </si>
  <si>
    <t>Misture no liquidificador o ovo, o leite, o óleo, o açúcar, o fubá e bata bem.
 Despeje a mistura em uma tigela, e misture com a farinha e o fermento em pó.
 Despeje a massa em uma forma untada com manteiga e farinha, e acrescente uma camada de goiabada. Repita este processo até preencher toda a forma.
 Leve o bolo de fubá com goiabada ao forno médio (180° C), preaquecido, por 40 minutos.</t>
  </si>
  <si>
    <t>https://www.tudogostoso.com.br/receita/3004-bolo-de-fuba-com-goiabada.html</t>
  </si>
  <si>
    <t>Brigadeirão</t>
  </si>
  <si>
    <t>2 latas de leite condensado
 1 lata de leite de vaca (use a lata de leite condensado como medida)
 1 colher de manteiga
 200 g de chocolate em pó
 4 ovos
 açúcar suficiente para polvilhar a forma</t>
  </si>
  <si>
    <t>Bata o leite condensado, o leite de vaca, a manteiga, o chocolate em pó e os ovos no liquidificador.
 Unte umaforma com buraco no meioe polvilhe com açúcar.
 Coloque a mistura liquidificada na forma e leve ao forno paraassar em banho-mariapor mais ou menos 1 hora, a 150°C.</t>
  </si>
  <si>
    <t>https://www.tudogostoso.com.br/receita/592-brigadeirao.html</t>
  </si>
  <si>
    <t>Frango xadrez</t>
  </si>
  <si>
    <t>2 colheres (sopa) de azeite de oliva
 2 cebolas médias cortadas em cubos
 2 dentes de alho esmagados
 500 g de filé de frango sem pele e cortado em cubos
 sal a gosto
 1 pimentão verde cortado em cubos
 1 pimentão vermelho cortado em cubos
 1 pimentão amarelo cortado em cubos
 1 xícara (chá) de cogumelos em conserva cortados ao meio
 1/4 xícara de molho shoyu
 1 colher (sopa) de maisena
 1/2 xícara (chá) de água
 2 colheres (sopa) de amendoim torrado</t>
  </si>
  <si>
    <t>Em uma frigideira ou panela grande, misture a metade do azeite de oliva, a cebola, o alho e deixe fritar.
 Retire e coloque em um prato.
 Na mesma panela, coloque o sal, o restante do azeite e frite os pimentões e os cogumelos por 5 minutos.
 Retire e despeje em outro prato.
 Ainda na mesma panela, coloque o frango e frite até dourar.
 Coloque todos os ingredientes novamente na frigideira, misture bem com uma colher de pau e refogue por mais 2 minutos.
 Em uma xícara, misture o molho shoyu, a maisena e a água.
 Mexa bem e junte a mistura de frango.
 Cozinhe, mexendo constantemente, até formar um molho espesso.
 Coloque em uma travessa, polvilhe com amendoim e sirva quente.</t>
  </si>
  <si>
    <t>https://www.tudogostoso.com.br/receita/897-frango-xadrez.html</t>
  </si>
  <si>
    <t>Rocambole de carne moída maravilhoso</t>
  </si>
  <si>
    <t>1/2 kg de carne moída
 1 pacote de sopa de cebola
 presunto fatiado
 queijo fatiado
 tempero verde
 sal a gosto</t>
  </si>
  <si>
    <t>Tempere a carne moída com a sopa de cebola, o tempero verde e o sal.
 Coloque a carne temperada sobre uma folha de papel laminado ou papel manteiga e abra a massa com um rolo, na espessura de 1 cm, mais ou menos.
 Forre a carne com o presunto e o queijo, pode-se colocar também milho verde, ervilha e requeijão.
 Enrole a carne, com ajuda da folha de papel laminado ou manteiga, em forma de rocambole.
 Leve ao forno, em temperatura alta, por mais ou menos 30 minutos, ou no microondas por 15 minutos.
 Bom apetite!</t>
  </si>
  <si>
    <t>https://www.tudogostoso.com.br/receita/1598-rocambole-de-carne-moida-maravilhoso.html</t>
  </si>
  <si>
    <t>Bolo de fubá</t>
  </si>
  <si>
    <t>3 ovos inteiros
 2 xícaras (chá) de açúcar
 2 xícaras (chá) de fubá
 3 colheres (sopa) de farinha de trigo
 1/2 copo (americano) de óleo
 1 copo (americano) de leite
 1 colher (sopa) de fermento em pó</t>
  </si>
  <si>
    <t>Em um liquidificador, adicione os ovos, o açúcar, o fubá, a farinha de trigo, o óleo, o leite e o fermento, depois bata até a massa ficar lisa e homogênea.
 Despeje a massa em uma forma untada e polvilhada.
 Leve para assar em forno médio 180 °C preaquecido por 40 minutos.</t>
  </si>
  <si>
    <t>https://www.tudogostoso.com.br/receita/9254-bolo-de-fuba.html</t>
  </si>
  <si>
    <t>Bolo de liquidificador</t>
  </si>
  <si>
    <t>3 ovos
 2 colheres (sopa) de margarina
 2 copos (requeijão) de açúcar
 2 copos (requeijão) de farinha de trigo
 1 copo (requeijão) de leite
 1 colher rasa de fermento em pó</t>
  </si>
  <si>
    <t>Bata no liquidificador os ovos, o açúcar e a margarina.
 Depois acrescente a farinha, o leite e o fermento em pó, bata novamente.
 Coloque emuma forma untadacom margarina e farinha de trigo, leve ao forno.</t>
  </si>
  <si>
    <t>https://www.tudogostoso.com.br/receita/11252-bolo-de-liquidificador.html</t>
  </si>
  <si>
    <t>Pudim de pão</t>
  </si>
  <si>
    <t>3 pães de sal dormidos ou duros
 8 colheres (sopa) de açúcar cristal
 2 ovos inteiros
 500 ml de leite</t>
  </si>
  <si>
    <t>Bata todos os ingredientes no liquidificador, até que a mistura esteja homogênea.
 Caramelize com calda queimada, uma fôrma de pudim, e acrescente a mistura do liquidificador.
 Leve ao fogo em banho-maria por, aproximadamente, 30 a 40 minutos ou até que o pudim esteja consistente.</t>
  </si>
  <si>
    <t>https://www.tudogostoso.com.br/receita/1558-pudim-de-pao.html</t>
  </si>
  <si>
    <t>Arroz doce verdadeiro</t>
  </si>
  <si>
    <t>1 e 1/2 litro de leite
 2 xícaras de arroz branco (já lavado)
 3 xícaras de açúcar
 canela em pau a gosto
 1 lata de leite condensado</t>
  </si>
  <si>
    <t>Cozinhe o arroz no leite, juntamente com a canela (utilize uma panela grande para que o leite ferva e não derrame).
 Após 20 minutos, mexa de tempos em tempos.
 Acrescente o açúcar e deixe por 20 minutos.
 Logo em seguida, acrescente o leite condensado e deixe por mais 20 minutos.
 Coloque em uma linda travessa.</t>
  </si>
  <si>
    <t>https://www.tudogostoso.com.br/receita/5966-arroz-doce-verdadeiro.html</t>
  </si>
  <si>
    <t>Nhoque fácil</t>
  </si>
  <si>
    <t>2 caldos de galinha
 3 xícaras de leite
 6 colheres (sopa) de maionese
 2 colheres de salsinha picada
 sal a gosto
 3 xícaras de farinha de trigo</t>
  </si>
  <si>
    <t>Dissolva os 2 caldos no leite e leve ao fogo com a maionese, a salsinha e o sal.
 Quando levantar fervura e a maionese derreter, retire do fogo e coloque a farinha de trigo de uma só vez. Misture bem rápido para não empelotar.
 Volte a massa no fogo baixo, mexendo por 1 ou 2 min. Desligue o fogo e deixe a massa amornar.
 Sobre a mesa enfarinhada, coloque a massa e faça rolinhos. Corte no formato de nhoque. Numa outra panela com água e sal, cozinhe os nhoques.
 A dica é que o nhoque seja retirado da água assim que ele subir, estará no ponto. Escorra e sirva com seu molho preferido.</t>
  </si>
  <si>
    <t>https://www.tudogostoso.com.br/receita/431-nhoque-facil.html</t>
  </si>
  <si>
    <t>Brigadeiro sem leite condensado</t>
  </si>
  <si>
    <t>1 copo de leite
 4 colheres de achocolatado em pó
 2 colheres de margarina
 3 colheres de açúcar</t>
  </si>
  <si>
    <t>Em uma panela, adicione o achocolatado, o açúcar e a manteiga, misture rapidamente e acrescente o leite.
 Mexa com uma colher de pau em fogo médio por aproximadamente 25 minutos, até obter uma consistência cremosa.
 Desligue o fogo e deixe esfriar por 10 minutos.
 Modele a massa em bolinhas e passe no chocolate granulado ou sirva em taças.</t>
  </si>
  <si>
    <t>https://www.tudogostoso.com.br/receita/69649-brigadeiro-sem-leite-condensado.html</t>
  </si>
  <si>
    <t>Torta alemã (fácil, simples e deliciosa)</t>
  </si>
  <si>
    <t>200 g de manteiga sem sal
 1 xícara (chá) de açúcar
 1 lata de creme de leite sem soro
 1 pacote de bolacha maisena
 leite, o quanto baste, para molhar a bolacha
 1 lata de leite condensado, sabor chocolate (ou cobertura de sorvete)</t>
  </si>
  <si>
    <t>Coloque a manteiga e o açúcar na batedeira e bata até obter um creme bem fofo e liso.
 Acrescente ocreme de leitee bata rapidamente apenas para misturar.
 Desligue a batedeira e reserve.
 Separe um recipiente médio para montar o doce.
 Acrescente um pouco de leite num prato fundo e molhe rapidamente algumas bolachas maisena no leite.
 Forre o fundo do recipiente escolhido com uma camada de bolachas.
 Acrescente uma camada do creme reservado sobre as bolachas.
 Acrescente mais uma camada de bolachas molhadas no leite e repita o procedimento finalizando com a bolacha.
 Cubra a última camada de bolachas com o leite condensado sabor chocolate (comprado pronto ou a cobertura).
 Leve à geladeira por no mínimo 3 horas ou até que o doce fique bem gelado.
 Retire o doce da geladeira e sirva a seguir.</t>
  </si>
  <si>
    <t>https://www.tudogostoso.com.br/receita/1412-torta-alema-facil-simples-e-deliciosa.html</t>
  </si>
  <si>
    <t>Pipoca doce</t>
  </si>
  <si>
    <t>5 colheres (sopa) de óleo
 5 colheres (sopa) de milho para pipoca
 5 colheres (sopa) de açúcar
 3 colheres (sopa) de água
 1 colher (sopa) de chocolate em pó</t>
  </si>
  <si>
    <t>Em uma panela, adicione todos os ingredientes e misture delicadamente.
 Desligue o fogo quando o intervalo de tempo entreos estouros da pipocadiminuírem.
 Está pronta para comer.</t>
  </si>
  <si>
    <t>https://www.tudogostoso.com.br/receita/7269-pipoca-doce.html</t>
  </si>
  <si>
    <t>Pão de queijo 3 ingredientes</t>
  </si>
  <si>
    <t>1 caixinha de creme de leite (200 ml)
 1 copo (requeijão) de queijo ralado
 1 copo (requeijão) de polvilho</t>
  </si>
  <si>
    <t>Amasse até soltar das mãos (caso precise um pouquinho a mais de polvilho, coloque aos poucos até que chegue ao ponto de enrolar).
 Faça bolinhas, coloque em forma untada e asse em forno preaquecido bem quente.
 Se achar necessário, acrescente sal.
 Asse até ficarem douradinhos levemente.</t>
  </si>
  <si>
    <t>https://www.tudogostoso.com.br/receita/79996-pao-de-queijo-3-ingredientes.html</t>
  </si>
  <si>
    <t>Arroz de forma</t>
  </si>
  <si>
    <t>4 xícaras de arroz
 1 copo de requeijão cremoso
 1 lata de creme de leite
 1 peito de frango
 cebola
 alho
 milho e ervilha a gosto
 mussarela em fatias
 presunto em fatias
 1 pacote de batata palha</t>
  </si>
  <si>
    <t>Coloque o arroz para cozinhar e reserve.
 Cozinhe o peito de frango, desfie e refogue-o junto com a cebola, o alho, o milho e a ervilha.
 Se quiser, acrescente molho de tomate fica a critério, a ideia é fazer um molho.
 Então, em um refratário médio, faça a montagem do prato.
 Coloque primeiro o arroz, depois o creme de leite e espalhe.
 Em seguida, coloque o frango no molho e espalhe.
 Acrescente o requeijão cremoso, presunto, queijo e para finalizar a batata palha.
 Coloque no forno preaquecido, por 15 minutos.</t>
  </si>
  <si>
    <t>https://www.tudogostoso.com.br/receita/114041-arroz-de-forma.html</t>
  </si>
  <si>
    <t>Mousse de chocolate</t>
  </si>
  <si>
    <t>3 ovos
 200 g de chocolate meio amargo
 2 colheres (sopa) de açúcar
 1 lata de creme de leite</t>
  </si>
  <si>
    <t>Bata as gemas até dobrarem de volume.
 Junte o açúcar e continue batendo.
 Derreta o chocolatee acrescente à gemada.
 Junte o creme de leite, batendo sempre.
 Por fim, acrescente as claras em neve (bem batidas mesmo), misturando rapidamente na batedeira.
 Leve à geladeira e sirva-se, deliciando o melhor mousse e mais simples de fazer!</t>
  </si>
  <si>
    <t>https://www.tudogostoso.com.br/receita/2513-mousse-de-chocolate.html</t>
  </si>
  <si>
    <t>Bobó de camarão</t>
  </si>
  <si>
    <t>1 kg de camarão fresco
 sal
 3 dentes de alho picados e amassados
 suco de 1 limão
 pimenta-do-reino
 1 kg de mandioca (prefira as que já vem embaladas e descascadas, é mais prático)
 3 cebolas (1 cortada em rodelas e 2 raladas)
 1 folha de louro
 6 colheres (sopa) de azeite de oliva
 2 vidros de leite de coco
 1 maço de cheiro-verde picado
 2 latas de molho pronto de tomate
 2 pimentões verdes bem picadinhos
 2 colheres (sopa) de azeite de dendê</t>
  </si>
  <si>
    <t>Lave os camarões e tempere com sal, alho, pimenta e limão, deixe marinar.
 Pegue uma panela com água e cozinhe a mandioca em pedacinhos, com louro e a cebola em rodelas.
 Quando estiver mole, acrescente um vidro de leite de coco.
 Deixe esfriar um pouco e bata no liquidificador.
 Esquente o azeite de oliva, junte a cebola ralada e deixe dourar.
 Acrescente os camarões e frite.
 Adicione as 2 latas de pomarola, o cheiro-verde, o pimentão e deixe cozinhar por alguns minutos.
 Junte na mesma panela, a mandioca batida no liquidificador, outro vidro de leite de coco e o azeite de dendê.
 Deixe levantar fervura e está pronto.</t>
  </si>
  <si>
    <t>https://www.tudogostoso.com.br/receita/112-bobo-de-camarao.html</t>
  </si>
  <si>
    <t>Panqueca</t>
  </si>
  <si>
    <t>1 ovo
 1 copo de leite
 1 copo de farinha de trigo
 1 pitada de sal
 1 pitada de fermento em pó</t>
  </si>
  <si>
    <t>Bata no liquidificador todos os ingredientes até obter uma mistura homogênea.
 Depois, leve para fritar em uma frigideira em fogo médio.
 Recheie a gosto.</t>
  </si>
  <si>
    <t>https://www.tudogostoso.com.br/receita/4255-panqueca.html</t>
  </si>
  <si>
    <t>Bolo de cenoura com calda de chocolate que derrete na boca</t>
  </si>
  <si>
    <t>2 xícaras de chá de cenoura crua picada
 1 xícara de chá de açúcar
 1 xícara de chá de óleo
 4 ovos
 1/2 colher de chá de sal
 2 xícaras de chá de farinha de trigo
 1 colher de sopa cheia de fermento em pó
 3 colheres de sopa de nescau
 1 e 1/2 tablete de margarina
 12 colheres de sopa de açúcar
 10 colheres de sopa de leite</t>
  </si>
  <si>
    <t>Bata no liquidificador todos os ingredientes, exceto a farinha e o fermento.
 Depois disso, em uma vasilha grande misture bem a massa batida com a farinha e o fermento.
 Coloque em um tabuleiro untado com manteiga e polvilhado de açúcar ou farinha.
 Leve ao forno pré-aquecido, a 180°, por cerca de 40 minutos, ou até dourar.
 Misture todos os ingredientes e leve ao fogo até ferver.
 Faça furinhos no bolo ainda quente e despeje sobre ele.</t>
  </si>
  <si>
    <t>https://www.tudogostoso.com.br/receita/59066-bolo-de-cenoura-com-calda-de-chocolate-que-derrete-na-boca.html</t>
  </si>
  <si>
    <t>Petit gateau</t>
  </si>
  <si>
    <t>200 g de chocolate meio amargo
 2 colheres de manteiga sem sal
 1/4 xícara (chá) de açúcar
 2 colheres (sopa) rasas de farinha de trigo
 2 ovos inteiros (tire a pele da gema)
 2 gemas</t>
  </si>
  <si>
    <t>Derreta a manteiga e o chocolate em banho-maria.
 Bata os ovos e as gemas com açúcar na batedeira, até ficar bem claro.
 Junte o chocolate derretido e a farinha de trigo, misturando com uma espátula.
 Depois, unte as forminhas de empadinha, passe farinha de trigo e coloque a massa.
 Preaqueça o forno e leve para assar de 6 a 10 minutos (em fogo alto) até os bolinhos crescerem, mas o meio deve ficar molinho.
 Deve-se desenformar ainda quente.
 Sirva diretamente no prato, acompanhado com sorvete de creme.</t>
  </si>
  <si>
    <t>https://www.tudogostoso.com.br/receita/6179-petit-gateau.html</t>
  </si>
  <si>
    <t>Bombom de travessa</t>
  </si>
  <si>
    <t>250 g de chocolate ao leite
 250 g de chocolate meio amargo
 2 latas de leite condensado
 2 latas de creme de leite
 2 colheres de margarina
 2 caixas de morango</t>
  </si>
  <si>
    <t>Coloque as latas de leite condensado em uma panela com a manteiga e faça uma massa como um brigadeiro mole.
 Coloque em uma travessa e, por cima deste brigadeiro mole, coloque os morangos cortados ao meio.
 Reserve para fazer a cobertura.
 Para fazer a cobertura, rale o chocolate ao leite e o meio amargo e misture ao creme de leite.
 Misture e coloqueno micro-ondas durante 1 minuto.
 Retire e mexa
 Coloque de novo no micro-ondas por mais 1 minuto.
 Despeje a cobertura por cima dos morangos e leve à geladeira coberta por papel-filme.</t>
  </si>
  <si>
    <t>https://www.tudogostoso.com.br/receita/49802-bombom-de-travessa.html</t>
  </si>
  <si>
    <t>Brigadeirão de micro-ondas</t>
  </si>
  <si>
    <t>1 lata de leite condensado
 1 lata de creme de leite
 1 xícara de chocolate em pó
 1 colher (sopa) de margarina
 3 ovos inteiros
 chocolate granulado para enfeitar</t>
  </si>
  <si>
    <t>Coloque todos os ingredientes no liquidificador e bata bem até dobrar de volume.
 Despeje a massa em uma forma redonda com furo central untada e leve ao micro-ondas por 10 minutos.
 Ao retirar domicro-ondas, enfeite com chocolate granulado e bom apetite.</t>
  </si>
  <si>
    <t>https://www.tudogostoso.com.br/receita/3623-brigadeirao-de-micro-ondas.html</t>
  </si>
  <si>
    <t>Cookie americano perfeito</t>
  </si>
  <si>
    <t>125 g de manteiga sem sal em temperatura ambiente
 3/4 xícara de açúcar
 1/2 xícara de açúcar mascavo
 1 ovo
 1 e 3/4 de xícara de farinha de trigo
 1 colher (chá) de fermento em pó
 300 g de chocolate meio amargo picado
 1 colher (chá) de essência de baunilha
 para fazer cookie de chocolate acrescentar 1/4 xícara de chocolate em pó</t>
  </si>
  <si>
    <t>Misture a manteiga, açúcar mascavo, açúcar, essência de baunilha (e chocolate em pó, se for fazer cookies com base de chocolate).
 Adicione o ovo batido aos poucos e misture bem.
 Acrescente a farinha aos poucos e misture bem (pode ser na mão ou na batedeira planetária)
 Por último, adicione o fermento e misture só para incorporá-lo à massa.
 Depois da massa bem misturada, adicione o chocolate picado.
 Forme bolinhas pequenas e asse em forno preaquecido, sobre papel manteiga, por aproximadamente 15 a 20 minutos (250° C).</t>
  </si>
  <si>
    <t>https://www.tudogostoso.com.br/receita/94434-cookie-americano-perfeito.html</t>
  </si>
  <si>
    <t>Bolo de milho</t>
  </si>
  <si>
    <t>medida copo de requeijão
 1/2 copo de óleo
 1 copo de leite
 1 lata de milho verde com a água
 3 ovos
 1 e 1/2 copo de açúcar
 1 copo de milharina
 1 colher de fermento em pó</t>
  </si>
  <si>
    <t>Bata todos os ingredientes no liquidificador.
 Leve para assar em forma untada com margarina, asse até dourar.
 Fica meio molhadinho.
 É uma delicia.</t>
  </si>
  <si>
    <t>https://www.tudogostoso.com.br/receita/1650-bolo-de-milho.html</t>
  </si>
  <si>
    <t>Bolo de laranja de liquidificador</t>
  </si>
  <si>
    <t>3 ovos
 Suco de 2 laranjas
 1 xícara (chá) de óleo
 2 xícaras (chá) de açúcar
 3 xícaras (chá) de farinha de trigo
 1 colher (sopa) de fermento em pó
 Suco de 1 laranja
 3 colheres (sopa) de açúcar</t>
  </si>
  <si>
    <t>Bata no liquidificador os 4 primeiros ingredientes (exceto farinha e fermento), despeje em uma tigela, acrescente a farinha de trigo aos poucos e por último o fermento.
 Coloque em uma assadeira redonda de buraco no centro untada e enfarinhada.
 Leve ao forno médio pré-aquecido por 35 minutos, ou até que esteja assado.
 Leve o suco de laranja e o açúcar ao fogo, dando uma aquecida e despeje no bolo ainda quente.</t>
  </si>
  <si>
    <t>https://www.tudogostoso.com.br/receita/85429-bolo-de-laranja-de-liquidificador.html</t>
  </si>
  <si>
    <t>Purê de batata simples e fácil</t>
  </si>
  <si>
    <t>1 kg de batata
 1/2 xícara de leite
 2 colheres (sopa) de margarina
 sal a gosto
 1 dente de alho espremido</t>
  </si>
  <si>
    <t>Cozinhe as batatas até ficarem bem moles.
 Descasque-as ainda quentes e esprema as batatas no espremedor.
 Despeje as batatas em um recipiente e acrescente a margarina, o sal e o alho, e mexa até que amargarina derretapor completo.
 Acrescente o leite aos poucos e continue mexendo.</t>
  </si>
  <si>
    <t>https://www.tudogostoso.com.br/receita/59-pure-de-batata.html</t>
  </si>
  <si>
    <t>Frango ao creme de milho</t>
  </si>
  <si>
    <t>1 peito de frango cozido e desfiado
 azeite a gosto
 1/2 cebola picada
 2 dentes de alho amassados
 sal
 1/2 pote de requeijão
 pimenta-do-reino a gosto
 1 lata de milho verde escorrida
 1 lata de leite
 1 colher de sopa de amido de milho
 1 tablete de caldo de galinha
 2 dentes de alho amassados
 1/2 cebola picada
 azeite quanto baste
 queijo ralado para polvilhar</t>
  </si>
  <si>
    <t>Em uma panela refogue no azeite, a cebola e o alho.
 Adicione o frango e tempere a gosto.
 Incorpore o requeijão.
 Bata o milho, o leite, o amido de milho e o caldo de galinha no liquidificador.
 Em uma panela refogue a cebola e o alho no azeite.
 Incorpore a mistura do liquidificador, mexendo até borbulhar.
 Disponha o frango no refratário, por cima o creme de milho.
 Cubra com queijo ralado e leve ao forno alto por cerca de 30 minutos, ou até dourar.</t>
  </si>
  <si>
    <t>https://www.tudogostoso.com.br/receita/91302-frango-ao-creme-de-milho.html</t>
  </si>
  <si>
    <t>Yakissoba da casa</t>
  </si>
  <si>
    <t>300 g de espaguete
 1 cebola grande cortada em pedaços médios
 1 colher (sopa) de óleo
 1/2 maço pequeno de brócolis
 1/2 maço pequeno de couve-flor
 10 colheres (sopa) de molho shoyu
 400 g de carne cortada em tiras
 100 g de champignon
 1 cenoura cortada em rodelas
 250 ml de água
 1 colher (sopa) de amido de milho, dissolvido em 50 ml de água
 acelga a gosto</t>
  </si>
  <si>
    <t>Cozinhe o macarrão em ponto al dente e reserve.
 Em uma panela, adicione o azeite, a cebola, a carne e refogue bem.
 Adicione o molho shoyu e cozinhe por 3 minutos em fogo médio.
 Acrescente mais água, aguarde levantar fervura e adicione o amido de milho.
 Mexa até engrossar, abaixe o fogo e adicione o champignon, a couve-flor, o brócolis e a cenoura.
 Cozinhe por 8 minutos e acrescente, por último, a acelga e o macarrão.
 Misture bem, acerte o sal e tampe a panela por mais 1 minuto.
 Está pronto para servir!</t>
  </si>
  <si>
    <t>https://www.tudogostoso.com.br/receita/2085-yakissoba-da-casa.html</t>
  </si>
  <si>
    <t>Torta de limão</t>
  </si>
  <si>
    <t>200 g de biscoito de maisena
 150 g de margarina
 1 lata de leite condensado (395 g)
 1 caixa de creme de leite (200 g)
 suco de 4 limões
 raspas de 2 limões
 3 ou 4 claras de ovo
 3 colheres (sopa) de açúcar
 raspas de 2 limões para decorar</t>
  </si>
  <si>
    <t>Triture o biscoito de maisenaem um liquidificadorou processador.
 Junte a margarina e bata mais um pouco.
 Despeje a massa em umaforma de fundo removível(27 cm de diâmetro).
 Com as mãos, espalhe os biscoitos triturados no fundo e nas laterais da forma, cobrindo toda área de maneira uniforme.
 Leve ao forno médio (180° C), preaquecido, por aproximadamente 10 minutos.
 Bata todos os ingredientes no liquidificador (exceto as raspas de limão) até obter um creme liso e firme.
 Recheie a massa já assada e leve à geladeira por 30 minutos.
 Bata as claras em neve e acrescente o açúcar.
 Misture até obter umponto de suspiroe leve ao forno até dourar.
 Desenforme a torta (sem retirar o fundo falso), despeje a cobertura e acrescente asraspas de limão.</t>
  </si>
  <si>
    <t>https://www.tudogostoso.com.br/receita/104383-torta-de-limao.html</t>
  </si>
  <si>
    <t>Brigadeiro de micro-ondas</t>
  </si>
  <si>
    <t>1 leite condensado
 4 colheres (sopa) de chocolate em pó ou achocolatado
 1 colher (sopa) de manteiga
 chocolate granulado ou granulado colorido</t>
  </si>
  <si>
    <t>Em um recipiente próprio para microondas, de preferência redondo e de borda alta, misture todos os ingredientes.
 Leve ao microondas por 6 minutos em potência alta ou na tecla brigadeiro do próprio microondas. Mexendo a mistura na metade do tempo.
 Depois de pronto, retire do forno e mexa até ficar uma massa lisa e brilhante.
 Leve à geladeira para esfriar, depois enrole os docinhos, passe no granulado e coloque nas forminhas.</t>
  </si>
  <si>
    <t>https://www.tudogostoso.com.br/receita/456-brigadeiro-de-micro-ondas.html</t>
  </si>
  <si>
    <t>Bolinha de queijo</t>
  </si>
  <si>
    <t>1 xícara (chá) de leite
 1 xícara (chá) de farinha de trigo
 1 colher (sopa) de margarina
 1 gema
 1 pitada de sal
 queijo branco ou mussarela a gosto
 óleo para fritar</t>
  </si>
  <si>
    <t>Em uma panela, adicione o leite, a farinha de trigo, a margarina, a gema e o sal.
 Leve ao fogo e mexa com um garfo até que a massa solte da panela, depois deixe esfriar.
 Modele a massa em bolinhas e recheie com o queijo, depois passe o bolinho na gema de ovo e na farinha de rosca.
 Em uma panela, adicione o óleo, depois de quente adicione as bolinhas e frite-as.</t>
  </si>
  <si>
    <t>https://www.tudogostoso.com.br/receita/2082-bolinha-de-queijo.html</t>
  </si>
  <si>
    <t>Sorvete fácil</t>
  </si>
  <si>
    <t>1 lata de leite condensado
 1 lata de creme de leite
 1 gelatina de qualquer sabor</t>
  </si>
  <si>
    <t>Faça a gelatina normalmente e não leve à geladeira.
 Depois que pronta, ainda quente, coloqueno liquidificadorjunto com o leite condensado e o creme de leite.
 Bata bem.
 Depoisleve ao congeladorem um refratário tampado para não formar blocos de gelo.
 Depois de congelado, retire do congelador e bata na batedeira para ficar cremoso.
 Volte para o congelador.
 Está pronto, um sorvete fácil, prático e gostoso.</t>
  </si>
  <si>
    <t>https://www.tudogostoso.com.br/receita/4730-sorvete-facil.html</t>
  </si>
  <si>
    <t>Leite condensado caseiro</t>
  </si>
  <si>
    <t>1 xícara chá de leite em pó
 1 xícara chá de açucar cristal
 1/2 xícara chá de água fervente</t>
  </si>
  <si>
    <t>Coloque no liquidificador a água fervente, o leite em pó e o açúcar.
 Bata até dar a consistência de leite condensado.
 Rendimento: 340g.</t>
  </si>
  <si>
    <t>https://www.tudogostoso.com.br/receita/2921-leite-condensado-caseiro.html</t>
  </si>
  <si>
    <t>Pudim de leite moça</t>
  </si>
  <si>
    <t>3 ovos
 1 lata de leite moça
 1 medida da lata de leite moça de leite
 3 colheres de açúcar</t>
  </si>
  <si>
    <t>Ligue o forno para aquecer por 10 minutos em fogo baixo.
 Bata no liquidificador os ovos, o leite moça e o leite por 3 minutos.
 Faça uma calda com o açúcar, deixe esfriar um pouco.
 Coloque a calda numa forma com furo no meio, coloque o pudim sobre a calda.
 Leve ao forno, não precisa ser em banho-maria, espere ficar dourado em cima, em torno de 40 minutos.
 Aguarde esfriar e leve à geladeira (é bom fazer de um dia para o outro).</t>
  </si>
  <si>
    <t>https://www.tudogostoso.com.br/receita/1045-pudim-de-leite-moca.html</t>
  </si>
  <si>
    <t>Escondidinho de carne moída</t>
  </si>
  <si>
    <t>1 kg de batata
 500 g de carne moída
 200 g de queijo mussarela
 azeite
 1 cebola
 1 dente de alho amassado
 sal a gosto
 pimenta branca a gosto
 cheiro-verde a gosto
 1/2 copo de leite
 2 colheres de manteiga</t>
  </si>
  <si>
    <t>Descasque as batatas, corte ao meio e cozinhe com água e sal.
 Depois de cozidas, amasse as batatas, adicione o leitee a manteiga, mexa bem até formar um purê e reserve.
 Em uma panela, adicione 1 fio de azeite, a cebola, o alho e refogue a carne moída.
 Tempere com sal, pimenta branca, cheiro-verde e cozinhe até secar a água que se formar na panela.
 Forre um refratário com a metade do purê de batatas.
 Acrescente uma camada de queijo e uma camada de carne moída.
 Repita o processo e finalize com queijo ralado por cima.
 Leve ao forno por 40 minutos.</t>
  </si>
  <si>
    <t>https://www.tudogostoso.com.br/receita/136814-escondidinho-de-carne-moida.html</t>
  </si>
  <si>
    <t>Bolinhos de chuva</t>
  </si>
  <si>
    <t>1 xícara de farinha de trigo
 1 xícara de amido de milho
 1/2 xícara de leite
 2 ovos
 4 colheres de açúcar
 1 colher (sopa) de fermento em pó</t>
  </si>
  <si>
    <t>Bata o açúcar com os ovos e junte os demais ingredientes.
 Em uma panela, esquente o óleo e frite às colheradas em fogo baixo.
 Depois de frito, passe os bolinhos em açúcar com canela.</t>
  </si>
  <si>
    <t>https://www.tudogostoso.com.br/receita/538-bolinhos-de-chuva.html</t>
  </si>
  <si>
    <t>Bife à milanesa</t>
  </si>
  <si>
    <t>1/2 kg de bife patinho, alcatra ou mignon
 3 ovos batidos
 farinha de rosca a gosto
 farinha de trigo a gosto
 3 dentes de alho amassados (opcional)
 sal a gosto
 pimenta-do-reino a gosto</t>
  </si>
  <si>
    <t>Tempere os bifes a gosto e reserve.
 Em um prato fundo, bata os ovos até obter uma mistura homogênea.
 Separe a farinha de rosca e a farinha de trigo em pratos diferentes.
 Passe os bifes na farinha de trigo, depois nos ovos batidos e na farinha de rosca.
 Em uma frigideira, frite os bifes em óleo quente até que fiquem dourados.
 Ao retirar da frigideira, coloque os bifes em papel toalha para que a gordura em excesso seja absorvida.</t>
  </si>
  <si>
    <t>https://www.tudogostoso.com.br/receita/55-bife-a-milanesa.html</t>
  </si>
  <si>
    <t>Brownie super fácil</t>
  </si>
  <si>
    <t>6 colheres (sopa) bem cheias, de margarina sem sal
 3/4 xícara (chá) achocolatado
 1/2 xícara (chá) chocolate em pó
 1 e 1/4 xícara (chá) farinha de trigo
 2 xícaras (chá) açúcar
 4 ovos
 2 pitadas de sal
 1 colher (chá) de extrato ou essência de baunilha
 1 tablete de chocolate meio amargo picado em cubinhos
 1/2 xícara (chá) de nozes picadas ou castanhas de caju granuladas</t>
  </si>
  <si>
    <t>Misture os ovos e o açúcar.
 Em seguida, agregue todos os outros ingredientes até formar um creme uniforme.
 Despeje em uma assadeira,forrada com papel-manteigae leve ao forno médio por 40 minutos.
 O brownie estará pronto quando a parte de cima estiver levemente corada e, ao seespetar um palito, ele esteja levemente úmido (devido ao chocolate derretido).
 Corte em quadrados ainda quente e sirva com uma bola de sorvete de creme, ou congele num saquinho para freezer.
 Para descongelar, coloque o brownie num prato de sobremesa e aqueça no micro-ondas, potência alta, por 1 minuto.</t>
  </si>
  <si>
    <t>https://www.tudogostoso.com.br/receita/11659-brownie-super-facil.html</t>
  </si>
  <si>
    <t>Nhoque de batata</t>
  </si>
  <si>
    <t>6 batatas médias
 1 xícara de farinha de trigo
 sal a gosto
 1 lata de molho de tomate
 1/2 cebola
 1 colher (sopa) de azeite
 2 tabletes de caldo de carne
 1/2 kg de carne moída
 1 pacote de queijo ralado</t>
  </si>
  <si>
    <t>Cozinhe asbatatas, em água, até que estejam macias.
 Descasque-as e passe pelo espremedor ainda quentes.
 Vá acrescentando a farinha aos poucos e o sal, amasse bem.
 Coloque a massa sobre uma mesa enfarinhada e faça rolinhos.
 Corte cada rolinho em pedaços de mais ou menos 2 cm.
 Leve ao fogo, em uma panela com bastante água temperada com sal.
 Quando a água levantar fervura, vá colocando os nhoques, até eles começarem a subir.
 Coloque água fria em uma bacia com um escorredor dentro, retire os nhoques já cozidos e coloque-os no escorredor para dar choque térmico.
 Repita o processo até toda massa estar cozida.
 Escorra bem e coloque o nhoque em um refratário, reserve.
 Pique a cebola, bem miudinha e, em uma panela, frite com azeite.
 Acrescente a carne e os tabletes de caldo de carne.
 Mexa bem, quando a carne já estiver cozida, acrescente o molho e deixe cozinhar por mais 4 min.
 Despeje-o sobre o nhoque, salpique queijo em cima e leve ao forno para gratinar, sirva quente e bom apetite!</t>
  </si>
  <si>
    <t>https://www.tudogostoso.com.br/receita/1348-nhoque-de-batata.html</t>
  </si>
  <si>
    <t>Gratinado de frango simples</t>
  </si>
  <si>
    <t>1 kg de peito de frango desfiado
 1 lata de molho de tomate
 2 cubinhos de caldo de galinha
 1 xícara (chá) de água
 1 colher (sopa) de farinha de trigo
 1 lata de creme de leite
 queijo ralado a gosto
 100 g de manteiga derretida</t>
  </si>
  <si>
    <t>Coloque a água em uma panela e derreta os cubinhos de caldo de galinha.
 Acrescente o molho de tomate e o frango, mexa até começar a ferver.
 Coloque a farinha de trigo e mexa até engrossar.
 Acrescenteo creme de leite, misture bem.
 Despeje tudo em uma travessa e espalhe por cima a manteiga e o queijo ralado.
 Leve ao forno para gratinar por mais ou menos 20 minutos.</t>
  </si>
  <si>
    <t>https://www.tudogostoso.com.br/receita/116-gratinado-de-frango.html</t>
  </si>
  <si>
    <t>Joelho</t>
  </si>
  <si>
    <t>1 copo de leite morno
 30 g de fermento para pão
 1 colher sopa rasa açúcar
 1 colher chá de sal
 1/2 copo de óleo
 1/2 kg de farinha de trigo (mais ou menos)
 Queijo
 Presunto</t>
  </si>
  <si>
    <t>Dissolve o fermento com o açúcar. Colocar o óleo o leite e todos os ingredientes. Deixar descansar por 15 minutos.
 Faça bolinhas pequenas. Depois abra a massa e recheio com uma fatia de queijo e outra de presunto. Enrole como rocambole e pincele com gema. Leve ao forno até dourar.</t>
  </si>
  <si>
    <t>https://www.tudogostoso.com.br/receita/7201-joelho.html</t>
  </si>
  <si>
    <t>Frango cremoso</t>
  </si>
  <si>
    <t>500 g de peito de frango (filé de peito) limpos e sem pele
 1 lata de creme de leite com soro
 1 pacote (sopa) de cebola
 1 copo de requeijão
 1 lata de milho com água
 batata palha para polvilhar</t>
  </si>
  <si>
    <t>Arrume os pedaços de frango em um refratário de vidro que possa ir ao forno.
 Bata no liquidificador todos os outros ingredientes menos a batata.
 Jogue esse creme por cima do frango e leve ao forno pré aquecido por uns 30 minutos.
 Coloque um pouco de batata palha por cima, volte ao forno por mais uns 5 minutos e sirva com arroz branco.</t>
  </si>
  <si>
    <t>https://www.tudogostoso.com.br/receita/1278-frango-cremoso.html</t>
  </si>
  <si>
    <t>Picanha ao Forno com Sal Grosso</t>
  </si>
  <si>
    <t>1 peça de Picanha com aproximadamente 1 Kg
 3 kg de sal grosso
 4 colheres de sopa de manteiga
 4 colheres de sopa de azeite
 1 cebola (picada)</t>
  </si>
  <si>
    <t>Cubra o fundo de uma assadeira com 1 kg do sal grosso.
 Coloque a picanha com a parte da gordura virada para cima. Dica: a picanha pode ser colocada para assar congelada.
 Cubra a carne com o restante do sal, não deixando nenhuma parte da carne exposta.
 Leve a assadeira para o forno a 200 graus.
 Retire a camada do sal e corte em fatias.
 Aqueça a manteiga junto com o azeite em uma frigideira, frite a cebola por alguns instantes e derrame sobre a picanha preparada.</t>
  </si>
  <si>
    <t>https://www.tudogostoso.com.br/receita/249-picanha-ao-forno-com-sal-grosso.html</t>
  </si>
  <si>
    <t>Biscoito de maisena</t>
  </si>
  <si>
    <t>1 xícara (chá) de farinha de trigo
 4 xícaras (chá) de maisena
 1 xícara (chá) de açúcar
 2 xícara (chá) de margarina sem sal
 coco ralado à vontade</t>
  </si>
  <si>
    <t>Junte todos os ingredientes e misture, amassando bem.
 Faça bolinhas, coloque-as em uma forma, não é necessário untá-la.
 Com um garfo aperte as bolinhas deixando-as levemente achatadas.
 Leve ao forno médio por 10 minutos.</t>
  </si>
  <si>
    <t>https://www.tudogostoso.com.br/receita/80342-biscoito-de-maisena.html</t>
  </si>
  <si>
    <t>Escondidinho de carne-seca</t>
  </si>
  <si>
    <t>1 kg de mandioca cozida
 1 lata de creme de leite com soro
 2 colheres de margarina
 1/2 kg de carne-seca dessalgada e cozida
 1 cebola média picadinha
 4 dentes de alho esmagados
 2 tomates sem casca e picados
 sal a gosto
 pimenta a gosto
 queijo ralado a gosto</t>
  </si>
  <si>
    <t>Esprema a mandioca ainda quente e leve em uma panela com a margarina e o sal.
 Quando estiverem bem misturados acrescente o creme de leite, misture e reserve.
 Refogue a cebola e o alho em um fio de azeite.
 Acrescente a carne-seca desfiada e deixe fritar um pouco.
 Acrescente os tomates e deixe cozinhar até ficarem murchos, acerte o sal se achar necessário.
 Em um refratário untado com azeite, coloque uma camada do purê de mandioca, a carne seca e termine com o restante do purê.
 Polvilhe com queijo parmesão ralado e leve ao forno pra gratinar.</t>
  </si>
  <si>
    <t>https://www.tudogostoso.com.br/receita/20768-escondidinho-de-carne-seca.html</t>
  </si>
  <si>
    <t>Molho branco</t>
  </si>
  <si>
    <t>2 xícaras de leite
 2 colheres (sopa) de manteiga
 2 colheres (sopa) de farinha de trigo
 sal a gosto
 noz-moscada a gosto
 pimenta-do-reino branca a gosto</t>
  </si>
  <si>
    <t>Ferva o leite. Derreta a manteiga, junte a farinha e mexa bem até obter uma pasta homogênea. Aos poucos, acrescente o leite e bata, constantemente, para não empelotar. Deixe cozinhar por alguns minutos e tempere com sal, noz-moscada e pimenta.</t>
  </si>
  <si>
    <t>https://www.tudogostoso.com.br/receita/38-molho-branco.html</t>
  </si>
  <si>
    <t>Biscoitos amanteigados</t>
  </si>
  <si>
    <t>400 g de farinha de trigo
 125 g de açúcar
 300 g de margarina sem sal ou manteiga</t>
  </si>
  <si>
    <t>Amasse muito bem todos os ingredientes.
 Enrole e achate as bolinhas.
 Coloque em uma forma e asse em fogo moderado, até que fiquem douradinhos</t>
  </si>
  <si>
    <t>https://www.tudogostoso.com.br/receita/68-biscoitos-amanteigados.html</t>
  </si>
  <si>
    <t>Camarão na moranga</t>
  </si>
  <si>
    <t>1 kg de camarão médio
 4 colheres (sopa) de azeite
 2 dentes de alho
 1 cebola
 5 tomates sem sementes
 sal a gosto
 3 colheres (sopa) de ketchup
 pimenta-do-reino a gosto
 1 lata de creme de leite sem soro
 300 g de requeijão cremoso
 1 moranga
 cheiro-verde a gosto</t>
  </si>
  <si>
    <t>Retire a tampa e as sementes da moranga.
 Lave e enrole-a em papel alumínio e leve ao forno médio (180° C) por 45 minutos.
 Em uma panela, aqueça o azeite e refogue o alho e a cebola, junte o camarão e deixe cozinhar por 5 minutos.
 Adicione os tomates picados, a pimenta, o sal e o ketchup.
 Desligue o fogo e acrescente o creme de leite e o cheiro-verde.
 Misture bem e adicione por último o requeijão.
 Passe um pouco de requeijão no interior da moranga e despeje o creme de camarão.</t>
  </si>
  <si>
    <t>https://www.tudogostoso.com.br/receita/1106-camarao-na-moranga.html</t>
  </si>
  <si>
    <t>Pastel de forno</t>
  </si>
  <si>
    <t>3 xícaras (chá) de farinha de trigo
 150 g de margarina
 1 ovo
 1 colher (chá) de sal
 1 colher (sopa) de vinagre
 1 gema para pincelar
 1 xícara de água morna
 recheio de sua preferência</t>
  </si>
  <si>
    <t>Em uma vasilha, misture a farinha, a margarina, o ovo, o sal e o vinagre.
 Amasse bem até a massa obter uma massa homogênea.
 Envolva a massa em papel filme ou saco plástico e leve à geladeira por 30 minutos.
 Abra a massa com o rolo em uma superfície plana e enfarinhada, corte-a em 20 pedaços, distribua o recheio, feche os pastéis e pincele com a gema.
 Asse em forno médio (180° C), preaquecido, por 40 minutos.</t>
  </si>
  <si>
    <t>https://www.tudogostoso.com.br/receita/2477-pastel-de-forno.html</t>
  </si>
  <si>
    <t>Massa de coxinha fácil da Andriele</t>
  </si>
  <si>
    <t>2 copos de água
 1 copo de leite
 1 colher de margarina
 1 cubo de caldo de galinha
 sal a gosto
 3 xícaras de trigo</t>
  </si>
  <si>
    <t>Coloque a água, o leite, a margarina, o caldo e o sal em uma panela e misture até ferver.
 Abaixe o fogo e acrescente o trigo de uma só vez.
 Mexa até obter uma massa lisa e homogênea.
 Recheie da maneira que preferir.</t>
  </si>
  <si>
    <t>https://www.tudogostoso.com.br/receita/80686-massa-de-coxinha-facil-da-andriele.html</t>
  </si>
  <si>
    <t>Filé de peixe assado</t>
  </si>
  <si>
    <t>500 g de filé de peixe (tilápia, saint peter ou outro)
 4 batatas grande descascada em rodelas de 0,5 centímetro de espessura
 2 tomates picadinhos
 1/2 pimentão(se ele for grande)
 1 cebola média picada em cubos
 1 colher (sopa) cheia de alcaparras
 cheiro-verde a gosto
 coentro a gosto (opcional)
 1/2 colher (sopa) de sal
 1 dente de alho (pequeno) bem espremido
 azeite a gosto</t>
  </si>
  <si>
    <t>Tempere o filé de peixe com sal e alho e reserve.
 Misture o tomate, cebola, pimentão e alcaparras e tempere com um pouco de sal e junte o cheiro verde e coentro. Reseve.
 Unte um refratário com azeite, e forre com as batatas cruas.
 Cubra as batatas com o peixe e por cima distribua a mistura do tomate. Regue com bastante azeite e leve ao forno por mais ou menos 30 a 40 minutos.
 Quando secar o líquido que acumula no fundo da forma quando está assando e ficar dourado está pronto.
 Sirva com arroz intergal ou branco, é uma delícia!</t>
  </si>
  <si>
    <t>https://www.tudogostoso.com.br/receita/109052-file-de-peixe-assado.html</t>
  </si>
  <si>
    <t>Bolo de banana e aveia</t>
  </si>
  <si>
    <t>250 g de aveia fina (1 caixinha)
 1 colher (sopa) fermento
 4 ovos
 1/2 xícara de óleo
 4 bananas
 1 1/2 xícaras de açúcar (pode ser mascavo)
 1 colher (chá) de canela
 1/2 xícara de castanha de cajú ou do Pará picada
 1/2 xícara de passas de uva</t>
  </si>
  <si>
    <t>Bata no liquidificador os 4 ovos, 1/2 xícara de óleo, 4 bananas, 1 1/2 xícara de açúcar (pode ser mascavo).
 Despeje esta mistura na aveia fina com o fermento e opcionais a gosto.
 Leve para assar em forma untada, em forno médio, pré-aquecido, por cerca de 40 minutos, ou até dourar.</t>
  </si>
  <si>
    <t>https://www.tudogostoso.com.br/receita/100781-bolo-de-banana-e-aveia.html</t>
  </si>
  <si>
    <t>1 kg de farinha de trigo aproximadamente
 1 e 1/2 xícara de leite morno (aprox. 400 ml)
 1/2 xícara de água morna
 1/2 xícara de óleo (aprox. 100 ml)
 4 colheres (sopa) de açúcar (aprox. 200 g)
 1 colher (sopa) de sal
 2 ovos
 10 g de fermento biológico seco</t>
  </si>
  <si>
    <t>Em uma tigela, dissolva o fermento no açúcar e acrescente o sal, os ingredientes líquidos, os ovos e misture muito bem.
 Acrescente aos poucos a farinha até formar uma massa macia e sove bem a massa.
 Deixe a massa descansar por aproximadamente 1 hora.
 Após o crescimento, divida a massa, enrole da forma que desejar,coloque nas formase deixe crescer até dobrar de volume.
 Leve para assar em forno médio (200° C), preaquecido, por aproximadamente 30 minutos.
 Retire o pão do forno e pincele leite para a casca ficar mais macia.</t>
  </si>
  <si>
    <t>https://www.tudogostoso.com.br/receita/178357-pao-caseiro.html</t>
  </si>
  <si>
    <t>Strogonoff de carne</t>
  </si>
  <si>
    <t>1 kg de carne de sua preferência, como patinho ou coxão mole
 3 cebolas médias
 1 vidro de champignon ou palmito
 Sal a gosto
 Pimenta-do-reino a gosto
 2 latas de creme de leite
 3 tomates picados sem pele e sem sementes
 3 colheres (sopa) de óleo de oliva
 2 colheres (sopa) de ketchup
 1 cubo de caldo de carne dissolvido em 100 ml de água</t>
  </si>
  <si>
    <t>Em uma panela, adicione o óleo, a carne, a cebola, os tomates, o caldo de carne e deixe cozinhar por 20 minutos.
 Acrescente o ketchup eo champignone deixe cozinhar até obter um molho consistente e cremoso.
 Desligue o fogo e acrescente o creme de leite sem soro.
 Mexa até incorporar o molho ao creme.
 Coloque em uma forma refratária e decore com tempero e batata palha.</t>
  </si>
  <si>
    <t>https://www.tudogostoso.com.br/receita/1408-strogonoff-de-carne.html</t>
  </si>
  <si>
    <t>Bolo de fubá simples mas maravilhoso</t>
  </si>
  <si>
    <t>1 copo de fubá mimoso
 1 copo de farinha de trigo
 1 copo de leite
 1 e 1/2 copos de açúcar
 1 xícara de óleo
 3 ovos
 1 colher de fermento em pó
 sementes de erva doce a gosto</t>
  </si>
  <si>
    <t>Bater todos os ingredientes no liquidificador.
 Despejar a massa em forma untada com margarina e enfarinhada.
 Levar ao forno preaquecido, a 200°C, por volta de 35 minutos, ou até que espete um palito e saia seco.
 Deixe esfriar, retire da forma e polvilhe com açúcar e sementes de erva-doce.</t>
  </si>
  <si>
    <t>https://www.tudogostoso.com.br/receita/44278-bolo-de-fuba-simples-mas-maravilhoso.html</t>
  </si>
  <si>
    <t>Bolo de laranja</t>
  </si>
  <si>
    <t>2 xícaras de farinha de trigo
 2 xícaras de açúcar
 1 xícara de suco de laranja ou refrigerante de laranja de boa qualidade
 4 ovos
 1 colher de chá de fermento em pó</t>
  </si>
  <si>
    <t>Bata as claras em neve, misture as gemas e o açúcar e torne a bater.
 Depois, misture a farinha e o suco de laranja.
 Por último acrescente o fermento.
 Leve ao forno para assar em forma untada e polvilhada por cerca de 40 minutos em 180°C (dependendo do forno).</t>
  </si>
  <si>
    <t>https://www.tudogostoso.com.br/receita/24-bolo-de-laranja.html</t>
  </si>
  <si>
    <t>Risólis</t>
  </si>
  <si>
    <t>2 copos de leite
 1 colher (sopa) de manteiga ou margarina
 1 colher (chá) de sal
 2 copos de farinha de trigo</t>
  </si>
  <si>
    <t>Ferva o leite, a manteiga e o sal.
 Quando levantar fervura, jogar de uma vez os 2 copos de farinha.
 Sovar bem a massa. Estique a massa em cima da pia (pode ser com as mãos), corte rodelas com a borda de um copo e recheie a gosto. Feche os risólis e passe no ovo batido e farinha de rosca. Frite.</t>
  </si>
  <si>
    <t>https://www.tudogostoso.com.br/receita/712-risolis.html</t>
  </si>
  <si>
    <t>Pão de queijo</t>
  </si>
  <si>
    <t>800 g de polvilho azedo
 1 xícara de água
 1 xícara de leite
 1/2 xícara de óleo
 2 ovos
 100 g de queijo parmesão ralado
 sal a gosto</t>
  </si>
  <si>
    <t>Em uma panela, ferva a água e acrescente o leite, o óleo e o sal.
 Adicione o polvilho aos poucos até dar liga. Pode ser que você não precise usar os 800g, então coloque devagar e sove a massa até soltar da mão: esse é o ponto.
 Quando a massa estiver morna, acrescente o queijo parmesão, os ovos e misture bem.
 Unte as mãos e enrole bolinhas de 2 cm de diâmetro.
 Disponha as bolinhas emuma assadeira untada com óleo, deixando um espaço entre elas.
 Asse em forno médio (180º C), preaquecido, por cerca de 40 minutos.</t>
  </si>
  <si>
    <t>https://www.tudogostoso.com.br/receita/1443-pao-de-queijo.html</t>
  </si>
  <si>
    <t>Bolo de cenoura fofinho</t>
  </si>
  <si>
    <t>2 xícara (chá) de cenoura picada
 4 ovos
 2 xícaras (chá) de açúcar
 2 xícaras (chá) de farinha de trigo
 1 xícara (chá) de óleo
 1 colher (café) de fermento em pó
 1 lata de leite condensado
 1 caixinha de creme de leite
 1 colher cheia de margarina
 3 colheres cheias de chocolate em pó</t>
  </si>
  <si>
    <t>Separe as claras das gemas.
 Bata as claras em neve e reserve.
 No liquidificador coloque a cenoura, o óleo e as gemas e bata por 5 minutos.
 Em uma tigela misture a farinha de trigo, o fermento e o açúcar, misture bem.
 Depois junte os ingredientes batidos, misture bem, por último junte as claras em neve.
 Em uma assadeira untada leve para assar em forno médio, pré-aquecido, por aproximadamente 40 minutos, ou até que fure com um palito e ele saia limpo.
 Leve todos os ingredientes ao fogo e mexa até que desgrude da panela.</t>
  </si>
  <si>
    <t>https://www.tudogostoso.com.br/receita/53631-bolo-de-cenoura-fofinho.html</t>
  </si>
  <si>
    <t>Lanche rápido</t>
  </si>
  <si>
    <t>8 fatias de pão de forma
 100 g de presunto fatiado
 100 g de queijo prato fatiado
 1 lata de creme de leite sem soro
 3 ovos
 1 tomate fatiado
 orégano
 queijo parmesão ralado para polvilhar</t>
  </si>
  <si>
    <t>Em um recipiente quadrado ou retangular, coloque 4 fatias de pão de forma.
 Sobre o pão, coloque o presunto e o queijo.
 Cubra com as outras 4 fatias de pão.
 Bata os ovos, junte o creme de leite com 1 pitada de sal e despeje sobre os sanduíches.
 Decore com o tomate e polvilhe queijo e orégano.
 Leve ao microondas por 10 minutos, em potência alta, ou até que o creme esteja firme.</t>
  </si>
  <si>
    <t>https://www.tudogostoso.com.br/receita/3114-lanche-rapido.html</t>
  </si>
  <si>
    <t>Docinho de leite ninho</t>
  </si>
  <si>
    <t>2 xícaras de açúcar refinado
 2 xícaras de leite integral em pó
 50 ml de leite de coco
 açúcar refinado
 coco ralado para enfeitar
 cravos-da-Índia para enfeitar</t>
  </si>
  <si>
    <t>Em uma tigela, misture bem o açúcar com o leite em pó.
 Acrescente aos poucos o leite de coco e amasse bem até obter uma massa firme e homogênea.
 Modele a massa em bolinhas.
 Passe as bolinhas no açúcar ou coco ralado.
 Enfeite com o cravo-da-índia.</t>
  </si>
  <si>
    <t>https://www.tudogostoso.com.br/receita/735-docinho-de-leite-ninho.html</t>
  </si>
  <si>
    <t>Arroz à grega</t>
  </si>
  <si>
    <t>3 xícaras de arroz
 6 xícaras de água
 1 caixa de uvas-passas
 queijo parmesão ralado
 5 colheres de ervilha
 1 colher de manteiga
 óleo
 pimentão a gosto
 sal a gosto
 cebola a gosto
 salsa a gosto
 cebolinha verde a gosto
 cenoura a gosto</t>
  </si>
  <si>
    <t>Leve uma panela ao fogo com água, sal, um fio de óleo e espere ferver.
 Adicione o arroz lavado e mexa bem.
 Diminua o fogo, deixe a água secar e retire o arroz do fogo.
 Em uma panela, leve uma caçarola ao fogo com a medida de manteiga e frite as passas e as ervilhas.
 Despeje a mistura em uma tigela funda e junte a cebolinha verde, a cenoura, o pimentão, a cebola, a salsa e o parmesão.
 Adicione o arroz cozido e misture tudo cuidadosamente.</t>
  </si>
  <si>
    <t>https://www.tudogostoso.com.br/receita/28-arroz-a-grega.html</t>
  </si>
  <si>
    <t>Almôndegas</t>
  </si>
  <si>
    <t>500 g de carne moída
 2 colheres (sopa) de azeite de oliva (30 ml)
 1 xícara de cebola bem picada (60 g)
 1 ovo
 150 g de farinha de rosca
 sal a gosto
 pimenta-do-reino a gosto
 395 g de molho de tomate</t>
  </si>
  <si>
    <t>Misture a carne com o ovo, a cebola, o sal, um pouco de azeite de oliva (ou óleo) e a pimenta.
 Agregue a farinha até dar o ponto de enrolar as almôndegas.
 Faça pequenas bolinhas.
 Em uma panela com um pouco de azeite, frite as almôndegas selando-as em fogo alto.
 Retire as almôndegas e reserve.
 Em outra panela, esquente o molho de tomate em fogo baixo.
 Na mesma panela da almôndega, elimine o excesso de azeite e coloque o molho de tomate, colocando as almôndegas para cozinhar por alguns minutos.
 Em cerca de 15 minutos as almôndegas estarão totalmente cozidas e o prato estará pronto.</t>
  </si>
  <si>
    <t>https://www.tudogostoso.com.br/receita/64879-almondegas.html</t>
  </si>
  <si>
    <t>Coxinha</t>
  </si>
  <si>
    <t>4 xícaras de trigo
 4 xícaras de leite
 1 caldo de galinha
 1/2 colher de margarina</t>
  </si>
  <si>
    <t>Leve ao fogo o leite, a margarina e o caldo.
 Deixe ferver.
 Despeje de uma só vez o trigo e mexa bem.
 Depois retire da panela e coloque sobre a mesa.
 Sove um pouco e comece a modelar as coxinhas.
 Coloque para fritar em óleo quente, espere dourar, retire e sirva.</t>
  </si>
  <si>
    <t>https://www.tudogostoso.com.br/receita/15150-coxinha.html</t>
  </si>
  <si>
    <t>Gelatina ao creme com morangos</t>
  </si>
  <si>
    <t>2 caixas de gelatina sabor morango
 1 lata de leite condensado
 1 lata de creme de leite
 1 e 1/2 latas de leite (use a medida do leite condensado)
 2 colheres (sopa) de maizena
 1 caixa de morangos cortados ao meio (limpos e sem folhas)</t>
  </si>
  <si>
    <t>Dissolva a gelatina conforme as instruções da embalagem.
 Reserve.
 Em uma panela coloque o leite condensado, o creme de leite e metade do leite.
 Mexa sem parar em fogo brando.
 Misture a maizena no restante do leite e acrescente ao creme.
 Mexa até ficar um creme consistente.
 Deixe esfriar.
 Em um refratário de vidro, espalhe o creme e coloque os morangos cortados ao meio, por cima.
 Com uma colher coloque a gelatina por cima dos morangos.
 Leve para gelar por aproximadamente 3 horas.</t>
  </si>
  <si>
    <t>https://www.tudogostoso.com.br/receita/38921-gelatina-ao-creme-com-morangos.html</t>
  </si>
  <si>
    <t>Bolo pão de ló</t>
  </si>
  <si>
    <t>4 ovos
 2 copos (americano) de farinha de trigo
 2 copos (americano) de açúcar
 1 copo (americano) de leite quente
 1 colher (sopa) de fermento</t>
  </si>
  <si>
    <t>Bataas claras em nevee acrescente o açúcar.
 Depois, acrescente as gemas e misture tudo muito bem.
 Coloque a farinha de trigo e, em seguida, o fermento.
 Por último, acrescente o leite quente.
 Coloque em umaforma untada e enfarinhada, depois leve para assar ao forno 180 °C por 30 a 40 minutos, aproximadamente.</t>
  </si>
  <si>
    <t>https://www.tudogostoso.com.br/receita/2608-bolo-pao-de-lo.html</t>
  </si>
  <si>
    <t>Bolo de Laranja com Casca</t>
  </si>
  <si>
    <t>1 laranja média
 1 xícara de chá de óleo
 4 ovos
 2 xícaras de chá de açúcar
 2 xícaras de chá de farinha de trigo
 1 colher de sopa de fermento em pó
 2 xícaras de chá de suco de laranja peneirado
 1 colher de sopa de amido de milho</t>
  </si>
  <si>
    <t>Corte a laranja em 4 pedaços, retire a parte branca do miolo e as sementes que estiverem aparentes.
 Bata no liquidificador as laranjas, o óleo, os ovos e o açúcar.
 Em uma vasilha, misture a farinha de trigo e o fermento.
 Adicione o conteúdo do liquidificador à mistura, mexendo com colher de pau (não bater em batedeira).
 Leve ao forno médio por aproximadamente 25 minutos em forma untada com margarina e polvilhada com farinha de trigo.
 Misture em uma panela todos os ingredientes e leve ao fogo, mexendo sempre até ferver. Deixe cozinhar um pouco e despeje sobre o bolo assado ainda quente.</t>
  </si>
  <si>
    <t>https://www.tudogostoso.com.br/receita/6796-bolo-de-laranja-com-casca.html</t>
  </si>
  <si>
    <t>Lasanha de frango com queijo</t>
  </si>
  <si>
    <t>1 peito de frango
 500 g de queijo muçarela fatiado
 400 g de presunto fatiado
 1 pacote médio de massa para lasanha (direto ao forno, sem cozimento prévio)
 1 pote de requeijão cremoso
 2 caldos de galinha (ou tempero completo sabor galinha)
 2 copos de leite
 1 caixa de creme de leite
 2 colheres de farinha
 3 colheres de manteiga
 1 cebola média</t>
  </si>
  <si>
    <t>Em uma panela, faça um creme homogêneo com as 2 colheres de farinha e 2 colheres de manteiga (reserve 1 colher de manteiga).
 Acrescente o leite, 1 caldo de galinha e mexa constantemente.
 Retire do fogo e acrescente o creme de leite, reserve.
 Cozinhe o peito de frango em água (sem óleo), após cozido,desfie-o.
 Pique a cebola em pedaços pequenos, coloque em uma panela e doure com a manteiga.
 Acrescente o frango e o caldo de galinha, mexa sempre até o frango ficar totalmente dourado.
 Em um refratário, coloque 2 conchas de molho.
 Faça a base com massa de lasanha, cubra com 1 camada de presunto, 1 de queijo e 1 de frango (nessa ordem).
 Sobre o frango, coloque 1 camada de requeijão e 2 conchas de molho.
 Cubra o requeijão com 1 camada de presunto, 1 camada de queijo e 1 camada de massa, coloque molho.
 Repita esse processo até faltar cerca de 2,5 cm para chegar na borda do refratário.
 Para finalizar, cubra a lasanha com muito queijo, requeijão e molho.
 Asse por, aproximadamente, 20 minutos em fogo baixo.</t>
  </si>
  <si>
    <t>https://www.tudogostoso.com.br/receita/11217-lasanha-de-frango-com-queijo.html</t>
  </si>
  <si>
    <t>2 cenouras médias, cortadas em cubos médios (250 g)
 1/2 xícara (chá) de óleo
 3 ovos
 1/2 xícara (chá) de amido de milho MAIZENA®
 1 e 1/2 xícara (chá) de farinha de trigo
 1 colher (sopa) de fermento em pó
 1 xícara (chá) de açúcar
 1/2 xícara (chá) de chocolate ao leite derretido (ainda quente)
 1/2 xícara (chá) de creme de leite</t>
  </si>
  <si>
    <t>Preaqueça o forno em temperatura média (180°C).
 Unte e enfarinhe uma forma de furo central média (20 cm de diâmetro).
 Reserve.
 No copo do liquidificador, coloque a cenoura, o óleo e os ovos, e bata até ficar homogêneo.
 Em uma tigela, peneire o amido de milho MAIZENA®, a farinha de trigo, o fermento e o açúcar, junte a mistura de cenoura reservada, e mexa com o auxílio de uma espátula até que vire uma massa uniforme.
 Disponha a massa na forma reservada e leve ao forno por 35 minutos, ou até que um palito, depois de espetado na massa, saia limpo.
 Retire do forno e deixe amornar.
 Misture o chocolate e o creme de leite, espalhe por toda a superfície do bolo e sirva a seguir.
 Se preferir, utilize a forma redonda canelada (18 cm de diâmetro).</t>
  </si>
  <si>
    <t>https://www.tudogostoso.com.br/receita/188775-bolo-de-cenoura-fofinho.html</t>
  </si>
  <si>
    <t>A mousse de maracujá</t>
  </si>
  <si>
    <t>1 lata de leite condensado
 1 lada de creme de leite
 1 lata de suco de maracujá concentrado
 1 xícara de açúcar
 1/2 xícara de água
 2 maracujás (polpa)</t>
  </si>
  <si>
    <t>Bata no liquidificador a lata de leite condensado, o creme de leite e o suco de maracujá concentrado.
 Colocar em uma refratário (para servir) e deixar na geladeira até ficar bem geladinho (ou no congelador se precisar para o mesmo dia).
 Junte o açúcar, a água e o maracujá em uma panela e deixe ferver até ficar em ponto de fio.
 Quando esfriar coloque em cima da mousse.</t>
  </si>
  <si>
    <t>https://www.tudogostoso.com.br/receita/18593-a-mousse-de-maracuja.html</t>
  </si>
  <si>
    <t>Pão de queijo mineiro</t>
  </si>
  <si>
    <t>4 copos (americanos) de polvilho doce (500 g)
 1 colher (sopa) de sal a gosto
 2 copos (americano) de leite (300 ml)
 1 copo (americano) de óleo (150 ml)
 2 ovos grandes
 4 copos (americano) de queijo meia cura ralado
 óleo para untar</t>
  </si>
  <si>
    <t>Coloque o polvilho em uma tigela grande.
 À parte, aqueça o sal, o leite e o óleo.
 Quando ferver, escalde o polvilho com essa mistura, mexa muito bem para desfazer pelotinhas.
 Deixe esfriar.
 Acrescente os ovos, um a um, alternando com o queijo e sovando bem após cada adição.
 Unte as mãos com óleo, se necessário.
 Enrole bolinhos de 2 cm de diâmetro e coloque-os em uma assadeira untada.
 Leve ao forno médio (180º C), preaquecido.
 Asse até ficarem douradinhos.</t>
  </si>
  <si>
    <t>https://www.tudogostoso.com.br/receita/2228-pao-de-queijo-mineiro.html</t>
  </si>
  <si>
    <t>Bolo de cenoura com cobertura de chocolate</t>
  </si>
  <si>
    <t>3 cenouras médias
 3 ovos
 1 xícara de chá de óleo
 2 xícaras de açúcar
 2 xícaras de farinha de trigo
 1 tampa de fermento para peneirar com o fermento
 Chocolate amargo em pó
 3 colheres de leite
 1 1/2 colher de margarina
 2 colheres de açúcar</t>
  </si>
  <si>
    <t>No liquidificador colocar os ovos, o óleo e as cenouras. bater por 3 minutos para sumir o cheiro dos ovos.
 Em uma vasilha a parte colocar os secos.
 Misturar os dois, mexer bem.
 Levar ao microondas por 10 minutos( em forma apropriada) enquanto isso fazer a calda.
 é so levar tudo ao fogo e mexer sempre até que engrosse.
 se preferir leve ao microondas, mas sempre parando para mexer porque ela cai e pode queimar.
 Colocar em cima do bolo ainda quente.
 Se o bolo for feito na forma de silicone ele sai super fácil passando um pouco de óleo na forma e não quebra.
 Ferva o leite com o achocolatado até obter ponto de calda.</t>
  </si>
  <si>
    <t>https://www.tudogostoso.com.br/receita/2532-bolo-de-cenoura-com-cobertura-de-chocolate.html</t>
  </si>
  <si>
    <t>Bolo salgado de pão de forma e frango</t>
  </si>
  <si>
    <t>2 pacotes de pão de forma
 2 peitos de frango
 1 tomate picado sem semente
 1 cebola grande picada
 1 dente de alho picado
 1 tablete de caldo de galinha
 salsinha
 sal
 azeite
 1 lata de creme de leite
 1 cenoura ralada
 1 lata de milho
 azeitonas picadas
 champignon picado
 1/2 pote de maionese
 1/2 pote de maionese
 batata palha</t>
  </si>
  <si>
    <t>Cozinhe os peitos de frango com água, sal e o caldo de galinha na panela de pressão por 30 minutos.
 Escorra a água e desfie todo o frango.
 Em uma panela, refogue o azeite, a cebola, o alho e o tomate.
 Acrescente o frango, corrija o sal se necessário, mexa por alguns minutos e desligue o fogo.
 Coloque o milho, as azeitonas, o champignon, o creme de leite e 1/2 pote de maionese.
 Retire as cascas dos pães e reserve.
 Forre com papel-alumínio uma forma ou um refratário e forre a primeira camada de pão de forma.
 Despeje um pouco de maionese, acrescente metade do recheio e metade da cenoura ralada.
 Coloque a segunda camada de pão de forma e repita o processo até preencher todo o refratário.
 Leve à geladeira por 30 minutos.
 Após o tempo determinado, retire da geladeira e desenforme.
 Passe a maionese restante em volta do bolo e cubra com a batata palha.</t>
  </si>
  <si>
    <t>https://www.tudogostoso.com.br/receita/74231-bolo-salgado-de-pao-de-forma-e-frango.html</t>
  </si>
  <si>
    <t>Churros</t>
  </si>
  <si>
    <t>1 e 1/2 xícara (chá) de leite
 1/2 xícara (chá) de água
 2 colheres (sopa) de margarina ou manteiga
 2 xícaras (chá) de farinha de trigo
 sal a gosto
 açúcar a gosto
 canela a gosto</t>
  </si>
  <si>
    <t>Em uma panela, adicione o leite, a água, a manteiga e o sal.
 Quando o leite ferver, adicione a farinha de trigo e mexa rápido até a massa soltar do fundo da panela.
 Coloque a massa em um saco de confeiteiro com o bico pitanga, depois faça tirinhas com a massa e frite.
 Misture a canela e o açúcar, depois passe nos churros fritos.</t>
  </si>
  <si>
    <t>https://www.tudogostoso.com.br/receita/37290-churros.html</t>
  </si>
  <si>
    <t>Pavê de chocolate</t>
  </si>
  <si>
    <t>1 pacote de bolacha maisena
 1/2 copo de leite
 1 colher (sobremesa) de chocolate em pó
 1 lata de leite condensado
 1 lata de leite de vaca (use a medida da lata de leite condensado)
 1 colher (sobremesa) de amido de milho
 2 gemas
 1 lata de leite condensado
 1 lata de leite de vaca (a medida da lata de leite condensado)
 1 colher (sobremesa) de amido de milho
 2 gemas
 4 colheres de chocolate em pó
 4 claras
 4 colheres de açúcar
 1 lata de creme de leite sem soro</t>
  </si>
  <si>
    <t>Em uma tigela, misture o leite e o chocolate em pó até que esteja completamente dissolvido.
 Molhe as bolachas no leite e reserve.
 Em uma panela, leve todos os ingredientes ao fogo médio e misture até obter uma consistência grossa e cremosa.
 Repita o processo feito no creme branco.
 Bata as claras em neve com o açúcar até obter um creme consistente, adicione o creme de leite e misture delicadamente.
 Em um refratário grande, despeje o creme branco, metade das bolachas, creme de chocolate, bolachas e claras em neve.
 Repita o processo até preencher todo o refratário e leve à geladeira por 40 minutos.</t>
  </si>
  <si>
    <t>https://www.tudogostoso.com.br/receita/15939-pave-de-chocolate.html</t>
  </si>
  <si>
    <t>Molho branco simples</t>
  </si>
  <si>
    <t>2 xícaras de leite frio
 2 colheres (sopa) de manteiga ou margarina
 2 dentes de alho picados
 1/2 cebola média picada
 2 colheres (sopa) de farinha de trigo (ou maisena)
 1 tablete de caldo de legumes
 sal a gosto</t>
  </si>
  <si>
    <t>Dissolva a farinha de trigo em 1/2 xícara de leite e reserve.
 Em uma panela, doure o alho e a cebola na margarina.
 Adicione o leite com a farinha, mexa um pouco e acrescente o restante do leite.
 Após fervura, adicione o caldo de legumes.
 Mexa, constantemente, até ficar cremoso.</t>
  </si>
  <si>
    <t>https://www.tudogostoso.com.br/receita/44199-molho-branco-simples.html</t>
  </si>
  <si>
    <t>1 lata de leite condensado
 1 colher (chá) de manteiga ou margarina
 1 lata de creme de leite gelado
 3 claras em neve
 4 colheres de achocolatado em pó</t>
  </si>
  <si>
    <t>Leve ao fogo o leite condensado, a manteiga e o achocolatado, mexendo sem parar até que a mistura solte do fundo da panela.
 Reserve e deixa esfriar.
 Misture o creme de leite e as claras em neve até obter uma mistura homogênea.
 Despeje a massa em um refratário e leve ao congelador por aproximadamente 50 minutos.
 Sirva bem gelado.</t>
  </si>
  <si>
    <t>https://www.tudogostoso.com.br/receita/1117-mousse-de-chocolate.html</t>
  </si>
  <si>
    <t>Top 50</t>
  </si>
  <si>
    <t>Top 100</t>
  </si>
  <si>
    <t>Ingridient</t>
  </si>
  <si>
    <t>Quantity</t>
  </si>
  <si>
    <t>leite</t>
  </si>
  <si>
    <t>açúcar</t>
  </si>
  <si>
    <t>ovo</t>
  </si>
  <si>
    <t>farinha de trigo</t>
  </si>
  <si>
    <t>fermento</t>
  </si>
  <si>
    <t>óleo</t>
  </si>
  <si>
    <t>sal</t>
  </si>
  <si>
    <t>chocolate</t>
  </si>
  <si>
    <t>creme de leite</t>
  </si>
  <si>
    <t>margarina</t>
  </si>
  <si>
    <t>queijo</t>
  </si>
  <si>
    <t>leite condensado</t>
  </si>
  <si>
    <t>cebola</t>
  </si>
  <si>
    <t>manteiga</t>
  </si>
  <si>
    <t>água</t>
  </si>
  <si>
    <t>milho</t>
  </si>
  <si>
    <t>alho</t>
  </si>
  <si>
    <t>frango</t>
  </si>
  <si>
    <t>molho de tomate</t>
  </si>
  <si>
    <t>tomate</t>
  </si>
  <si>
    <t>amido de milho</t>
  </si>
  <si>
    <t>coco ralado</t>
  </si>
  <si>
    <t>orégano</t>
  </si>
  <si>
    <t>leite de coco</t>
  </si>
  <si>
    <t>fubá</t>
  </si>
  <si>
    <t>azeitona</t>
  </si>
  <si>
    <t>canela</t>
  </si>
  <si>
    <t>azeite</t>
  </si>
  <si>
    <t>pimenta</t>
  </si>
  <si>
    <t>caldo de galinha</t>
  </si>
  <si>
    <t>carne</t>
  </si>
  <si>
    <t>batata palha</t>
  </si>
  <si>
    <t>coco</t>
  </si>
  <si>
    <t>limão</t>
  </si>
  <si>
    <t>presunto</t>
  </si>
  <si>
    <t>ervilha</t>
  </si>
  <si>
    <t>cheiro verde</t>
  </si>
  <si>
    <t>banana</t>
  </si>
  <si>
    <t>pimentão</t>
  </si>
  <si>
    <t>maracujá</t>
  </si>
  <si>
    <t>batata</t>
  </si>
  <si>
    <t>cenoura</t>
  </si>
  <si>
    <t>laranja</t>
  </si>
  <si>
    <t>extrato de tomate</t>
  </si>
  <si>
    <t>cogumelo</t>
  </si>
  <si>
    <t>iogurte</t>
  </si>
  <si>
    <t>arroz</t>
  </si>
  <si>
    <t>suco em pó</t>
  </si>
  <si>
    <t>caldo de carne</t>
  </si>
  <si>
    <t>milho para pipoca</t>
  </si>
  <si>
    <t>maionese</t>
  </si>
  <si>
    <t>macarrão</t>
  </si>
  <si>
    <t>ketchup</t>
  </si>
  <si>
    <t>mostarda</t>
  </si>
  <si>
    <t>essência de baunilha</t>
  </si>
  <si>
    <t>palmito</t>
  </si>
  <si>
    <t>gelatina</t>
  </si>
  <si>
    <t>caldo de legume</t>
  </si>
  <si>
    <t>molho shoyu</t>
  </si>
  <si>
    <t>maisena</t>
  </si>
  <si>
    <t>pão</t>
  </si>
  <si>
    <t>massa de lasanha</t>
  </si>
  <si>
    <t>biscoito</t>
  </si>
  <si>
    <t>polvilho</t>
  </si>
  <si>
    <t>flocão de milho</t>
  </si>
  <si>
    <t>pinga</t>
  </si>
  <si>
    <t>farinha de rosca</t>
  </si>
  <si>
    <t>caldo legume</t>
  </si>
  <si>
    <t>couve manteiga</t>
  </si>
  <si>
    <t>porco</t>
  </si>
  <si>
    <t>maçã</t>
  </si>
  <si>
    <t>goiabada</t>
  </si>
  <si>
    <t>erva-doce</t>
  </si>
  <si>
    <t>amendoim</t>
  </si>
  <si>
    <t>açúcar mascavo</t>
  </si>
  <si>
    <t>camarão</t>
  </si>
  <si>
    <t>mandioca</t>
  </si>
  <si>
    <t>folha de louro</t>
  </si>
  <si>
    <t>azeite dendê</t>
  </si>
  <si>
    <t>atum</t>
  </si>
  <si>
    <t>vinagre</t>
  </si>
  <si>
    <t>morango</t>
  </si>
  <si>
    <t>brócolis</t>
  </si>
  <si>
    <t>couve-flor</t>
  </si>
  <si>
    <t>acelga</t>
  </si>
  <si>
    <t>Id</t>
  </si>
  <si>
    <t>Link</t>
  </si>
  <si>
    <t>title</t>
  </si>
  <si>
    <t>ingredients</t>
  </si>
  <si>
    <t>preparation</t>
  </si>
  <si>
    <t>Carrot cake</t>
  </si>
  <si>
    <t>1/2 cup (tea) of oil
3 medium grated carrots
4 eggs
2 cups (tea) of sugar
2 and 1/2 cups (tea) of wheat flour
1 tablespoon of baking powder
1 tablespoon of butter
3 tablespoons of cocoa powder
1 cup (tea) of sugar
1 cup (tea) of milk</t>
  </si>
  <si>
    <t>In a blender, add the carrot, eggs, and oil, then blend.
Add the sugar and blend again for 5 minutes.
In a bowl or stand mixer, add the flour and then mix again.
Add the baking powder and mix slowly with a spoon.
Bake in a preheated oven at 180°C (350°F) for approximately 40 minutes.
Pour the butter, cocoa powder, sugar, and milk into a bowl, then mix.
Bring the mixture to a boil and continue stirring until it reaches a creamy consistency, then pour the syrup over the cake.</t>
  </si>
  <si>
    <t>Total unique ingredients</t>
  </si>
  <si>
    <t>Ingredient</t>
  </si>
  <si>
    <t xml:space="preserve"> </t>
  </si>
  <si>
    <t>milk</t>
  </si>
  <si>
    <t>sugar</t>
  </si>
  <si>
    <t>egg</t>
  </si>
  <si>
    <t>wheat flour</t>
  </si>
  <si>
    <t>yeast</t>
  </si>
  <si>
    <t>oil</t>
  </si>
  <si>
    <t>salt</t>
  </si>
  <si>
    <t>milk cream</t>
  </si>
  <si>
    <t>Margarine</t>
  </si>
  <si>
    <t>cheese</t>
  </si>
  <si>
    <t>condensed milk</t>
  </si>
  <si>
    <t>onion</t>
  </si>
  <si>
    <t>butter</t>
  </si>
  <si>
    <t>water</t>
  </si>
  <si>
    <t>corn</t>
  </si>
  <si>
    <t>garlic</t>
  </si>
  <si>
    <t>chicken</t>
  </si>
  <si>
    <t>tomato sauce</t>
  </si>
  <si>
    <t>tomato</t>
  </si>
  <si>
    <t>pepper</t>
  </si>
  <si>
    <t>grated coconut</t>
  </si>
  <si>
    <t>corn starch</t>
  </si>
  <si>
    <t>oregano</t>
  </si>
  <si>
    <t>coconut milk</t>
  </si>
  <si>
    <t>Corn meal</t>
  </si>
  <si>
    <t>olive</t>
  </si>
  <si>
    <t>cinnamon</t>
  </si>
  <si>
    <t>chicken broth</t>
  </si>
  <si>
    <t>meat</t>
  </si>
  <si>
    <t>coconut</t>
  </si>
  <si>
    <t>shoestring potatoes</t>
  </si>
  <si>
    <t>lemon</t>
  </si>
  <si>
    <t>ham</t>
  </si>
  <si>
    <t>green scent</t>
  </si>
  <si>
    <t>pea</t>
  </si>
  <si>
    <t>potato</t>
  </si>
  <si>
    <t>passion fruit</t>
  </si>
  <si>
    <t>carrot</t>
  </si>
  <si>
    <t>orange</t>
  </si>
  <si>
    <t>mushroom</t>
  </si>
  <si>
    <t>tomato extract</t>
  </si>
  <si>
    <t>rice</t>
  </si>
  <si>
    <t>yogurt</t>
  </si>
  <si>
    <t>broth</t>
  </si>
  <si>
    <t>powdered juice</t>
  </si>
  <si>
    <t>popcorn</t>
  </si>
  <si>
    <t>noodle</t>
  </si>
  <si>
    <t>mayonnaise</t>
  </si>
  <si>
    <t>mustard</t>
  </si>
  <si>
    <t>vanilla extract</t>
  </si>
  <si>
    <t>gelatin</t>
  </si>
  <si>
    <t>palm heart</t>
  </si>
  <si>
    <t>soy sauce</t>
  </si>
  <si>
    <t>vegetable broth</t>
  </si>
  <si>
    <t>cornstarch</t>
  </si>
  <si>
    <t>bread</t>
  </si>
  <si>
    <t>lasagna dough</t>
  </si>
  <si>
    <t>cookie</t>
  </si>
  <si>
    <t>starch</t>
  </si>
  <si>
    <t>corn flakes</t>
  </si>
  <si>
    <t>breadcrumbs</t>
  </si>
  <si>
    <t>Total</t>
  </si>
  <si>
    <t>kale</t>
  </si>
  <si>
    <t>pork</t>
  </si>
  <si>
    <t>apple</t>
  </si>
  <si>
    <t>Guava paste</t>
  </si>
  <si>
    <t>anise</t>
  </si>
  <si>
    <t>peanut</t>
  </si>
  <si>
    <t>brown sugar</t>
  </si>
  <si>
    <t>shrimp</t>
  </si>
  <si>
    <t>cassava</t>
  </si>
  <si>
    <t>bay leaf</t>
  </si>
  <si>
    <t>palm oil</t>
  </si>
  <si>
    <t>tuna</t>
  </si>
  <si>
    <t>vinegar</t>
  </si>
  <si>
    <t>strawberry</t>
  </si>
  <si>
    <t>broccoli</t>
  </si>
  <si>
    <t>cauliflower</t>
  </si>
  <si>
    <t>chard</t>
  </si>
  <si>
    <t>Everyday black beans</t>
  </si>
  <si>
    <t>Black bean pick-me-up</t>
  </si>
  <si>
    <t>450g</t>
  </si>
  <si>
    <t>Bean pureé</t>
  </si>
  <si>
    <t>500g</t>
  </si>
  <si>
    <t>porcentage</t>
  </si>
  <si>
    <t xml:space="preserve">Black beans </t>
  </si>
  <si>
    <t>350g</t>
  </si>
  <si>
    <t>106g</t>
  </si>
  <si>
    <t>118g</t>
  </si>
  <si>
    <t>Water</t>
  </si>
  <si>
    <t>1 litre</t>
  </si>
  <si>
    <t>304ml</t>
  </si>
  <si>
    <t>337ml</t>
  </si>
  <si>
    <t>vegetable oil</t>
  </si>
  <si>
    <t>45ml</t>
  </si>
  <si>
    <t>13ml</t>
  </si>
  <si>
    <t>14ml</t>
  </si>
  <si>
    <t>clove garlic</t>
  </si>
  <si>
    <t>5ml</t>
  </si>
  <si>
    <t>1.7ml</t>
  </si>
  <si>
    <t>Salted cod rice</t>
  </si>
  <si>
    <t>1Kg</t>
  </si>
  <si>
    <t>Octopus and brocoli rice</t>
  </si>
  <si>
    <t xml:space="preserve">white rice
</t>
  </si>
  <si>
    <t>335g</t>
  </si>
  <si>
    <t>117g</t>
  </si>
  <si>
    <t>15ml</t>
  </si>
  <si>
    <t>600ml</t>
  </si>
  <si>
    <t>574ml</t>
  </si>
  <si>
    <t>200ml</t>
  </si>
  <si>
    <t>1.68ml</t>
  </si>
  <si>
    <t>FC</t>
  </si>
  <si>
    <t>Cold mashed potatoes</t>
  </si>
  <si>
    <t>400g</t>
  </si>
  <si>
    <t>necessário</t>
  </si>
  <si>
    <t>TFCB</t>
  </si>
  <si>
    <t>mudar glove garlic para clove garlic</t>
  </si>
  <si>
    <t>verificar o açucar</t>
  </si>
  <si>
    <t xml:space="preserve">verificar egg wash e mudar </t>
  </si>
  <si>
    <t>verificar se não tem nenhuma clara que eu deixei como egg</t>
  </si>
  <si>
    <t>Type A</t>
  </si>
  <si>
    <t>Type B</t>
  </si>
  <si>
    <t>Type C</t>
  </si>
  <si>
    <t>Original class</t>
  </si>
  <si>
    <t>Title (Eng)</t>
  </si>
  <si>
    <t>Title(Pt)</t>
  </si>
  <si>
    <t>Ingredients</t>
  </si>
  <si>
    <t>units</t>
  </si>
  <si>
    <t>Servings</t>
  </si>
  <si>
    <t>Servings Avg</t>
  </si>
  <si>
    <t>verificar farinha (se esta tudo plain flour)</t>
  </si>
  <si>
    <t>colocar média servings</t>
  </si>
  <si>
    <t>Meat</t>
  </si>
  <si>
    <t xml:space="preserve">Sea food </t>
  </si>
  <si>
    <t>Side</t>
  </si>
  <si>
    <t>Sreet food and snacks</t>
  </si>
  <si>
    <t>Salt cod fritters</t>
  </si>
  <si>
    <t>Bolinho de bacalhau</t>
  </si>
  <si>
    <t>salt cod 
cold mashed potatoes
freash parsley
eggs
olive oil
dry breadcrumbs
ground black pepper
vegetable oil</t>
  </si>
  <si>
    <t>450g
400g
15ml
3 
15ml
115g
not specified 
not specified</t>
  </si>
  <si>
    <t>Beef</t>
  </si>
  <si>
    <t>Lebanese meat fritters</t>
  </si>
  <si>
    <t>Kibe</t>
  </si>
  <si>
    <t>bulgur wheat
minced lamb
onion
fresh mint 
white pepper
nutmeg
ground cinnamon
salt
vegetable oil
vegetable oil
onion
minced beef
pine nuts
parsley
spring onions</t>
  </si>
  <si>
    <t>250g
1kg
1
115g
2.5-5ml
5ml
5ml
5ml
not specified
30 ml
1/2
400g
50g
30 ml
30 ml</t>
  </si>
  <si>
    <t>Beef jerky and casava pureé cottage pie</t>
  </si>
  <si>
    <t>Escondidinho de carne seca</t>
  </si>
  <si>
    <t>cassava root
butter
heavy cream
vegetable oil
onion
beef jerky
garlic clove
tomato
fresh parsley
cream cheese
cheddar or Gouda cheese
salt 
black pepper</t>
  </si>
  <si>
    <t>500g 
15 ml
200 ml
30 ml
1/2
350g
2
1
15g
225g
115g
not specified
not specified</t>
  </si>
  <si>
    <t>Pastel pastries with meat filing</t>
  </si>
  <si>
    <t>Pastel de feira de carne</t>
  </si>
  <si>
    <t>plain flour
salt
lard or white cooking fat
cachaça or vodka
white vinegar
warm water
onion
minced beef
clove garlic
green olives
parsley
spring onions
black pepper</t>
  </si>
  <si>
    <t>260g
5ml
30ml
5ml
15ml
120ml
1/4
400g
2
40g
15ml
15ml
not specified</t>
  </si>
  <si>
    <t>No meat</t>
  </si>
  <si>
    <t>Vegetarian</t>
  </si>
  <si>
    <t>deep-fried pastry with cheese filling</t>
  </si>
  <si>
    <t>Pastel de feira de queijo</t>
  </si>
  <si>
    <t>Plain flour
salt
lard or white cooking fat
cachaça or vodka
white vinegar
warm water
mozzarella</t>
  </si>
  <si>
    <t>260g
5ml
30ml
5ml
15ml
120ml
200g</t>
  </si>
  <si>
    <t>Vegan</t>
  </si>
  <si>
    <t>Tapioca pancakes</t>
  </si>
  <si>
    <t>Tapioca</t>
  </si>
  <si>
    <t>cassava starch
water</t>
  </si>
  <si>
    <t>450g 
285 ml</t>
  </si>
  <si>
    <t>Black-eyed bean fritters with prawn sauce</t>
  </si>
  <si>
    <t>Acarajé</t>
  </si>
  <si>
    <t>black-eyed beans
onion
salt
black pepper
palm oil
vegetable oil
olive oil
onion
clove garlic
dried shrimp
green chillies
tomato
shrimp
cilantro
salt 
black pepper</t>
  </si>
  <si>
    <t>300g
1/4
not specified
not specified
not specifed
not specified
30 ml
1/2
2
150g
2
400g
200g
25g
not specified
not specified</t>
  </si>
  <si>
    <t>Pork</t>
  </si>
  <si>
    <t>Caldinho de feijão</t>
  </si>
  <si>
    <t>vegetable oil
bacon or prok scratchings
everyday black beans 
water
salt 
black pepper
olive oil
parsley</t>
  </si>
  <si>
    <t>15ml
225g
450g
250ml
not specified
not specified
not specified
30ml</t>
  </si>
  <si>
    <t>Green broth</t>
  </si>
  <si>
    <t>olive oil
onion
clove garlic
chorizo
potatoes
water
spring greens
salt 
black pepper</t>
  </si>
  <si>
    <t>60ml
1
2
200g
675g
2litres
350g
not specified
not specified</t>
  </si>
  <si>
    <t>Deep-fried chunky cassava chips</t>
  </si>
  <si>
    <t>Aipin frito</t>
  </si>
  <si>
    <t>cassava root
onion
whole clove
salt
vegetable oil</t>
  </si>
  <si>
    <t>675g
1
24
30ml
not specified</t>
  </si>
  <si>
    <t>Coconut and tapioca cake</t>
  </si>
  <si>
    <t>Cuscuz de tapioca com coco</t>
  </si>
  <si>
    <t>tapioca
salt
water
milk
coconut milk
sugar
grated coconut</t>
  </si>
  <si>
    <t>250g
2.5ml
400ml
120ml
100ml
175g
200g</t>
  </si>
  <si>
    <t>Dessert</t>
  </si>
  <si>
    <t>Açaí in a bowl</t>
  </si>
  <si>
    <t>Açaí na tijela</t>
  </si>
  <si>
    <t>açai pulp
guaraná syrup or honey
water
ice</t>
  </si>
  <si>
    <t>250ml
100ml
120ml
250ml</t>
  </si>
  <si>
    <t>Whole lime limeade</t>
  </si>
  <si>
    <t>Limonada suiça</t>
  </si>
  <si>
    <t>lime
sugar
water
ice cubes</t>
  </si>
  <si>
    <t>1 1/2
30ml
500ml
250ml</t>
  </si>
  <si>
    <t>Pineapple and mint smoothie</t>
  </si>
  <si>
    <t>Abacaxi com menta</t>
  </si>
  <si>
    <t>pineapple
sugar
water
mint
ice cubes</t>
  </si>
  <si>
    <t>1
30ml
500ml
25g
250ml</t>
  </si>
  <si>
    <t>Lime and cachaça cocktail</t>
  </si>
  <si>
    <t>Caipirinha</t>
  </si>
  <si>
    <t>lime
sugar
ice
cachaça</t>
  </si>
  <si>
    <t>1/2
30ml
250ml
50ml</t>
  </si>
  <si>
    <t>coconut cocktail</t>
  </si>
  <si>
    <t>Batidinha de côco</t>
  </si>
  <si>
    <t>coconut milk
condensed milk
grated coconut
cachaça</t>
  </si>
  <si>
    <t>400ml
350ml
115g
300ml</t>
  </si>
  <si>
    <t>Passion fruit cocktail</t>
  </si>
  <si>
    <t>Batitinha de maracujá</t>
  </si>
  <si>
    <t>passion fruit
cachaça
water
sugar
passion fruit pulp</t>
  </si>
  <si>
    <t>400ml
300ml
300ml
225g
1</t>
  </si>
  <si>
    <t>Cashew apple fruit cocktail</t>
  </si>
  <si>
    <t>Batidinha de caju</t>
  </si>
  <si>
    <t>cajú
cachaça
water
sugar</t>
  </si>
  <si>
    <t>400ml
300ml
300ml
200g</t>
  </si>
  <si>
    <t>Fish and Seafood</t>
  </si>
  <si>
    <t>Stuffed baked crabs</t>
  </si>
  <si>
    <t>Casquinha de siri</t>
  </si>
  <si>
    <t>bread
milk
olive oil
shallot
clove garlic
tomato
white wine
butter
crab meat
cilantro
parsley
nutmeg
palm oil
heavy cream
breadcrumbs
parmesan cheese</t>
  </si>
  <si>
    <t>2 slices
75ml
15ml
1
1
1
90ml
45ml
450g
15g
5ml
1.5ml
2.5ml
15ml
65g
40g</t>
  </si>
  <si>
    <t>Main</t>
  </si>
  <si>
    <t>Polvo com arroz de brócolis</t>
  </si>
  <si>
    <t>octopus tentacles
olive oil
onion
clove garlic
white peppercorns
tomato
white wine
broccoli
400 withe rice
parsley
salt</t>
  </si>
  <si>
    <t>600g
60ml
1/2 onion
5
5ml
1
250ml
350g
400g
20g
not specified</t>
  </si>
  <si>
    <t>Prawns in cassava sauce</t>
  </si>
  <si>
    <t>shirmp
lime
clove garlic
salt 
black pepper
cassava root
onion
clove
bay leaves
coconut milk
vegetbale oil
tomato
tomato paste
heavy cream
palm oil
cilantro</t>
  </si>
  <si>
    <t>800g
1
6
2.5-5ml
2.5-5ml
600g
1
6
2
300ml
60ml
6
15ml
45ml
30ml
25g</t>
  </si>
  <si>
    <t>Seafood and nut purée</t>
  </si>
  <si>
    <t>Vatapá</t>
  </si>
  <si>
    <t>french bread
milk
fish stock
fish fillets
shrimp
peanuts
roasted cashews
root ginger
nutmeg
lime
palm oil
coconut milk
ppepper sauce
salt
black pepper
shrimp
lime</t>
  </si>
  <si>
    <t>1/2 
500ml
750ml
450g
65g
75g
75g
2.5ml
1.5ml
30ml
15ml
200ml
5ml
not specified
not specified</t>
  </si>
  <si>
    <t>Fish stew in coconut milk</t>
  </si>
  <si>
    <t>Moqueca baiana</t>
  </si>
  <si>
    <t>vegetable oil
red pepper
green pepper
onion
red chilli pepper
clove garlic
tomato
tomato paste
spring onion
white fish fillets
shrimps
coconut milk
palm oil
salt 
black pepper
cilantro</t>
  </si>
  <si>
    <t>60ml
1
1
1
1
2
2
15ml
6
1kg
12
400ml
30ml
not specified
not specified
not specified</t>
  </si>
  <si>
    <t>Salt cod and potatoes</t>
  </si>
  <si>
    <t>Bacalhau á gome de Sá</t>
  </si>
  <si>
    <t>salt cod
potatoes
milk
bay leaf
olive oil
onions
clove garlic
black olives
white pepper
parsley
egg</t>
  </si>
  <si>
    <t>500g
500g
1litre
1
150ml
2
2
175g
Not specified
45ml
2</t>
  </si>
  <si>
    <t>Leão Veloso fish soup</t>
  </si>
  <si>
    <t>Sopa Leão veloso</t>
  </si>
  <si>
    <t>freash mussels
jumbo shrimp
white fish
parsley
cilantro
bay leaf
tomato
spring onions
coriander seeds
clove garlic
olive oil
white crab meat
lobster meat
salt
black pepper</t>
  </si>
  <si>
    <t>1kg
300g
1kg
25g
25g
1
400g
6
5ml
2
30ml
300g
300g
not specified
not specified</t>
  </si>
  <si>
    <t>Poultry</t>
  </si>
  <si>
    <t>Meat and poultry</t>
  </si>
  <si>
    <t>Chicken and prawn stew</t>
  </si>
  <si>
    <t>Xinxin de Galinha</t>
  </si>
  <si>
    <t>limes
clove garlic
vegetable oil
chicken
jumbo shrimp
onion
green pepper
toamto
chicken stock
dried shrimp
root ginger
cashew nuts
peanuts
palm oil
coconut milk
cilantro
salt 
black pepper</t>
  </si>
  <si>
    <t>3
4
60ml
1.6kg
350g
1
1
4
450ml
40g
40g
25g
25g
30ml
400ml
25g
not specifed
not scpecified</t>
  </si>
  <si>
    <t>Meat and poltry</t>
  </si>
  <si>
    <t>Chicken and palm hearts pie</t>
  </si>
  <si>
    <t>Pastelão de frango com palmito</t>
  </si>
  <si>
    <t>chicken
clove garlic
vegetable oil
onion
tomato
palm hearts
parsley
spring onions
salt 
black pepper
plain flour
salt
butter or lard
egg yolks
egg yolk
olive oil</t>
  </si>
  <si>
    <t>700g
4
60ml
1
4
300g
30ml
4
not specified
not specified
850g
10ml
300g
2
1
5ml</t>
  </si>
  <si>
    <t>Oxtail stew with watercress</t>
  </si>
  <si>
    <t>Rabada com agrião</t>
  </si>
  <si>
    <t>onion
clove garlic
olive oil
white wine
oxtails
vegetable oil
tomato
bay leaves
water
cornflour
watercress
salt 
black pepper</t>
  </si>
  <si>
    <t>1
4
45ml
250ml
1.5Kg
30ml
2
2
250ml
5ml
2
not specified
not specified</t>
  </si>
  <si>
    <t>Fillet steak with crunchy garlic topping</t>
  </si>
  <si>
    <t>Filé Osvaldo Aranha</t>
  </si>
  <si>
    <t>vegetable oil
fillet steak
clove garlic
butter
salt
black pepper</t>
  </si>
  <si>
    <t>15ml
400g
3
75g
not specified
not specified</t>
  </si>
  <si>
    <t>Beef stew</t>
  </si>
  <si>
    <t>Picadinho à carioca</t>
  </si>
  <si>
    <t>fillet steak
clove garlic
vegetable oil
bacon
onion
beef stock
white wine vinegar
egg
cornflour
parsley
salt
black pepper</t>
  </si>
  <si>
    <t>400g
2
30ml
125g
1
400ml
30ml
2
5ml
15ml
not specified
not specified</t>
  </si>
  <si>
    <t xml:space="preserve">Beef jerky and pumpkin </t>
  </si>
  <si>
    <t>Jabá com jerimum</t>
  </si>
  <si>
    <t>beef jerkey
pumpkin
vegetable oil
onion
clove garlic
parsley
black pepper</t>
  </si>
  <si>
    <t>500g
1kg
30ml
1
2
25g
not specified</t>
  </si>
  <si>
    <t>Beef jerky risotto</t>
  </si>
  <si>
    <t>arroz carreteiro</t>
  </si>
  <si>
    <t>beef jerkey
vegetable oil
bacon lardons
onion
clove garlic
chorizo
white rice
red chilli
parsley
spring onions
black pepper</t>
  </si>
  <si>
    <t>500g
45ml
115g
1
3
65g
375g
1
30ml
2
not specified</t>
  </si>
  <si>
    <t>Grilled rump steak</t>
  </si>
  <si>
    <t>Picanha fatiada</t>
  </si>
  <si>
    <t>picanha
coarse sea salt</t>
  </si>
  <si>
    <t>1.25Kg
30ml</t>
  </si>
  <si>
    <t>Pork chops, Minas-style</t>
  </si>
  <si>
    <t>Costela de porco à mineira</t>
  </si>
  <si>
    <t>pork chop
lime
clove garlic
olive oil
salt
black pepper
parsley
lime</t>
  </si>
  <si>
    <t>1
1/2
1
5ml
not specified
not specified
10ml
10ml</t>
  </si>
  <si>
    <t>Black bean and pork stew</t>
  </si>
  <si>
    <t>Feijoada</t>
  </si>
  <si>
    <t>pork ribs
beef jerkey
pork belly
chorizo
black beans
bay leaves
vegetable oil
onion
clove garlic
salt
orange
bacon</t>
  </si>
  <si>
    <t>300g
300g
300g
400g
1Kg
3
45ml
1
5
not specified
6
not specifed</t>
  </si>
  <si>
    <t>Side dishes</t>
  </si>
  <si>
    <t>White rice Brazilian-style</t>
  </si>
  <si>
    <t>Arroz branco</t>
  </si>
  <si>
    <t>white rice
vegetable oil
onion
clove garlic
water
salt</t>
  </si>
  <si>
    <t>350g
15ml
1
1
600ml
5ml</t>
  </si>
  <si>
    <t>Tutú à mineira</t>
  </si>
  <si>
    <t>everyday black beans
water
cassava flour
parsley
spring onions
olive oil
salt
parsley</t>
  </si>
  <si>
    <t>500g
250ml
125g
30ml
3
15ml
not specified
not specified</t>
  </si>
  <si>
    <t>Feijão simples</t>
  </si>
  <si>
    <t>black beans
water
vegetable oil
onion
clove garlic
bay leaf
salt</t>
  </si>
  <si>
    <t>350g
1litre
45ml
1
3
1
5ml</t>
  </si>
  <si>
    <t>Deep-fried polenta</t>
  </si>
  <si>
    <t>Polenta frita</t>
  </si>
  <si>
    <t>water
polenta
chicken stock
olive oil
plain flour
vegetable oil
salt</t>
  </si>
  <si>
    <t>1litre
325g
250ml
30ml
30ml
not specified
not specified</t>
  </si>
  <si>
    <t>Rice flour coconut sauce</t>
  </si>
  <si>
    <t>Acaçá</t>
  </si>
  <si>
    <t>olive oil
coconut milk
milk
rice flour
heavy cream
salt
black pepper</t>
  </si>
  <si>
    <t>30ml
400ml
250ml
300g
75ml
not specified
not specified</t>
  </si>
  <si>
    <t>Brazlian-style shredded greens</t>
  </si>
  <si>
    <t>Couve a mineira</t>
  </si>
  <si>
    <t>collards
olive oil
clove garlic
salt 
black pepper</t>
  </si>
  <si>
    <t>20
45ml
4
not specified
not specified</t>
  </si>
  <si>
    <t>Deep-fried straw potatoes</t>
  </si>
  <si>
    <t>Batata palha</t>
  </si>
  <si>
    <t>potatoes
vegetable oil</t>
  </si>
  <si>
    <t>4
not specifed</t>
  </si>
  <si>
    <t>Cassava flour egg and banana toasted in butter</t>
  </si>
  <si>
    <t>FArofa de ovo e banana</t>
  </si>
  <si>
    <t>vegetable oil
onion
butter
banana
egg
cassava flour
salt
parsley</t>
  </si>
  <si>
    <t>30ml
1
115g
2
1
400g
not specifed
30ml</t>
  </si>
  <si>
    <t>Golden Farofa</t>
  </si>
  <si>
    <t>farofa amarela</t>
  </si>
  <si>
    <t>vegetable oil
onion
butter
palm oil
cassava flour
salt
egg
cilantro</t>
  </si>
  <si>
    <t>30ml
1
115g
30ml
500g
not specified
1
not specified</t>
  </si>
  <si>
    <t>Sautéed chayote</t>
  </si>
  <si>
    <t>Xuxu refogado</t>
  </si>
  <si>
    <t>chayote
vegetable oil
onion
butter
parsley
salt
black pepper</t>
  </si>
  <si>
    <t>3
30ml
1
15ml
25g
not specified
not specified</t>
  </si>
  <si>
    <t>Brazilian-style salsa</t>
  </si>
  <si>
    <t>molho à companha</t>
  </si>
  <si>
    <t>green pepper
yellow pepper
tomato
onion
white wine vinegar
olive oil
parsley
sugar
salt
black pepper</t>
  </si>
  <si>
    <t>1
1
3
1
100ml
200ml
25g
15ml
2.5ml
2.5ml</t>
  </si>
  <si>
    <t>Palm heart salad</t>
  </si>
  <si>
    <t>Salada de palmito</t>
  </si>
  <si>
    <t>palm heart stalks
tomato
onion
olive oil
salt
black pepper
watercress</t>
  </si>
  <si>
    <t>5
2
1
30ml
not specified
not specified
not specified</t>
  </si>
  <si>
    <t>Desserts and Baking</t>
  </si>
  <si>
    <t>Coconut and egg yolk puddings</t>
  </si>
  <si>
    <t>Quindin</t>
  </si>
  <si>
    <t>egg
sugar
grated coconut
butter</t>
  </si>
  <si>
    <t>12
225g
150g
75g</t>
  </si>
  <si>
    <t>Coconut milk and prune pudding</t>
  </si>
  <si>
    <t>Manjar</t>
  </si>
  <si>
    <t>cornflour
milk
condensed milk
coconut milk
sugar
sugar
water
red wine
prunes
clove
stick cinnamon</t>
  </si>
  <si>
    <t>240ml
1litre
500ml
800ml
60ml
350g
250ml
120ml
300g
3
1</t>
  </si>
  <si>
    <t>Creamy caramel custard</t>
  </si>
  <si>
    <t>sugar
water
condensed milk
milk
egg</t>
  </si>
  <si>
    <t>450g
30ml
400ml
750ml
3</t>
  </si>
  <si>
    <t>Egg puffs in sugar syrup</t>
  </si>
  <si>
    <t>Papo de anjo</t>
  </si>
  <si>
    <t>water
sugar
clove
cinammon stick
butter
egg
yolk</t>
  </si>
  <si>
    <t>250ml
450
6
1
not specified
1
11</t>
  </si>
  <si>
    <t>Banana meringue pie</t>
  </si>
  <si>
    <t>Torta de banana</t>
  </si>
  <si>
    <t>sugar
water
banana
cornflour
milk
condensed milk
yolk
vanila extract
butter
egg white
sugar
lime zest</t>
  </si>
  <si>
    <t>565g
120ml
6
45ml
600ml
400ml
4
5ml
5ml
4
225g
5ml</t>
  </si>
  <si>
    <t>Avocado cream</t>
  </si>
  <si>
    <t>creme de abacate</t>
  </si>
  <si>
    <t>avocado
sugar
lime juice
milk</t>
  </si>
  <si>
    <t>2
60ml
30ml
250ml</t>
  </si>
  <si>
    <t>Papaya cream</t>
  </si>
  <si>
    <t>creme de papaya</t>
  </si>
  <si>
    <t>papaya
vanilla ice cream
milk
cassis</t>
  </si>
  <si>
    <t>2
4 scoops
250ml
30ml</t>
  </si>
  <si>
    <t>Guava Souflé</t>
  </si>
  <si>
    <t>Soufllé de goiabada</t>
  </si>
  <si>
    <t>goiabada
water
egg
cream cheese
milk
mint</t>
  </si>
  <si>
    <t>300g
30ml
6
300g
250ml
not specified</t>
  </si>
  <si>
    <t>Meringue cake</t>
  </si>
  <si>
    <t>Pudim de clara</t>
  </si>
  <si>
    <t>sugar
water
egg white
sugar
lime zest
vanilla extract
cream of tartar</t>
  </si>
  <si>
    <t>225g
120ml
6
180ml
2.5ml
2.5ml
2.5ml</t>
  </si>
  <si>
    <t>Hominy corn porridge</t>
  </si>
  <si>
    <t>Mugunzá</t>
  </si>
  <si>
    <t>hominy corn
sugar
coconut milk
salt
clove
stick cinnamon
milk</t>
  </si>
  <si>
    <t>250g
115g
400ml
5ml
4
2
250ml</t>
  </si>
  <si>
    <t>Maize cake</t>
  </si>
  <si>
    <t>butter
sugar
egg
fubá
queijo curado or parmesan cheese
anissed
self-rising flour</t>
  </si>
  <si>
    <t>225g
225g
4
125g
45ml
5ml
125g</t>
  </si>
  <si>
    <t>Rolled sponge cake with guava filling</t>
  </si>
  <si>
    <t>Rocombole de goiabada</t>
  </si>
  <si>
    <t>egg
sugar
self-rising flour
goiabada
water
sugar</t>
  </si>
  <si>
    <t>8
80g
75g
250g
60ml
45ml</t>
  </si>
  <si>
    <t>Potato buns</t>
  </si>
  <si>
    <t>pão de batata</t>
  </si>
  <si>
    <t>dried yeast
sugar
salt
milk
vegetable oil
potato
1
plain flour</t>
  </si>
  <si>
    <t>15g
15ml
15ml
150ml
30ml
350g
1
400g</t>
  </si>
  <si>
    <t>Cheesy dough balls</t>
  </si>
  <si>
    <t>cassava starch
salt
milk
vegetable oil
cheese
parmesan cheese
egg</t>
  </si>
  <si>
    <t>500g
20ml
450ml
250ml
225g
100g
4</t>
  </si>
  <si>
    <t>Cassava pie</t>
  </si>
  <si>
    <t>Bolo de aipim</t>
  </si>
  <si>
    <t>butter
sugar
egg
grated coconut
cassava root
milk
self-rising flour</t>
  </si>
  <si>
    <t>20g
450g
4
100g
300g
250ml
175g</t>
  </si>
  <si>
    <t>Peanut brittle</t>
  </si>
  <si>
    <t>Pé de moleque</t>
  </si>
  <si>
    <t>golden syrup
sugar
peanuts
baking soda
butter</t>
  </si>
  <si>
    <t>250ml
450g
350g
10ml
15ml</t>
  </si>
  <si>
    <t>Chocolate truffles</t>
  </si>
  <si>
    <t>condensed milk
butter
chocolate powder
chocolate sprinkles</t>
  </si>
  <si>
    <t>400g
15ml
45ml
100g</t>
  </si>
  <si>
    <t>25-30</t>
  </si>
  <si>
    <t>Coconut drops</t>
  </si>
  <si>
    <t>Beijinho de coco</t>
  </si>
  <si>
    <t>sugar
milk
butter
grated coconut
orange
orange rind
lime rind
yolk
vanilla extract
sugar
clove</t>
  </si>
  <si>
    <t>225g
120ml
7g
175g
120ml
5ml
2.5ml
1
2.5ml
not specified
not specified</t>
  </si>
  <si>
    <t xml:space="preserve">Main </t>
  </si>
  <si>
    <t>Sea food</t>
  </si>
  <si>
    <t>No Meat</t>
  </si>
  <si>
    <t>Type</t>
  </si>
  <si>
    <t>Seafood</t>
  </si>
  <si>
    <t>Label</t>
  </si>
  <si>
    <t>Parent</t>
  </si>
  <si>
    <t>Value</t>
  </si>
  <si>
    <t>Recipes</t>
  </si>
  <si>
    <t>Pork Main</t>
  </si>
  <si>
    <t>Pork Side</t>
  </si>
  <si>
    <t>Pork Dessert</t>
  </si>
  <si>
    <t xml:space="preserve">Beef Main </t>
  </si>
  <si>
    <t>Beef Side</t>
  </si>
  <si>
    <t>Beef Dessert</t>
  </si>
  <si>
    <t xml:space="preserve">Poultry Main </t>
  </si>
  <si>
    <t>Poultry Side</t>
  </si>
  <si>
    <t>Poultry Dessert</t>
  </si>
  <si>
    <t xml:space="preserve">Sea food Main </t>
  </si>
  <si>
    <t>Sea food Side</t>
  </si>
  <si>
    <t>Sea food Dessert</t>
  </si>
  <si>
    <t>Vegan Main</t>
  </si>
  <si>
    <t>Vegan Side</t>
  </si>
  <si>
    <t>Vegan Dessert</t>
  </si>
  <si>
    <t>Vegetarian Main</t>
  </si>
  <si>
    <t>Vegetarian Side</t>
  </si>
  <si>
    <t>Vegetarian Dessert</t>
  </si>
  <si>
    <t>ABHC</t>
  </si>
  <si>
    <t>Original Class</t>
  </si>
  <si>
    <t>Meats</t>
  </si>
  <si>
    <t>Beef stroganoff</t>
  </si>
  <si>
    <t>Estrogonoffe de carne</t>
  </si>
  <si>
    <t>steak
salt
black pepper
paprika
plain flour
olive oil
butter
onion
cognac
dijon mustard
ketchup
worcesterchire sauce
tomato
mushroom
heavy cream</t>
  </si>
  <si>
    <t>907g
not specified
not specified
7g
8g
28g
28g
2
60ml
15ml
30ml
30ml
397g
170g
240ml</t>
  </si>
  <si>
    <t>Brazilian Cottage pie</t>
  </si>
  <si>
    <t>olive oil
onion
clove garlic
beef jerky
tomato
salt
black pepper
parsley
yuca
heaby cream
parmesan cheese
mozzarella</t>
  </si>
  <si>
    <t>30ml
1
4
907g
2
not specified
not specified
21g
1.5Kg
240ml
100g
112g</t>
  </si>
  <si>
    <t>Braised beef with onions, tomato and peppers</t>
  </si>
  <si>
    <t>Carne louca</t>
  </si>
  <si>
    <t>chuck roast
salt
black pepper
vegetable oil
onion
clove garlic
red wine
tomato paste
brown sugar
can tomato
worcetershire sauce
beef stock
bay leaf
red pepper
balsamic vinegar
parsley
onion</t>
  </si>
  <si>
    <t>1.1Kg
not specified
not specified
15ml
2
4
120ml
16g
14g
397g
30ml
240ml
1
2
10ml
21g
2</t>
  </si>
  <si>
    <t>Filet Parmigiana</t>
  </si>
  <si>
    <t>Filé à parmigiana</t>
  </si>
  <si>
    <t>tomato
butter
onion
salt
black pepper
steak
salt 
black pepper
plain flour
egg
breadcrumbs
vegetable oil
clove garlic
mozzarella
parmesan cheese</t>
  </si>
  <si>
    <t>794g
57g
1
not specified
not specified
454g
not specified 
not specified
125g
2
216g
not specified
1
226g
100g</t>
  </si>
  <si>
    <t>Instant pto cumin beef stew</t>
  </si>
  <si>
    <t>Barreado na panela de pressão</t>
  </si>
  <si>
    <t>chuck roast
salt
black pepper
cumin
red wine vinegar
onion
tomato
clove garlic
parsley
green onion
vegetable oil
bacon
bay leaf
water</t>
  </si>
  <si>
    <t>1.5Kg
not specified
not specified
2-4g
30ml
2
4
1
30g
3
1tsp
226g
3
960ml</t>
  </si>
  <si>
    <t>Oven-roasted picanha with garlic butter</t>
  </si>
  <si>
    <t>Picanha ao forno com manteiga de alho</t>
  </si>
  <si>
    <t>clove garlic
olive oil
salt black pepper
butter
picanha
potato
red onion
thyme spring</t>
  </si>
  <si>
    <t>8
80ml
not specified
not specified
57g
1.6Kg
8
3</t>
  </si>
  <si>
    <t>Picanha Burguer with green milk mayo</t>
  </si>
  <si>
    <t xml:space="preserve">Hambúrguer de picanha com maionese verde </t>
  </si>
  <si>
    <t>milk
clove garlic
green onion
parsley
dijon mostard
worcetershire sauce
lime
salt
black pepper
vegetable oil
picanha
salt
black pepper
cheddar
buguer buns</t>
  </si>
  <si>
    <t>240ml
2
2
60g
15ml
15ml
1
not specified
not specified
480ml
907g
not specified
not specified
6
6</t>
  </si>
  <si>
    <t>Beef tips in beer sauce</t>
  </si>
  <si>
    <t>Picadinho na cerveja</t>
  </si>
  <si>
    <t>tenderloin
salt
black pepper
paprika
plain flour
vegetable oil
bacon
onion
clove garlic
brown ale
beef stock
brown sugar
dijon mostard
worcetershire sauce
parsley
butter
flour</t>
  </si>
  <si>
    <t>680g
not specified
not specified
1/2 tsp
8g
30ml
57g
1
3
240ml
120ml
1tsp
15g
15g
4g
14g
8g</t>
  </si>
  <si>
    <t>Filet mignon with garlic</t>
  </si>
  <si>
    <t>Filé à Oswaldo aranha</t>
  </si>
  <si>
    <t>potato
vegetable oil
clove gatlic
salt
black pepper
tenderloin</t>
  </si>
  <si>
    <t>2
not specified
10
not specified
not specified
170-225g</t>
  </si>
  <si>
    <t>Plantain Gnocchi</t>
  </si>
  <si>
    <t>Nhoque de banana da terra com carne seca</t>
  </si>
  <si>
    <t>ripe plantain
salt
cornstarch
water
flour
ghee
onion
tomato
clove garlic
beef jerky
parsley</t>
  </si>
  <si>
    <t>4
not specififed
64g
120ml
not specified
42g
1
2
3
454g
15g</t>
  </si>
  <si>
    <t>Chicken with okra</t>
  </si>
  <si>
    <t>Frango com quiabo</t>
  </si>
  <si>
    <t>chicken
lime
salt
black pepper
sweet paprika
okra
butter
vegetable oil
onion
tomato
clove garlic
tomato paste
chicken broth
parsley</t>
  </si>
  <si>
    <t>907g
1
not specified
not specified
5g
454g
28g
30ml
1
1
6
16g
450ml
15g</t>
  </si>
  <si>
    <t>Chicken with yuca stew</t>
  </si>
  <si>
    <t>Bobó de frango</t>
  </si>
  <si>
    <t>chicken
lime
salt
black pepper
yuca root
chicken broth
olive oil
onion
red pepper
tomato
clove garlic
red chile pepper
tomato paste
coconut milk
heaby cream
palm oil
cilantro</t>
  </si>
  <si>
    <t>907g
1
not specified
not specified
454g
360ml
15ml
1
1
2
3
1
16g
403ml
120ml
15ml
8g</t>
  </si>
  <si>
    <t xml:space="preserve">Chicken stir-fry with peanuts </t>
  </si>
  <si>
    <t>chicken
soy sauce
cornstarch
sesame oil
soy sauce
water 
seame oil
cornstarch
vegetable oil
onion
red pepper
yellow pepper
orange pepper
clove garlic
peanuts
green onion</t>
  </si>
  <si>
    <t>907g
15ml
8g
15ml
80ml
240ml
15ml
8g
30ml
2
1
1
1
2
49g
not specified</t>
  </si>
  <si>
    <t>Creamy chicken pizza</t>
  </si>
  <si>
    <t>Pizza de frango com catupiry</t>
  </si>
  <si>
    <t>chicken
salt
olive oil
butter
onion
clove garlic
tomato sauce
black pepper
pizza dough
pizza sauce
mozzarella
oregano
green olives
cream cheese</t>
  </si>
  <si>
    <t>226g
not specified
15ml
14g
1
3
120ml
not specified
454g
160ml
168g
1/2tsp
45g
250g</t>
  </si>
  <si>
    <t xml:space="preserve">Oven-roasted spatchcocked chicken </t>
  </si>
  <si>
    <t xml:space="preserve">Galeto ao primo canto </t>
  </si>
  <si>
    <t>chicken
clove garlic
salt
paprika
black pepper
lime
olive oil</t>
  </si>
  <si>
    <t>1.5-1.8Kg
6
14g
1tsp
not specified
1
60ml</t>
  </si>
  <si>
    <t>Pork loin with cachaça and honey</t>
  </si>
  <si>
    <t>Lombo na cachaça e mel</t>
  </si>
  <si>
    <t>lime
honey
cachaça
clove garlic
salt
black pepper
pork
olive oil</t>
  </si>
  <si>
    <t>2
15ml
80ml
8
not specified
not specified
907g
30ml</t>
  </si>
  <si>
    <t>Brazilian grits with sausage</t>
  </si>
  <si>
    <t>Canjiquinha de linguiça</t>
  </si>
  <si>
    <t>olive oil
bacon
sausage
onion
carrot
celery rib
clove garlic
salt
black pepper
paprika
corn grits
chicken broth
butter
parsley</t>
  </si>
  <si>
    <t>1 tsp
113g
454g
1
1
1
3
not specified
not specified
1/2 tsp
234g
1.6l
28g
15g</t>
  </si>
  <si>
    <t xml:space="preserve">Roasted pork with pineapple sauce </t>
  </si>
  <si>
    <t>Pernil ao molho de abacaxi</t>
  </si>
  <si>
    <t>pork
pineapple
clove garlic
onion
paprika
olive oil
spring rosemary
salt
black pepper
water
water
pineapple 
brown sugar
apple cider vinegar
pineapple
salt 
black pepper
cornstarch</t>
  </si>
  <si>
    <t>2.3-3Kg
240ml
10-12
1
14g
120ml
4
not specified
not specified
240ml
200ml
120ml
55g
30ml
1
not specified 
not specified
8g</t>
  </si>
  <si>
    <t xml:space="preserve">Skillet potato stuffed with calabresa and cheese </t>
  </si>
  <si>
    <t xml:space="preserve">Batata recheada com calabresa e queijo </t>
  </si>
  <si>
    <t>potato
salt
sausage
onion
parmesan cheese
mozzarella
crem cheese
parsley
black pepper
butter
olive oil</t>
  </si>
  <si>
    <t>1.5kg
not specified
226g
1
25g
226g
198g
30g
not specified
57g
240ml</t>
  </si>
  <si>
    <t>Peixada à Baiana</t>
  </si>
  <si>
    <t>white fish
turmeic
hot paprika
fish bouilon
lime
potato
salt
olive oil
red pepper
yellow pepper
green pepper
tomato
onion
coconut milk
water
black pepper
cilantro or parsley</t>
  </si>
  <si>
    <t>907g
1tsp
1tsp
4g
1/2
5
not specified
30ml
1
1
1
2
1
403ml
120ml
not specified
4g</t>
  </si>
  <si>
    <t>Fried fish fillets</t>
  </si>
  <si>
    <t>Peixe frito</t>
  </si>
  <si>
    <t>fish
lime
plain flour
salt
black pepper
egg
vegetable oil</t>
  </si>
  <si>
    <t>8
1
250g
not specified
not specified
2
480ml</t>
  </si>
  <si>
    <t xml:space="preserve">Peixe à delícia </t>
  </si>
  <si>
    <t xml:space="preserve">fish and plantain gratin </t>
  </si>
  <si>
    <t>butter
onion
plain flour
milk
heavy cream
salt
black pepper
fish
lime
clove garlic
salt
black pepper
plain flour
olive oil
butter
olive oil
butter
plantain
muzzarella
parmesan</t>
  </si>
  <si>
    <t>28g
onion
16g
480ml
240ml
not specified
not specified
907g
1
3
not specified
not specified
125g
45ml
28g
1tsp
28g
2
112g
50g</t>
  </si>
  <si>
    <t>Sautéed shrimp with garlic</t>
  </si>
  <si>
    <t xml:space="preserve">Camarão a paulista </t>
  </si>
  <si>
    <t>shrimp
salt
black pepper
olive oil
clove garlic
lime
parsley</t>
  </si>
  <si>
    <t>454g
not specified
not specified
45ml
5
1/2
15g</t>
  </si>
  <si>
    <t>Creamy shrimp</t>
  </si>
  <si>
    <t>Camarão ao catupiry</t>
  </si>
  <si>
    <t>shrimp
salt
black pepper
olive oil
butter
onion
clove garlic
plain flour
tomato paste
milk
cream cheese
nutmeg
mozzarella</t>
  </si>
  <si>
    <t>907g
not specified
not specified
15ml
28g
1
4
16g
16g
240ml
454g
1/2tsp
100g</t>
  </si>
  <si>
    <t>Vegetarian moqueca</t>
  </si>
  <si>
    <t>Moqueca vegetariana</t>
  </si>
  <si>
    <t>olive oil
cloves garlic
red chilli pepper
onion
red pepper
tomato
palm heart
chickpeas
salt
black pepper
coconut milk
palm oil
cilantro</t>
  </si>
  <si>
    <t>30ml
4
1
2
9
3
420g
439g
not specified
not specified
480ml
60ml
5g</t>
  </si>
  <si>
    <t>Corn casserole</t>
  </si>
  <si>
    <t>Pamonha de forno</t>
  </si>
  <si>
    <t>corncob
sugar
milk
salt
butter
parmesan cheese</t>
  </si>
  <si>
    <t>8
1/2tsp
80ml
1/2tsp
42g
50g</t>
  </si>
  <si>
    <t xml:space="preserve">Mashed butternut squash </t>
  </si>
  <si>
    <t>Quibebe</t>
  </si>
  <si>
    <t>butternut
salt
olive oil
buttter
onion
clove garlic
black pepper
parsley</t>
  </si>
  <si>
    <t>907g
not specified
1tsp
71g
1
4
not specified
21g</t>
  </si>
  <si>
    <t>Fresh corn puree</t>
  </si>
  <si>
    <t>Angu de milho</t>
  </si>
  <si>
    <t>corncob
water
salt
parmesan cheese
butter</t>
  </si>
  <si>
    <t>8
240ml
not specified
50g
28g</t>
  </si>
  <si>
    <t>SIde</t>
  </si>
  <si>
    <t xml:space="preserve">Toasted cassava flour with collard greens </t>
  </si>
  <si>
    <t xml:space="preserve">Viradinho de couve </t>
  </si>
  <si>
    <t>collard green
olive oil
onion
clove garlic
red pepper flakes
salt
black pepper
cassava flour</t>
  </si>
  <si>
    <t>680g
45ml
1
4
1/2tsp
not specified
not specified
420g</t>
  </si>
  <si>
    <t>Plantain boats with cheese</t>
  </si>
  <si>
    <t>Barquinhos de banana da terra</t>
  </si>
  <si>
    <t>plantains
butter
mozzarella
cinnamon 
sugar</t>
  </si>
  <si>
    <t>4
15ml
113g
not specified
not specified</t>
  </si>
  <si>
    <t>Toasted cassava flour with banana</t>
  </si>
  <si>
    <t>Farofa de banana</t>
  </si>
  <si>
    <t>olive oil
butter
red onion
clove garlic
banana
cassava flour
salt
black pepper
parsley</t>
  </si>
  <si>
    <t>15ml
42g
1
2
2
280g
not specified
not specified
not specified</t>
  </si>
  <si>
    <t>Rice and Beans</t>
  </si>
  <si>
    <t>Brasília rice with black-eyed peas, beef and cheese</t>
  </si>
  <si>
    <t xml:space="preserve">Baião de dois </t>
  </si>
  <si>
    <t>white rice
butter
onion
clove garlic
salt
turmenic
water
bay leaf
butter
bacon
red onion
clove garlic
beef jerky
bacl-eyed peas
salt
black pepper
beef broth
grilling cheese
parsley</t>
  </si>
  <si>
    <t>200g
14g
1
4
1tsp
1/4tsp
420ml
1
42g
113
1
4
85g
397g
not specified
not specified
120ml
142g
21g</t>
  </si>
  <si>
    <t>Instant pot black bean stew</t>
  </si>
  <si>
    <t>Feijoada na instant pot</t>
  </si>
  <si>
    <t>beef jerky
black beans
pork loin
sausage
vegetable oil
sausage (calabresa)
bacon
onion
clove garlic
bay leaf
salt
black pepper</t>
  </si>
  <si>
    <t>500g
582g
226g
226g
15ml
226g
113g
1
6
3
not specified
not specified</t>
  </si>
  <si>
    <t xml:space="preserve">Pork chops with rice and refried beans </t>
  </si>
  <si>
    <t xml:space="preserve">Virado a paulista </t>
  </si>
  <si>
    <t>olive oil
bacon
onion
clove garlic
beans
water
bay leaf
cassava flour
salt
black pepper
vegetable oil
onion
clove garlic
white rice
salt
water
collard green
olive oil
clove garlic
salt
plain flour
egg
breadcrumbs
salt
banana
vegetable oil
pork
salt
black pepper
vegetable oil
sausage (calabresa)</t>
  </si>
  <si>
    <t>1tsp
85g
1
3
307g
1l
2
70-140g
not specified
not specified
15ml
1
3
400g
not specified
840ml
1
45ml
not specified
94g
2
81g
1tsp
2
not specified
4
not specified
not specfied
15ml
4
1</t>
  </si>
  <si>
    <t>Rice with bacon,sausage and fried beef</t>
  </si>
  <si>
    <t xml:space="preserve">Arroz carreteiro </t>
  </si>
  <si>
    <t>vegetable oil
bacon
sausage (calabresa)
onion
clove garlic
beef jerky
chicken broth
cooked white rice
salt
black pepper
parsley</t>
  </si>
  <si>
    <t>15ml
85g
142g
1
3
226g
80ml
744g
not specified
not specified
21g</t>
  </si>
  <si>
    <t>Oxtail rice</t>
  </si>
  <si>
    <t>Arroz de rabada</t>
  </si>
  <si>
    <t>oxtail
salt
black pepper
vegetable oil
onion
tomato
clove garlic
red wine
worcetershire sauce
beef broth
bay leaf
white rice
oarsley</t>
  </si>
  <si>
    <t>907g
not specified
not specified
15ml
2
3
4
120ml
15ml
720ml
2
400g
21g</t>
  </si>
  <si>
    <t xml:space="preserve">Arroz de bacalhau </t>
  </si>
  <si>
    <t>salted cod
olive oil
onion
red pepper
yellow pepper
orange pepper
tomato
clove garlic
sweet paprika
tomato paste
cooked white rice
kalamata olive
parsley
salt</t>
  </si>
  <si>
    <t>454g
60ml
1
1
1
1
1
3
5g
8g
1Kg
90g
60g
not specified</t>
  </si>
  <si>
    <t xml:space="preserve">Bean and pasta soup </t>
  </si>
  <si>
    <t xml:space="preserve">Sopa de feijão com macarrão </t>
  </si>
  <si>
    <t>beans
olive oil
onion
leek
celery rib
carrot
clove garlic
water
bay leaf
salt
black pepper
ditalini (pasta)
parsley</t>
  </si>
  <si>
    <t>368g
15ml
1
1
1
1
3
2.5l
3
not specified
not specified
112g
21g</t>
  </si>
  <si>
    <t>Snacks</t>
  </si>
  <si>
    <t>Mini chicken pies</t>
  </si>
  <si>
    <t>Empadinha de frango</t>
  </si>
  <si>
    <t>plain flour
salt
butter
egg
yolk
water
chicken
salt
olive oil
butter
onion
tomato
clove garlic
green olives
hot sauce
tomato sauce
chicken broth
milk
flour
black pepper
cream cheese
parsley</t>
  </si>
  <si>
    <t>480g
1tsp
170g
1
1
not specified
454g
not specified
15ml
14g
1
1
3
90g
not specified
80ml
120ml
80ml
8g
not specified
113g
15g</t>
  </si>
  <si>
    <t xml:space="preserve">Feijoada croquettes </t>
  </si>
  <si>
    <t>Bolinho de feijoada</t>
  </si>
  <si>
    <t>feijoada leftover
water
salt
black pepper
cassava flour
olive oil
bacon
clove garlic
collard greens
breadcrumbs
egg
vegetable oil</t>
  </si>
  <si>
    <t>454g
480ml
not specified
not specified
210g
tsp
170g
3
1
162g
3
not specified</t>
  </si>
  <si>
    <t>Short rib croquettes</t>
  </si>
  <si>
    <t>Coxinhas de costelinha de porco</t>
  </si>
  <si>
    <t>short ribs
salt
black pepper
vegetable oil
onion
tomato
clove garlic
red wine
tomato paste
beef borth
parsley
cream cheese
short ribs broth
beef broth
salt
butter
plain flour
breadcrumbs
egg
vegetable oil</t>
  </si>
  <si>
    <t>226g
not specified
not specified
10ml
1
1
3
80ml
16g
480ml
4
113g
120ml
360ml
10g
14g
250g
108g
3
not specified</t>
  </si>
  <si>
    <t xml:space="preserve">Sausage kibbeh </t>
  </si>
  <si>
    <t xml:space="preserve">Kibe de linguiça </t>
  </si>
  <si>
    <t>olive oil
mild sausage
onion
clove garlic
salt
black pepper
red pepper flakes
allspice
toasted pine nuts
bulgur wheat
water
onion
mint leaf
sausage
salt
black pepper
allspice
fennel seeds
vegetable oil</t>
  </si>
  <si>
    <t>1tsp
226g
1
2
not specified
not specified
1/4tsp
1/4tsp
45g
270g
480ml
1
46g
907g
7g
1/2tsp
1/4tsp
1/4tsp
not specified</t>
  </si>
  <si>
    <t xml:space="preserve">Fried tapioca dice with chile pepper jam </t>
  </si>
  <si>
    <t>Dadinhos de tapioca com geleia de pimenta</t>
  </si>
  <si>
    <t>red chilli pepper
granulated sugar
apple
water
lime
cinnamon stick
granulated tapioca
queijo coalho
salt
black pepper
milk
vegetable oil</t>
  </si>
  <si>
    <t>2
200g
1
120ml
1
1
240g
335g
not specified
not specified
960ml
not specified</t>
  </si>
  <si>
    <t xml:space="preserve">Parmesan tapioca cookies </t>
  </si>
  <si>
    <t>Biscoito de polvilho</t>
  </si>
  <si>
    <t>manioc starch
salt
milk
vegetable oil
egg
parmesan cheese
water</t>
  </si>
  <si>
    <t>280g
7g
120ml
120ml
1
25g
160ml</t>
  </si>
  <si>
    <t>Pork crackling</t>
  </si>
  <si>
    <t>Torresmo</t>
  </si>
  <si>
    <t>pork belly
salt
vegetable oil</t>
  </si>
  <si>
    <t>454g
not specified
not specified</t>
  </si>
  <si>
    <t xml:space="preserve">Fried cod empanadas </t>
  </si>
  <si>
    <t>Pastel de bacalhau</t>
  </si>
  <si>
    <t>plain flour
salt
water
vegetable oil
white wine vinegar
cachaça
vegetable oil
desalted cod
olive oil
onion
tomato
clove garlic
green olive
water
plain flour
parsley</t>
  </si>
  <si>
    <t>375g
18g
240ml
15ml
15ml
15ml
not specified
454g
60ml
1
2
2
90g
30ml
8g
8g</t>
  </si>
  <si>
    <t>Potato rolls stuffed with cream cheese</t>
  </si>
  <si>
    <t>Pão de batata</t>
  </si>
  <si>
    <t>potato
milk
granulated sugar
dry yeast
plain flour
salt
egg
butter
cream cheese
egg wash</t>
  </si>
  <si>
    <t>1
180ml
23g
6g
406g
7g
1
42g
250g
1 egg with 15 ml water</t>
  </si>
  <si>
    <t>Sausage bread</t>
  </si>
  <si>
    <t>Pão de calabresa</t>
  </si>
  <si>
    <t>water
dry yeast
olive oil
bread flour
salt
sausage (calabresa)
parmesan cheese</t>
  </si>
  <si>
    <t>240ml
8g
15ml
441g
7g
454g
25g</t>
  </si>
  <si>
    <t>Cachaça pickled onions</t>
  </si>
  <si>
    <t xml:space="preserve">Vinagrete de cebola na cachaça </t>
  </si>
  <si>
    <t>onion
olive oil
cachaça
water
salt
black pepper
oregano</t>
  </si>
  <si>
    <t>2
360ml
30ml
60ml
not specified
not specified
1tsp</t>
  </si>
  <si>
    <t>Desserts and treats</t>
  </si>
  <si>
    <t>Coconut candy</t>
  </si>
  <si>
    <t>Bala de vidro</t>
  </si>
  <si>
    <t>condensed milk
shredded coconut
butter
granulated sugar
water
white wine vinegar</t>
  </si>
  <si>
    <t>396g
96g
14g
300g
180ml
23ml</t>
  </si>
  <si>
    <t xml:space="preserve">Brazilian peanut candy ice cream </t>
  </si>
  <si>
    <t xml:space="preserve">Sorvete de paçoca </t>
  </si>
  <si>
    <t>paçoca
condensed milk
peanut butter
salt
heavy cream</t>
  </si>
  <si>
    <t>260g
296g
32g
1/4tsp
480ml</t>
  </si>
  <si>
    <t xml:space="preserve">Guava paste pinch cookies </t>
  </si>
  <si>
    <t>Beliscão de goiabada</t>
  </si>
  <si>
    <t>butter
plain flour
granulated sugar
egg
guava paste
confectioner's sugar</t>
  </si>
  <si>
    <t>150g
266g
100g
1
188g
not specified</t>
  </si>
  <si>
    <t>Passion fruit mousse with chocolate ganache</t>
  </si>
  <si>
    <t>Mousse de Maracujá com ganache de chocolate</t>
  </si>
  <si>
    <t>unflavored gelatin
water
condensed milk
passion fuit
heavy cream
heavy cream
chocolate
salt
vanilla extract
chocolate</t>
  </si>
  <si>
    <t>5g
45ml
396g
290g
240ml
300ml
198g
1/4tsp
1/2tsp
not specified</t>
  </si>
  <si>
    <t>Belgian chocolate brigadeiro</t>
  </si>
  <si>
    <t>Brigadeiro de chocolate belga</t>
  </si>
  <si>
    <t>butter
condensed milk
chocolate
salt
chocolate</t>
  </si>
  <si>
    <t>28g
396g
168g
1/4tsp
not specified</t>
  </si>
  <si>
    <t xml:space="preserve">Brazilian chocolate and cookie fudge </t>
  </si>
  <si>
    <t>Palha italiana</t>
  </si>
  <si>
    <t>butter
condensed milk
heavy cream
salt
cocoa powder
graham crackers</t>
  </si>
  <si>
    <t>28g
396g
60ml
1/4tsp
22g
156g</t>
  </si>
  <si>
    <t>Brazilian coconut custard</t>
  </si>
  <si>
    <t xml:space="preserve">Baba de moça </t>
  </si>
  <si>
    <t>water
sugar
yolks
coconut milk</t>
  </si>
  <si>
    <t>160ml
300g
8
360ml</t>
  </si>
  <si>
    <t xml:space="preserve">Fried pastries </t>
  </si>
  <si>
    <t>Cuca virada</t>
  </si>
  <si>
    <t>granulated sugar
milk
butter
egg
apple cider vinegar
baking powder
salt</t>
  </si>
  <si>
    <t>100g
120ml
60ml
1
15ml
14g
1/4tsp</t>
  </si>
  <si>
    <t>Brazilian chocolate flan</t>
  </si>
  <si>
    <t>butter
granulated sugar
condensed milk
heaby cream
cocoa powder
egg
yolk</t>
  </si>
  <si>
    <t>28g
not specified
396g
240ml
32g
4
2</t>
  </si>
  <si>
    <t xml:space="preserve">Manuda's trifle </t>
  </si>
  <si>
    <t>Pavê de manuda</t>
  </si>
  <si>
    <t>condensed milk
milk
cornstarch
yolks
milk
cocoa powder
cognac
cookies
heavy cream
powdered sugar
vanilla extract
chocolate</t>
  </si>
  <si>
    <t>396g
960ml
24g
4
480ml
44g
1tsp
2
600ml
120g
1tsp
not specified</t>
  </si>
  <si>
    <t xml:space="preserve">Layered banana dessert </t>
  </si>
  <si>
    <t>Chico balanceado</t>
  </si>
  <si>
    <t>yolk
cornstarch
condensed milk
milk
vanilla extract
heavy cream
granulated sugar
water
banana
granulated sugar
salt
egg white</t>
  </si>
  <si>
    <t>4
19g
396g
480ml
15ml
120ml
200g
120ml
7
200g
1/4tsp
4</t>
  </si>
  <si>
    <t>Meet</t>
  </si>
  <si>
    <t>Desserts</t>
  </si>
  <si>
    <t>BOOK</t>
  </si>
  <si>
    <t>CF ingredients</t>
  </si>
  <si>
    <t>CF cooking</t>
  </si>
  <si>
    <t xml:space="preserve">CF total </t>
  </si>
  <si>
    <t>CF per serving</t>
  </si>
  <si>
    <t>onion
clove garlic
olive oil
white wine
oxtail
vegetable oil
tomato
bay leaf
water
cornstarch
watercress
salt 
black pepper</t>
  </si>
  <si>
    <t>1
4
45 ml
250 ml
1.5 Kg
30 ml
2
2
250ml
5 ml
2
not specified
not specified</t>
  </si>
  <si>
    <t>15 ml
400 g
3
75 g
not specified
not specified</t>
  </si>
  <si>
    <t>fillet steak
clove garlic
vegetable oil
bacon
small onion
beef broth
white wine vinegar
egg
cornstarch
parsley
salt
black pepper</t>
  </si>
  <si>
    <t>400 g
2
30 ml
125 g
1
400 ml
30 ml
2
5 ml
15 ml
not specified
not specified</t>
  </si>
  <si>
    <t>beef jerky
pumpkin 
vegetable oil
onion
clove garlic
parsley
black pepper</t>
  </si>
  <si>
    <t>beef jerky
vegetable oil
bacon 
onion
clove garlic
sausage
white rice 
red chilli pepper
parsley
spring onions
black pepper</t>
  </si>
  <si>
    <t>fillet steak
salt
black pepper
sweet paprika
plain flour
olive oil
butter
onion
cognac
dijon mustard
ketchup
worceterchire sauce
tomato
mushroom
heavy cream</t>
  </si>
  <si>
    <t>907g
not specified
not specified
7g
8g
35ml
28g
2
60ml
15ml
30ml
30ml
397g
170g
240ml</t>
  </si>
  <si>
    <t>chuck roast
salt
black pepper
vegetable oil
onion
clove garlic
red wine
tomato paste
brown sugar
tomato sauce
worcetershire sauce
beef broth
bay leaf
red bell pepper
balsamic vinegar
parsley
onion</t>
  </si>
  <si>
    <t>tomato
butter
onion
salt
black pepper
fillet steak
salt 
black pepper
plain flour
egg
breadcrumbs
vegetable oil
clove garlic
mozzarella
parmesan cheese</t>
  </si>
  <si>
    <t>Instant pot cumin beef stew</t>
  </si>
  <si>
    <t>chuck roast
salt
black pepper
cumin
red wine vinegar
onion
tomato
clove garlic
parsley
spring onions
vegetable oil
bacon
bay leaf
water</t>
  </si>
  <si>
    <t>Picanha no forno com manteiga de alho</t>
  </si>
  <si>
    <t>clove garlic
olive oil
salt
black pepper
butter
picanha
potato
red onion
thyme sprig</t>
  </si>
  <si>
    <t>8
80ml
not specified
not specified
57g
1.6Kg
8
3
4</t>
  </si>
  <si>
    <t>milk
clove garlic
spring onions
parsley
dijon mustard
worcetershire sauce
lime
salt
black pepper
vegetable oil
picanha
salt
black pepper
cheddar
burguer buns</t>
  </si>
  <si>
    <t>tenderloin
salt
black pepper
smooked paprika
plain flour
vegetable oil
bacon
small onion
clove garlic
brown ale
beef broth
brown sugar
dijon mustard
worcetershire sauce
parsley
butter
plain flour</t>
  </si>
  <si>
    <t>banana
salt
cornstarch
water
plain flour
butter
onion
tomato
clove garlic
beef jerky
parsley</t>
  </si>
  <si>
    <t>white rice
butter
onion
clove garlic
salt
turmeric
hot water
bay leaf
butter
bacon
red onion
clove garlic
beef jerky
black-eyed peas
salt
black pepper
beef broth
queijo coalho
parsley</t>
  </si>
  <si>
    <t>200g
14g
1
4
1tsp
1/4tsp
420ml
1
42g
113g
1
4
85g
397g
not specified
not specified
120ml
142g
21g</t>
  </si>
  <si>
    <t>oxtail
salt
black pepper
vegetable oil
onion
tomato
clove garlic
red wine
worcetershire sauce
beef broth
bay leaf
white rice
parsley</t>
  </si>
  <si>
    <t>cassava root
butter
heavy cream
vegetable oil
onion
beef jerky
clove garlic
tomato
parsley
cream cheese
cheddar 
salt 
black pepper</t>
  </si>
  <si>
    <t>bulgur wheat
minced lamb
onion
mint 
white pepper
nutmeg
ground cinnamon
salt
vegetable oil
vegetable oil
onion
minced beef
pine nuts
parsley
spring onions</t>
  </si>
  <si>
    <t>plain flour
salt
vegetable oil
cachaça
white vinegar
warm water
onion
minced beef
clove garlic
green olive
parsley
spring onions
black pepper</t>
  </si>
  <si>
    <t>Coxinhas de costelinha de boi</t>
  </si>
  <si>
    <t>short rib
salt
black pepper
vegetable oil
onion
tomato
clove garlic
red wine
tomato paste
beef broth
parsley
cream cheese
short rib broth
beef broth
salt
butter
plain flour
breadcrumbs
egg
vegetable oil</t>
  </si>
  <si>
    <t>226g
not specified
not specified
10ml
1
1
3
80ml
16g
480ml
4g
113g
120ml
360ml
10g
14g
250g
108g
3
not specified</t>
  </si>
  <si>
    <t>1
1/2
1
5ml
not specified
not specified
10ml
not specified</t>
  </si>
  <si>
    <t>pork ribs
beef jerky
pork belly
sausage
black beans
bay leaf
vegetable oil
onion
clove garlic
salt
orange
bacon</t>
  </si>
  <si>
    <t>lime
honey
cachaça
clove garlic
salt
black pepper
pork loin
olive oil</t>
  </si>
  <si>
    <t>olive oil
bacon
sausage
onion
carrot
celery rib
clove garlic
salt
black pepper
smooked paprika
corn grits
chicken broth
butter
parsley</t>
  </si>
  <si>
    <t>pork shoulder
pineapple juice
clove garlic
onion
smooked paprika
olive oil
spring rosemary
salt
black pepper
water
water
pineapple juice
brown sugar
apple cider vinegar
pineapple
salt 
black pepper
cornstarch</t>
  </si>
  <si>
    <t>2.3-3Kg
240ml
11
1
14g
120ml
4 leaves
not specified
not specified
240ml
200ml
120ml
55g
30ml
1
not specified 
not specified
8g</t>
  </si>
  <si>
    <t xml:space="preserve">olive oil
bacon
onion
clove garlic
beans
water
bay leaf
cassava flour
salt
black pepper
vegetable oil
onion
clove garlic
white rice
salt
hot water
collard green
olive oil
clove garlic
salt
plain flour
egg
breadcrumbs
salt
banana
vegetable oil
pork chop
salt
black pepper
vegetable oil
sausage </t>
  </si>
  <si>
    <t>1tsp
85g
1
3
307g
1l
2
70-140g
not specified
not specified
15ml
1
3
400g
not specified
840ml
1 portion
45ml
4
not specified
94g
2
81g
1tsp
2
not specified
4
not specified
not specfied
15ml
4</t>
  </si>
  <si>
    <t>vegetable oil
bacon
everyday black beans 
water
salt 
black pepper
olive oil
parsley</t>
  </si>
  <si>
    <t>olive oil
onion
clove garlic
sausage
potato
water
collard green
salt 
black pepper</t>
  </si>
  <si>
    <t>potato
salt
sausage
onion
parmesan cheese
mozzarella
cream cheese
parsley
black pepper
butter
olive oil</t>
  </si>
  <si>
    <t>feiojoada leftover
water
salt
black pepper
cassava flour
olive oil
bacon
clove garlic
collard green
breadcrumbs
egg
vegetable oil</t>
  </si>
  <si>
    <t>454g
480ml
not specified
not specified
210g
tsp
170g
3
1 bunch
162g
3
not specified</t>
  </si>
  <si>
    <t>olive oil
sausage
onion
clove garlic
salt
black pepper
red pepper flakes
allspice
pine nuts
bulgur wheat
water
onion
mint 
sausage
salt
black pepper
allspice
fennel seeds
vegetable oil</t>
  </si>
  <si>
    <t>water
dried yeast
olive oil
plain flour
salt
sausage
parmesan cheese</t>
  </si>
  <si>
    <t>lime
clove garlic
vegetable oil
chicken jointed
shrimp
onion
green bell pepper
tomato
chicken broth
dried shrimp
root ginger
cashew nuts
peanuts
palm oil
coconut milk
cilantro
salt 
black pepper</t>
  </si>
  <si>
    <t>chicken breast
clove garlic
vegetable oil
onion
tomato
palm hearts
parsley
spring onions
salt 
black pepper
plain flour
salt
butter 
egg yolk
egg yolk
olive oil</t>
  </si>
  <si>
    <t>chicken thights
lime
salt
black pepper
sweet paprika
okra
butter
vegetable oil
onion
tomato
clove garlic
tomato paste
chicken broth
parsley</t>
  </si>
  <si>
    <t>chicken breast
lime
salt
black pepper
cassava root
chicken broth
olive oil
onion
red bell pepper
tomato
clove garlic
red chilli pepper
tomato paste
coconut milk
heavy cream
palm oil
cilantro</t>
  </si>
  <si>
    <t>chicken breast
soy sauce
cornstarch
sesame oil
soy sauce
water 
sesame oil
cornstarch
vegetable oil
onion
red bell pepper
yellow bell pepper
orange bell pepper
clove garlic
peanuts
spring onions</t>
  </si>
  <si>
    <t>chicken breast
salt
olive oil
butter
onion
clove garlic
tomato sauce
black pepper
pizza dough
tomato sauce
mozzarella
oregano
green olive
cream cheese</t>
  </si>
  <si>
    <t>chicken whole
clove garlic
salt
smooked paprika
black pepper
lime
olive oil</t>
  </si>
  <si>
    <t>water
polenta
chicken broth
olive oil
plain flour
vegetable oil
salt</t>
  </si>
  <si>
    <t>plain flour
salt
butter
egg
egg yolk
water
chicken breast
salt
olive oil
butter
onion
tomato
clove garlic
green olive
pepper sauce
tomato sauce
chicken broth
milk
plain flour
black pepper
cream cheese
parsley</t>
  </si>
  <si>
    <t>white fish
lime
plain flour
salt
black pepper
egg
vegetable oil</t>
  </si>
  <si>
    <t>Peixe à delícia</t>
  </si>
  <si>
    <t>butter
onion
plain flour
milk
heavy cream
salt
black pepper
white fish
lime
clove garlic
salt
black pepper
plain flour
olive oil
butter
olive oil
butter
banana
mozzarella
parmesan cheese</t>
  </si>
  <si>
    <t>28g
1
16g
480ml
240ml
not specified
not specified
907g
1
3
not specified
not specified
125g
45ml
28g
1tsp
28g
2
112g
50g</t>
  </si>
  <si>
    <t>salt cod
olive oil
onion
red bell pepper
yellow bell pepper
orange bell pepper
tomato
clove garlic
sweet paprika
tomato paste
cooked white rice
black olive
parsley
salt</t>
  </si>
  <si>
    <t>octopus tentacles
olive oil
onion
clove garlic
white pepper
tomato
white wine
broccoli
cooked white rice
parsley
salt</t>
  </si>
  <si>
    <t>600g
60ml
1/2 
5
5ml
1
250ml
350g
400g
20g
not specified</t>
  </si>
  <si>
    <t>shrimp
lime
clove garlic
salt 
black pepper
cassava root
onion
whole clove
bay leaf
coconut milk
vegetable oil
tomato
tomato paste
heavy cream
palm oil
cilantro</t>
  </si>
  <si>
    <t>800g
1
6
1tsp
1tsp
600g
1
6
2
300ml
60ml
6
15ml
45ml
30ml
25g</t>
  </si>
  <si>
    <t>vegetable oil
red bell pepper
green bell pepper
onion
red chilli pepper
clove garlic
tomato
tomato paste
spring onions
white fish
shrimp
coconut milk
palm oil
salt 
black pepper
cilantro</t>
  </si>
  <si>
    <t>salt cod
potato
milk
bay leaf
olive oil
onion
clove garlic
black olive
white pepper
parsley
egg</t>
  </si>
  <si>
    <t>mussels
shrimp
white fish
parsley
cilantro
bay leaf
tomato
spring onions
coriander seeds
clove garlic
olive oil
crab meat
lobster meat
salt
black pepper</t>
  </si>
  <si>
    <t>plain flour
salt
water
vegetable oil
white wine vinegar
cachaça
vegetable oil
salt cod
olive oil
onion
tomato
clove garlic
green olive
water
plain flour
parsley</t>
  </si>
  <si>
    <t>salt cod 
cold mashed potato
parsley
egg
olive oil
breadcrumbs
black pepper
vegetable oil</t>
  </si>
  <si>
    <t xml:space="preserve">                                                                                                                                                                                                                                                                                                                                                                                                                                                                                                                                                                                                                                           </t>
  </si>
  <si>
    <t>black-eyed peas
onion
salt
black pepper
palm oil
vegetable oil
olive oil
onion
clove garlic
dried shrimp
green chillies
tomato
shrimp
cilantro
salt 
black pepper</t>
  </si>
  <si>
    <t>french bread
milk
olive oil
red onion
clove garlic
tomato
white wine
butter
crab meat
cilantro
parsley
nutmeg
palm oil
heavy cream
breadcrumbs
parmesan cheese</t>
  </si>
  <si>
    <t>french bread
milk
fish stock
white fish 
shrimp
peanuts
cashews nuts
root ginger
nutmeg
lime
palm oil
coconut milk
pepper sauce
salt
black pepper
shrimp
lime</t>
  </si>
  <si>
    <t>1/2 
500ml
750ml
450g
65g
75g
75g
2.5ml
1.5ml
30ml
15ml
200ml
5ml
not specified
not specified
not specified
not specified</t>
  </si>
  <si>
    <t>olive oil
clove garlic
red chilli pepper
onion
red bell pepper
tomato
palm hearts
chickpeas
salt
black pepper
coconut milk
palm oil
cilantro</t>
  </si>
  <si>
    <t>30ml
4
1
2
3
3
420g
439g
not specified
not specified
480ml
60ml
5g</t>
  </si>
  <si>
    <t>collard green
olive oil
clove garlic
salt 
black pepper</t>
  </si>
  <si>
    <t>20 leaves
45ml
4
not specified
not specified</t>
  </si>
  <si>
    <t>potato
vegetable oil</t>
  </si>
  <si>
    <t>green bell pepper
yellow bell pepper
tomato
onion
white wine vinegar
olive oil
parsley
sugar
salt
black pepper</t>
  </si>
  <si>
    <t>palm hearts
tomato
onion
olive oil
salt
black pepper
watercress</t>
  </si>
  <si>
    <t>beans
olive oil
onion
leek
celery rib
carrot
clove garlic
water
bay leaf
salt
black pepper
pasta
parsley</t>
  </si>
  <si>
    <t>banana
butter
mozzarella
ground cinnamon 
sugar</t>
  </si>
  <si>
    <t>Plain flour
salt
vegetable oil
cachaça 
white vinegar
warm water
mozzarella</t>
  </si>
  <si>
    <t>dried yeast
sugar
salt
milk
vegetable oil
potato
plain flour</t>
  </si>
  <si>
    <t>15g
15ml
15ml
150ml
30ml
350g
400g</t>
  </si>
  <si>
    <t>cassava starch
salt
milk
vegetable oil
feta cheese
parmesan cheese
egg</t>
  </si>
  <si>
    <t>pumpkin
salt
olive oil
butter
onion
clove garlic
black pepper
parsley</t>
  </si>
  <si>
    <t>red chilli pepper
sugar
apple
water
lime
cinnamon stick
granulated tapioca
queijo coalho
salt
black pepper
milk
vegetable oil</t>
  </si>
  <si>
    <t>cassava starch
salt
milk
vegetable oil
egg
parmesan cheese
water</t>
  </si>
  <si>
    <t>CF total</t>
  </si>
  <si>
    <t>CF per servings</t>
  </si>
  <si>
    <t>Average</t>
  </si>
  <si>
    <t>Min</t>
  </si>
  <si>
    <t>Max</t>
  </si>
  <si>
    <t>Ingredeint</t>
  </si>
  <si>
    <t>Unit</t>
  </si>
  <si>
    <t>weight (g)</t>
  </si>
  <si>
    <t>Yield factor</t>
  </si>
  <si>
    <t xml:space="preserve">CF(gCO2e) </t>
  </si>
  <si>
    <t>CF(gCO2e) Total</t>
  </si>
  <si>
    <t xml:space="preserve">CF cooking </t>
  </si>
  <si>
    <t>CF disposal</t>
  </si>
  <si>
    <t>whole</t>
  </si>
  <si>
    <t>microwave</t>
  </si>
  <si>
    <t>?</t>
  </si>
  <si>
    <t>clove</t>
  </si>
  <si>
    <t>blender</t>
  </si>
  <si>
    <t>olive oil</t>
  </si>
  <si>
    <t>ml</t>
  </si>
  <si>
    <t>stew</t>
  </si>
  <si>
    <t>white wine</t>
  </si>
  <si>
    <t>boil</t>
  </si>
  <si>
    <t>oxtail</t>
  </si>
  <si>
    <t>Kg</t>
  </si>
  <si>
    <t>steam</t>
  </si>
  <si>
    <t>deepfry</t>
  </si>
  <si>
    <t>fry</t>
  </si>
  <si>
    <t>bay leaves</t>
  </si>
  <si>
    <t>oven</t>
  </si>
  <si>
    <t>stir fry</t>
  </si>
  <si>
    <t xml:space="preserve">pressure </t>
  </si>
  <si>
    <t>watercress</t>
  </si>
  <si>
    <t>bunch</t>
  </si>
  <si>
    <t>simmer</t>
  </si>
  <si>
    <t xml:space="preserve">salt </t>
  </si>
  <si>
    <t>not specified</t>
  </si>
  <si>
    <t>black pepper</t>
  </si>
  <si>
    <t>total ingredients</t>
  </si>
  <si>
    <t>total cooking</t>
  </si>
  <si>
    <t>fillet steak</t>
  </si>
  <si>
    <t>g</t>
  </si>
  <si>
    <t>bacon</t>
  </si>
  <si>
    <t>small onion</t>
  </si>
  <si>
    <t>beef stock</t>
  </si>
  <si>
    <t>white wine vinegar</t>
  </si>
  <si>
    <t>parsley</t>
  </si>
  <si>
    <t>beef jerky</t>
  </si>
  <si>
    <t xml:space="preserve">pumpkin </t>
  </si>
  <si>
    <t>kg</t>
  </si>
  <si>
    <t xml:space="preserve">bacon </t>
  </si>
  <si>
    <t>sausage</t>
  </si>
  <si>
    <t xml:space="preserve">white rice </t>
  </si>
  <si>
    <t>red chilli pepper</t>
  </si>
  <si>
    <t>spring onions</t>
  </si>
  <si>
    <t>stalk</t>
  </si>
  <si>
    <t>picanha</t>
  </si>
  <si>
    <t>coarse sea salt</t>
  </si>
  <si>
    <t>barbecue ?</t>
  </si>
  <si>
    <t>paprika</t>
  </si>
  <si>
    <t>plain flour</t>
  </si>
  <si>
    <t>cognac</t>
  </si>
  <si>
    <t>dijon mustard</t>
  </si>
  <si>
    <t>worceterchire sauce</t>
  </si>
  <si>
    <t>heavy cream</t>
  </si>
  <si>
    <t>CF cooking 1</t>
  </si>
  <si>
    <t>chuck roast</t>
  </si>
  <si>
    <t>red wine</t>
  </si>
  <si>
    <t>tomato paste</t>
  </si>
  <si>
    <t>worcetershire sauce</t>
  </si>
  <si>
    <t>beef broth</t>
  </si>
  <si>
    <t>Roast</t>
  </si>
  <si>
    <t>red bell pepper</t>
  </si>
  <si>
    <t>balsamic vinegar</t>
  </si>
  <si>
    <t>794g</t>
  </si>
  <si>
    <t>57g</t>
  </si>
  <si>
    <t>454g</t>
  </si>
  <si>
    <t xml:space="preserve">not specified </t>
  </si>
  <si>
    <t>125g</t>
  </si>
  <si>
    <t>216g</t>
  </si>
  <si>
    <t>mozzarella</t>
  </si>
  <si>
    <t>226g</t>
  </si>
  <si>
    <t>parmesan cheese</t>
  </si>
  <si>
    <t>100g</t>
  </si>
  <si>
    <t>cumin</t>
  </si>
  <si>
    <t>red wine vinegar</t>
  </si>
  <si>
    <t>tsp</t>
  </si>
  <si>
    <t>red onion</t>
  </si>
  <si>
    <t>thyme sprig</t>
  </si>
  <si>
    <t>240ml</t>
  </si>
  <si>
    <t>whike</t>
  </si>
  <si>
    <t>60g</t>
  </si>
  <si>
    <t>lime</t>
  </si>
  <si>
    <t>480ml</t>
  </si>
  <si>
    <t>907g</t>
  </si>
  <si>
    <t>cheddar</t>
  </si>
  <si>
    <t>slices</t>
  </si>
  <si>
    <t>burguer buns</t>
  </si>
  <si>
    <t>tenderloin</t>
  </si>
  <si>
    <t>680g</t>
  </si>
  <si>
    <t>smooked paprika</t>
  </si>
  <si>
    <t>1/2 tsp</t>
  </si>
  <si>
    <t>8g</t>
  </si>
  <si>
    <t>30ml</t>
  </si>
  <si>
    <t>brown ale</t>
  </si>
  <si>
    <t>120ml</t>
  </si>
  <si>
    <t>1tsp</t>
  </si>
  <si>
    <t>15g</t>
  </si>
  <si>
    <t>4g</t>
  </si>
  <si>
    <t>14g</t>
  </si>
  <si>
    <t>not specififed</t>
  </si>
  <si>
    <t>64g</t>
  </si>
  <si>
    <t>42g</t>
  </si>
  <si>
    <t>white rice</t>
  </si>
  <si>
    <t>200g</t>
  </si>
  <si>
    <t>turmeric</t>
  </si>
  <si>
    <t>1/4tsp</t>
  </si>
  <si>
    <t>hot water</t>
  </si>
  <si>
    <t>420ml</t>
  </si>
  <si>
    <t>113g</t>
  </si>
  <si>
    <t>85g</t>
  </si>
  <si>
    <t>black-eyed peas</t>
  </si>
  <si>
    <t>397g</t>
  </si>
  <si>
    <t>queijo coalho</t>
  </si>
  <si>
    <t>142g</t>
  </si>
  <si>
    <t>21g</t>
  </si>
  <si>
    <t>720ml</t>
  </si>
  <si>
    <t>cassava root</t>
  </si>
  <si>
    <t xml:space="preserve">500g </t>
  </si>
  <si>
    <t>15 ml</t>
  </si>
  <si>
    <t>200 ml</t>
  </si>
  <si>
    <t>30 ml</t>
  </si>
  <si>
    <t>cream cheese</t>
  </si>
  <si>
    <t>225g</t>
  </si>
  <si>
    <t>115g</t>
  </si>
  <si>
    <t>bulgur wheat</t>
  </si>
  <si>
    <t>250g</t>
  </si>
  <si>
    <t>minced lamb</t>
  </si>
  <si>
    <t>1kg</t>
  </si>
  <si>
    <t>mint</t>
  </si>
  <si>
    <t>white pepper</t>
  </si>
  <si>
    <t>2.5-5ml</t>
  </si>
  <si>
    <t>nutmeg</t>
  </si>
  <si>
    <t>ground cinnamon</t>
  </si>
  <si>
    <t>minced beef</t>
  </si>
  <si>
    <t>pine nuts</t>
  </si>
  <si>
    <t>50g</t>
  </si>
  <si>
    <t>260g</t>
  </si>
  <si>
    <t>cachaça</t>
  </si>
  <si>
    <t>white vinegar</t>
  </si>
  <si>
    <t>warm water</t>
  </si>
  <si>
    <t>green olive</t>
  </si>
  <si>
    <t>40g</t>
  </si>
  <si>
    <t>pork chop</t>
  </si>
  <si>
    <t>10ml</t>
  </si>
  <si>
    <t>pork ribs</t>
  </si>
  <si>
    <t>300g</t>
  </si>
  <si>
    <t>pork belly</t>
  </si>
  <si>
    <t>black beans</t>
  </si>
  <si>
    <t>not specifed</t>
  </si>
  <si>
    <t>honey</t>
  </si>
  <si>
    <t>80ml</t>
  </si>
  <si>
    <t>Pork loin</t>
  </si>
  <si>
    <t>1 tsp</t>
  </si>
  <si>
    <t>celery rib</t>
  </si>
  <si>
    <t>corn grits</t>
  </si>
  <si>
    <t>234g</t>
  </si>
  <si>
    <t>1.6l</t>
  </si>
  <si>
    <t>L</t>
  </si>
  <si>
    <t>28g</t>
  </si>
  <si>
    <t>pork shoulder</t>
  </si>
  <si>
    <t>2.3-3Kg</t>
  </si>
  <si>
    <t>pineapple juice</t>
  </si>
  <si>
    <t>spring rosemary</t>
  </si>
  <si>
    <t>4 leaves</t>
  </si>
  <si>
    <t>55g</t>
  </si>
  <si>
    <t>apple cider vinegar</t>
  </si>
  <si>
    <t>pineapple</t>
  </si>
  <si>
    <t>beans</t>
  </si>
  <si>
    <t>307g</t>
  </si>
  <si>
    <t>1l</t>
  </si>
  <si>
    <t>litre</t>
  </si>
  <si>
    <t>cassava flour</t>
  </si>
  <si>
    <t>70-140g</t>
  </si>
  <si>
    <t>840ml</t>
  </si>
  <si>
    <t>collard green</t>
  </si>
  <si>
    <t>1 portion</t>
  </si>
  <si>
    <t>portion</t>
  </si>
  <si>
    <t>94g</t>
  </si>
  <si>
    <t>81g</t>
  </si>
  <si>
    <t>not specfied</t>
  </si>
  <si>
    <t xml:space="preserve">everyday black beans </t>
  </si>
  <si>
    <t>250ml</t>
  </si>
  <si>
    <t>60ml</t>
  </si>
  <si>
    <t>675g</t>
  </si>
  <si>
    <t>2litres</t>
  </si>
  <si>
    <t>litres</t>
  </si>
  <si>
    <t>1.5kg</t>
  </si>
  <si>
    <t>25g</t>
  </si>
  <si>
    <t>198g</t>
  </si>
  <si>
    <t>30g</t>
  </si>
  <si>
    <t>feiojoada leftover</t>
  </si>
  <si>
    <t>210g</t>
  </si>
  <si>
    <t>170g</t>
  </si>
  <si>
    <t>1 bunch</t>
  </si>
  <si>
    <t>162g</t>
  </si>
  <si>
    <t>short rib</t>
  </si>
  <si>
    <t>16g</t>
  </si>
  <si>
    <t>short rib broth</t>
  </si>
  <si>
    <t>360ml</t>
  </si>
  <si>
    <t>10g</t>
  </si>
  <si>
    <t>108g</t>
  </si>
  <si>
    <t>red pepper flakes</t>
  </si>
  <si>
    <t>allspice</t>
  </si>
  <si>
    <t>45g</t>
  </si>
  <si>
    <t>270g</t>
  </si>
  <si>
    <t>46g</t>
  </si>
  <si>
    <t>7g</t>
  </si>
  <si>
    <t>1/2tsp</t>
  </si>
  <si>
    <t>fennel seeds</t>
  </si>
  <si>
    <t>dried yeast</t>
  </si>
  <si>
    <t>441g</t>
  </si>
  <si>
    <t>mixer</t>
  </si>
  <si>
    <t>chicken jointed</t>
  </si>
  <si>
    <t>1.6kg</t>
  </si>
  <si>
    <t>green bell pepper</t>
  </si>
  <si>
    <t>450ml</t>
  </si>
  <si>
    <t>dried shrimp</t>
  </si>
  <si>
    <t>root ginger</t>
  </si>
  <si>
    <t>roasted cashews</t>
  </si>
  <si>
    <t>peanuts</t>
  </si>
  <si>
    <t>400ml</t>
  </si>
  <si>
    <t>cilantro</t>
  </si>
  <si>
    <t>chicken breast</t>
  </si>
  <si>
    <t>700g</t>
  </si>
  <si>
    <t>palm hearts</t>
  </si>
  <si>
    <t>850g</t>
  </si>
  <si>
    <t>egg yolk</t>
  </si>
  <si>
    <t>chicken thights</t>
  </si>
  <si>
    <t>sweet paprika</t>
  </si>
  <si>
    <t>5g</t>
  </si>
  <si>
    <t>okra</t>
  </si>
  <si>
    <t>403ml</t>
  </si>
  <si>
    <t>sesame oil</t>
  </si>
  <si>
    <t>yellow bell pepper</t>
  </si>
  <si>
    <t>orange bell pepper</t>
  </si>
  <si>
    <t>49g</t>
  </si>
  <si>
    <t>pizza dough</t>
  </si>
  <si>
    <t>160ml</t>
  </si>
  <si>
    <t>168g</t>
  </si>
  <si>
    <t>chicken whole</t>
  </si>
  <si>
    <t>1.5-1.8Kg</t>
  </si>
  <si>
    <t>1litre</t>
  </si>
  <si>
    <t>polenta</t>
  </si>
  <si>
    <t>325g</t>
  </si>
  <si>
    <t>480g</t>
  </si>
  <si>
    <t>90g</t>
  </si>
  <si>
    <t>pepper sauce</t>
  </si>
  <si>
    <t>white fish</t>
  </si>
  <si>
    <t>112g</t>
  </si>
  <si>
    <t>salt cod</t>
  </si>
  <si>
    <t>cooked white rice</t>
  </si>
  <si>
    <t>black olive</t>
  </si>
  <si>
    <t>octopus tentacles</t>
  </si>
  <si>
    <t>600g</t>
  </si>
  <si>
    <t>20g</t>
  </si>
  <si>
    <t>800g</t>
  </si>
  <si>
    <t>whole clove</t>
  </si>
  <si>
    <t>300ml</t>
  </si>
  <si>
    <t>150ml</t>
  </si>
  <si>
    <t>175g</t>
  </si>
  <si>
    <t>Not specified</t>
  </si>
  <si>
    <t>mussels</t>
  </si>
  <si>
    <t>coriander seeds</t>
  </si>
  <si>
    <t>crab meat</t>
  </si>
  <si>
    <t>lobster meat</t>
  </si>
  <si>
    <t>375g</t>
  </si>
  <si>
    <t>18g</t>
  </si>
  <si>
    <t>cold mashed potato</t>
  </si>
  <si>
    <t>150g</t>
  </si>
  <si>
    <t>green chillies</t>
  </si>
  <si>
    <t>french bread</t>
  </si>
  <si>
    <t>2 slices</t>
  </si>
  <si>
    <t>75ml</t>
  </si>
  <si>
    <t>90ml</t>
  </si>
  <si>
    <t>1.5ml</t>
  </si>
  <si>
    <t>2.5ml</t>
  </si>
  <si>
    <t>65g</t>
  </si>
  <si>
    <t>500ml</t>
  </si>
  <si>
    <t>fish stock</t>
  </si>
  <si>
    <t>750ml</t>
  </si>
  <si>
    <t>75g</t>
  </si>
  <si>
    <t>420g</t>
  </si>
  <si>
    <t>chickpeas</t>
  </si>
  <si>
    <t>439g</t>
  </si>
  <si>
    <t>cassava starch</t>
  </si>
  <si>
    <t xml:space="preserve">450g </t>
  </si>
  <si>
    <t>285 ml</t>
  </si>
  <si>
    <t>everyday black beans</t>
  </si>
  <si>
    <t>20 leaves</t>
  </si>
  <si>
    <t>leaves</t>
  </si>
  <si>
    <t>100ml</t>
  </si>
  <si>
    <t>368g</t>
  </si>
  <si>
    <t>leek</t>
  </si>
  <si>
    <t>2.5l</t>
  </si>
  <si>
    <t>liters</t>
  </si>
  <si>
    <t>pasta</t>
  </si>
  <si>
    <t>Plain flour</t>
  </si>
  <si>
    <t>rice flour</t>
  </si>
  <si>
    <t>chayote</t>
  </si>
  <si>
    <t>20ml</t>
  </si>
  <si>
    <t>feta cheese</t>
  </si>
  <si>
    <t>corncob</t>
  </si>
  <si>
    <t>pumpkin</t>
  </si>
  <si>
    <t>71g</t>
  </si>
  <si>
    <t>cinnamon stick</t>
  </si>
  <si>
    <t>granulated tapioca</t>
  </si>
  <si>
    <t>240g</t>
  </si>
  <si>
    <t>960ml</t>
  </si>
  <si>
    <t>280g</t>
  </si>
  <si>
    <t>frequency</t>
  </si>
  <si>
    <t>units_list</t>
  </si>
  <si>
    <t>Density(Average g/ml)</t>
  </si>
  <si>
    <t>Weight (Average)</t>
  </si>
  <si>
    <t>Source</t>
  </si>
  <si>
    <t>Total g</t>
  </si>
  <si>
    <t>CF factor (gCO2e)</t>
  </si>
  <si>
    <t>WF factor (liters)</t>
  </si>
  <si>
    <t>EF factor (g-m2)</t>
  </si>
  <si>
    <t>CF total (gCO2e)</t>
  </si>
  <si>
    <t>WF total (liters)</t>
  </si>
  <si>
    <t>EF total (g-m2)</t>
  </si>
  <si>
    <t>250ml, 960ml 240ml, 200ml, 1l, 250ml, 2litres, 480ml, 480ml, 240ml, 240ml, 1litre, 120ml, 240ml, 30ml, 285 ml, 600ml, 250ml, 1litre, 2.5l, 60ml, 240ml, 120ml, 160ml, 420ml, 840ml, 120ml, 120ml</t>
  </si>
  <si>
    <t>14445ml</t>
  </si>
  <si>
    <t>-</t>
  </si>
  <si>
    <t xml:space="preserve"> 397g, 794g, 4, 2, 3, 1, 1, 4, 4, 1, 2, 1, 2, 1, 2, 1, 6, 2, 400g, 400g, 1, 3, 3, 2</t>
  </si>
  <si>
    <t>46, 1991g</t>
  </si>
  <si>
    <t>https://biblioteca.ibge.gov.br/visualizacao/livros/liv50000.pdf</t>
  </si>
  <si>
    <t>240ml, 80ml, 480ml, 240ml, 1litre, 75ml, 500ml, 120ml, 250ml, 150ml, 450ml, 80ml, 960ml</t>
  </si>
  <si>
    <t>4625ml</t>
  </si>
  <si>
    <t>https://www.fao.org/fileadmin/templates/food_composition/documents/density_DB_v2_0_01.pdf</t>
  </si>
  <si>
    <t>30 ml, 15 ml, 30 ml, 30ml, 45ml, 15ml, 1tsp, 480ml, 30ml, 15ml, 30 ml, 30 ml, 30ml, 45ml, 15ml, 15ml, 15ml, 10ml, 60ml, 60ml, 30ml, 30ml, 480ml, 15ml, 60ml, 60ml, 15ml, 45ml, 30ml, 30ml, 30ml, 30ml, 30ml, 250ml, 120ml</t>
  </si>
  <si>
    <t>5225, 1tsp</t>
  </si>
  <si>
    <t xml:space="preserve"> 8, 907g, 1kg, 1kg, 450g</t>
  </si>
  <si>
    <t>4264g, 8</t>
  </si>
  <si>
    <t>8, 675g, 1.5kg, 500g, 4, 350g</t>
  </si>
  <si>
    <t xml:space="preserve"> 1, 1, 2, 2, 2, 1, 2, 1, 1, 2, 1, 1/2, 1/2, 1/4, 1, 1, 1, 1, 1, 1, 1, 1, 1, 1, 1, 1, 1, 1, 2, 1, 1, 1, 1, 1, 1, 1, 1/2, 1, 1, 1/4, 1/2, 2, 1, 1, 1, 1, 1, 1, 1, 2, 1, 1, 1, 1,2</t>
  </si>
  <si>
    <t>8g, 125g, 8g, 8g, 260g, 94g, 250g, 441g, 850g, 30ml, 480g, 8g, 250g, 16g, 125g, 16g, 375g, 8g, 260g, 400g</t>
  </si>
  <si>
    <t>3982,30ml</t>
  </si>
  <si>
    <t>1.25Kg, 1.6Kg, 907g</t>
  </si>
  <si>
    <t>3757g</t>
  </si>
  <si>
    <t>1.6l, 450ml, 360ml, 120ml, 450ml, 250ml</t>
  </si>
  <si>
    <t>700g, 907g,907g, 226g,454g</t>
  </si>
  <si>
    <t>65g, 400g, 454g, 4, 200g, 226g, 226g, 907g, 454g</t>
  </si>
  <si>
    <t>2932,4</t>
  </si>
  <si>
    <t>350g, 454g, 907g, 800g, 12, 200g, 65g, 300g</t>
  </si>
  <si>
    <t>2776,12</t>
  </si>
  <si>
    <t>https://www.sciencedirect.com/science/article/abs/pii/S0048969724007125</t>
  </si>
  <si>
    <t>400ml, 403ml, 300ml, 400ml, 200ml, 480ml, 400ml</t>
  </si>
  <si>
    <t>2583ml</t>
  </si>
  <si>
    <t>https://www.aqua-calc.com/page/density-table/substance/coconut-blank-milk-coma-and-blank-upc-column--blank-044738018432#google_vignette</t>
  </si>
  <si>
    <t>1.1Kg, 1.5Kg</t>
  </si>
  <si>
    <t>2600g</t>
  </si>
  <si>
    <t>120ml, 720ml, 480ml, 360ml, 400 ml, 240ml, 120ml, 120ml</t>
  </si>
  <si>
    <t>1.5 Kg, 907g</t>
  </si>
  <si>
    <t>2407g</t>
  </si>
  <si>
    <t>2350g</t>
  </si>
  <si>
    <t>500g, 454g, 600g, 675g</t>
  </si>
  <si>
    <t>500g, 500g, 454g, 85g, 350g, 300g</t>
  </si>
  <si>
    <t>2189g</t>
  </si>
  <si>
    <t>400 g, 400 g, 907g, 454g</t>
  </si>
  <si>
    <t>2151g</t>
  </si>
  <si>
    <t>45 ml, 35ml, 80ml, 5ml, 30ml, 1 tsp, 120ml, 1tsp, 45ml, 60ml, 240ml, 1tsp, 1tsp, 15ml, 5ml, 15ml, 15ml, 60ml, 30ml, 15ml, 30ml, 45ml, 1tsp, 45ml, 15ml, 60ml, 60ml, 60ml, 150ml, 30ml, 15ml, 30 ml, 15ml, 30ml, 45ml, 200ml, 30ml, 45ml, 15ml, 360ml, 1tsp, 15ml</t>
  </si>
  <si>
    <t>6tsp,2210ml</t>
  </si>
  <si>
    <t>https://pubchem.ncbi.nlm.nih.gov/compound/Olive-Oil#section=Solubility</t>
  </si>
  <si>
    <t>70-140g, 210g, 125g, 420g, 400g, 500g</t>
  </si>
  <si>
    <t>1760g</t>
  </si>
  <si>
    <t>1kg, 907</t>
  </si>
  <si>
    <t>1907g</t>
  </si>
  <si>
    <t>454g, 454g, 500g, 450g</t>
  </si>
  <si>
    <t>375g, 200g, 400g, 400g, 350g</t>
  </si>
  <si>
    <t>1.65Kg</t>
  </si>
  <si>
    <t>1600g</t>
  </si>
  <si>
    <t>75 g, 28g, 57g, 57g, 14g, 14g, 42g, 15 ml, 28g, 57g, 14g, 300g, 28g, 14g, 170g, 14g, 28g, 28g, 28g, 28g, 45ml, 15ml, 115g, 115g, 15ml, 42g, 71g, 28g, 42g</t>
  </si>
  <si>
    <t>1452g, 90ml</t>
  </si>
  <si>
    <t>1 bunch, 1 bunch, 20 leaves, 680g, 350</t>
  </si>
  <si>
    <t>2 bunch, 20 leaves, 680g</t>
  </si>
  <si>
    <t>42 (portion)
25 (leaf)</t>
  </si>
  <si>
    <t>1Kg, 400g</t>
  </si>
  <si>
    <t>1400g</t>
  </si>
  <si>
    <t>225g, 198g, 113g, 250g, 113g, 454g</t>
  </si>
  <si>
    <t>4,2,4, 2, 6</t>
  </si>
  <si>
    <t>1Kg, 350g</t>
  </si>
  <si>
    <t>450g, 500g, 280g</t>
  </si>
  <si>
    <t>1230g</t>
  </si>
  <si>
    <t>125 g, 115g, 226g, 57g, 113g, 113g, 85g, 225g, 170g</t>
  </si>
  <si>
    <t>2, 2, 2, 3, 3, 1, 2, 2, 3, 1, 1, 4, 1</t>
  </si>
  <si>
    <t>1, 2, 3, 1, 1, 1, 1/2, 1, 1, 1/2, 1, 30ml, 1</t>
  </si>
  <si>
    <t>14 ,30ml</t>
  </si>
  <si>
    <t>https://www.aqua-calc.com/page/density-table/substance/lime-blank-juice-coma-and-blank-raw</t>
  </si>
  <si>
    <t>226g, 226g, 168g, 112g, 100g, 113g, 200g</t>
  </si>
  <si>
    <t>300g,420g, 5</t>
  </si>
  <si>
    <t>720g, 5</t>
  </si>
  <si>
    <t>1000g</t>
  </si>
  <si>
    <t>https://spo.nmfs.noaa.gov/sites/default/files/pdf-content/MFR/mfr408/mfr4084.pdf</t>
  </si>
  <si>
    <t>450g, 500g</t>
  </si>
  <si>
    <t>950g</t>
  </si>
  <si>
    <t>240ml, 200 ml, 120ml, 240ml, 45ml, 15ml, 75ml</t>
  </si>
  <si>
    <t>935ml</t>
  </si>
  <si>
    <t>pork loin</t>
  </si>
  <si>
    <t>4, 3, 2, 2, 3, 4, 1, 1, 8, 2, 3, 3, 4, 4, 4, 2, 2, 1, 5, 8, 3, 11, 3, 3, 4, 2, 3, 3, 2, 4, 4, 6, 3, 2, 3, 6, 3, 3, 5, 4, 3, 2, 5, 6, 2, 2, 2, 2, 1, 4, 1, 3, 4, 4, 3, 4</t>
  </si>
  <si>
    <t>400g, 400g</t>
  </si>
  <si>
    <t>216g, 162g, 108g, 115g, 65g, 81g</t>
  </si>
  <si>
    <t>666g</t>
  </si>
  <si>
    <t>397g, 120ml, 80ml, 160 ml</t>
  </si>
  <si>
    <t>397g, 360ml</t>
  </si>
  <si>
    <t>https://www.aqua-calc.com/page/density-table/substance/tomato-blank-sauce-coma-and-blank-upc-column--blank-011110816351</t>
  </si>
  <si>
    <t>300g, 454g</t>
  </si>
  <si>
    <t>754g</t>
  </si>
  <si>
    <t>average</t>
  </si>
  <si>
    <t>750g</t>
  </si>
  <si>
    <t>397g, 300g</t>
  </si>
  <si>
    <t>697g</t>
  </si>
  <si>
    <t>307g, 368g</t>
  </si>
  <si>
    <t>250 ml, 250ml, 90ml</t>
  </si>
  <si>
    <t>590ml</t>
  </si>
  <si>
    <t>15 ml, 25g, 30ml, 21g, 30g, 60g, 4g, 15g, 21g, 21g, 30 ml, 15g, 15ml, 10ml, 15g, 30ml, 30g, 4g, 30ml, 15g, 15g, 15g, 60g, 8g, 20g, 45ml, 25g, 15ml, 5ml, 30ml, 25g, 21g, 30ml, 25g, 21g</t>
  </si>
  <si>
    <t>285ml,511g</t>
  </si>
  <si>
    <t>1,9</t>
  </si>
  <si>
    <t>250g, 270g</t>
  </si>
  <si>
    <t>530g</t>
  </si>
  <si>
    <t>2, 1, 1, 1, 1, 3</t>
  </si>
  <si>
    <t>142g, 335g</t>
  </si>
  <si>
    <t>477g</t>
  </si>
  <si>
    <t>100g, 25g, 25g, 50g, 40g, 100g, 50g, 50g, 25g</t>
  </si>
  <si>
    <t>465g</t>
  </si>
  <si>
    <t>feijoada leftover</t>
  </si>
  <si>
    <t>240ml, 120ml</t>
  </si>
  <si>
    <t>aqua-calc.com/page/density-table/substance/pineapple-blank-juice-coma-and-blank-canned-coma-and-blank-not-blank-from-blank-concentrate-coma-and-blank-unsweetened-coma-and-blank-with-blank-added-blank-vitamins-blank-a-coma-and-blank-c-blank-and-blank-e</t>
  </si>
  <si>
    <t>3,1,1,</t>
  </si>
  <si>
    <t>120ml, 120ml, 80ml</t>
  </si>
  <si>
    <t>320ml</t>
  </si>
  <si>
    <t>1, 1, 1, 2, 1</t>
  </si>
  <si>
    <t>https://hannaone.com/Recipe/weightchili.html</t>
  </si>
  <si>
    <t>40g, 90g, 45g, 90g</t>
  </si>
  <si>
    <t>265g</t>
  </si>
  <si>
    <t>1tsp, 5ml, 5ml, 1tsp, 10g, 7g, 7g, 10ml, 14g, 1tsp, 18g, 1tsp,30ml, 5ml, 5ml, 5ml, 2.5ml, 15ml, 20ml, 1/2tsp, 7g</t>
  </si>
  <si>
    <t>102.5ml, 9/2tsp, 63g</t>
  </si>
  <si>
    <t>15ml, 15ml, 1/2tsp, 200g</t>
  </si>
  <si>
    <t>200g, 30ml,1/2tsp</t>
  </si>
  <si>
    <t>6, 115g</t>
  </si>
  <si>
    <t>6,115g</t>
  </si>
  <si>
    <t>40g, 150g</t>
  </si>
  <si>
    <t>190g</t>
  </si>
  <si>
    <t>30ml, 15ml, 30ml, 30ml, 2.5ml, 15ml, 60ml, 30ml</t>
  </si>
  <si>
    <t>175g 90g</t>
  </si>
  <si>
    <t>1, 1, 1,</t>
  </si>
  <si>
    <t>115g, 46g</t>
  </si>
  <si>
    <t>161g</t>
  </si>
  <si>
    <t>25g, 49g, 75g</t>
  </si>
  <si>
    <t>149g</t>
  </si>
  <si>
    <t>30 ml, 15ml, 100ml</t>
  </si>
  <si>
    <t>145ml</t>
  </si>
  <si>
    <t xml:space="preserve"> https://sistemasdeproducao.cnptia.embrapa.br/FontesHTML/Vinagre/SistemaProducaoVinagre/composicao.htm</t>
  </si>
  <si>
    <t>5ml, 80ml, 15ml, 30ml, 5ml</t>
  </si>
  <si>
    <t>135ml</t>
  </si>
  <si>
    <t>https://periodicos.utfpr.edu.br/rbta/article/viewFile/17567/10358</t>
  </si>
  <si>
    <t>25g, 8g, 25g, 25g, 25g, 15g, 5g</t>
  </si>
  <si>
    <t>128g</t>
  </si>
  <si>
    <t>2, 1/2</t>
  </si>
  <si>
    <t>16g, 16g, 16g, 16g, 16g, 8g, 15ml, 15ml</t>
  </si>
  <si>
    <t>88g, 30ml</t>
  </si>
  <si>
    <t>https://www.aqua-calc.com/page/density-table/substance/tomato-blank-paste-coma-and-blank-upc-column--blank-822356000868</t>
  </si>
  <si>
    <t>https://www.fda.gov/food/nutrition-food-labeling-and-critical-foods/nutrition-information-raw-vegetables</t>
  </si>
  <si>
    <t>15ml, 80ml</t>
  </si>
  <si>
    <t>95ml</t>
  </si>
  <si>
    <t>30ml, 15ml, 15g, 15ml, 30ml</t>
  </si>
  <si>
    <t>90ml, 15g</t>
  </si>
  <si>
    <t>https://www.aqua-calc.com/page/density-table/substance/worcestershire-blank-sauce-coma-and-blank-upc-column--blank-041512092442</t>
  </si>
  <si>
    <t>75g, 25g</t>
  </si>
  <si>
    <t>50g, 45g</t>
  </si>
  <si>
    <t>95g</t>
  </si>
  <si>
    <t>5 ml, 5 ml, 64g, 8g, 8g, 8g</t>
  </si>
  <si>
    <t>10ml,88g</t>
  </si>
  <si>
    <t>2, not specified</t>
  </si>
  <si>
    <t>14g, 1tsp, 55g</t>
  </si>
  <si>
    <t>69g,1tsp</t>
  </si>
  <si>
    <t>2,1,1,1</t>
  </si>
  <si>
    <t>https://www.sciencedirect.com/topics/food-science/egg-composition#:~:text=Yolk,is%20no%20CO2%20loss.</t>
  </si>
  <si>
    <t>https://www.fao.org/fileadmin/templates/food_composition/documents/upload/Density_databse_v1_final.pdf</t>
  </si>
  <si>
    <t>2, 30 ml, 15ml, 4, 6, 3,6, 3,2, not specified</t>
  </si>
  <si>
    <t>26, 45ml</t>
  </si>
  <si>
    <t>15ml, 15g,15ml</t>
  </si>
  <si>
    <t>30ml, 15g</t>
  </si>
  <si>
    <t>https://www.aqua-calc.com/page/density-table/substance/heinz-blank-tomato-blank-ketchup-coma-and-blank-upc-column--blank-00013000004664</t>
  </si>
  <si>
    <t>40g, 2.5ml</t>
  </si>
  <si>
    <t>https://www.aqua-calc.com/page/density-table/substance/ginger-blank-root-coma-and-blank-raw</t>
  </si>
  <si>
    <t>15ml, 15ml</t>
  </si>
  <si>
    <t>https://sistemasdeproducao.cnptia.embrapa.br/FontesHTML/Vinagre/SistemaProducaoVinagre/composicao.htm</t>
  </si>
  <si>
    <t>https://pubchem.ncbi.nlm.nih.gov/compound/Sesame-Oil#section=Solubility</t>
  </si>
  <si>
    <t>8g, 1tsp, 1/2tsp, 14g</t>
  </si>
  <si>
    <t>22g, 3/2 tsp</t>
  </si>
  <si>
    <t>https://www.aqua-calc.com/page/density-table/substance/smoked-blank-paprika-coma-and-blank-upc-column--blank-016291441842</t>
  </si>
  <si>
    <t>15g, 8g</t>
  </si>
  <si>
    <t>5g, 5g, 8g</t>
  </si>
  <si>
    <t>https://pmc.ncbi.nlm.nih.gov/articles/PMC10835713/</t>
  </si>
  <si>
    <t>https://plantin.alibaba.com/plant-wiki/how-much-dried-rosemary-equals-a-sprig#:~:text=Table_title:%20Key%20Differences%20Table_content:%20header:%20%7C%20Form,1%20tsp%20%E2%89%88%201%20fresh%20sprig%20%7C</t>
  </si>
  <si>
    <t>https://www.alibaba.com/product-insights/clove-spice-exact-measurements-cooking-ratios-bitterness-prevention-guide.html</t>
  </si>
  <si>
    <t>2, 1, 3, 1, 2, 3, 2, 2, 1, 1, 1, 3</t>
  </si>
  <si>
    <t>https://herbmedicineindonesia.com/spices/how-much-do-5-bay-leaves-weigh-in-grams/</t>
  </si>
  <si>
    <t>https://www.aqua-calc.com/page/density-table/substance/hot-blank-pepper-blank-sauce</t>
  </si>
  <si>
    <t>5ml, 1/2tsp, 1.5ml, 1.5ml</t>
  </si>
  <si>
    <t>8ml, 1/2tsp</t>
  </si>
  <si>
    <t>https://www.aqua-calc.com/page/density-table/substance/spices-coma-and-blank-nutmeg-coma-and-blank-ground</t>
  </si>
  <si>
    <t xml:space="preserve"> 1/2tsp, 1tsp, 2.5ml</t>
  </si>
  <si>
    <t>3/2tsp, 2.5ml</t>
  </si>
  <si>
    <t>https://www.aqua-calc.com/page/density-table/substance/spices-coma-and-blank-pepper-coma-and-blank-black-blank--op-ground-cp-#google_vignette</t>
  </si>
  <si>
    <t>3.75ml, 5ml</t>
  </si>
  <si>
    <t>8.75ml</t>
  </si>
  <si>
    <t>https://www.aqua-calc.com/page/density-table/substance/spices-coma-and-blank-pepper-coma-and-blank-white-blank--op-ground-cp-</t>
  </si>
  <si>
    <t>https://www.alibaba.com/product-insights/how-much-is-a-sprig-of-thyme-verified-measurements.html</t>
  </si>
  <si>
    <t>2-4g</t>
  </si>
  <si>
    <t>3g</t>
  </si>
  <si>
    <t>5ml, not specified</t>
  </si>
  <si>
    <t>1/4tsp, 1/2tsp</t>
  </si>
  <si>
    <t>3/4tsp</t>
  </si>
  <si>
    <t>https://www.aqua-calc.com/page/density-table/substance/red-blank-chili-blank-flakes-coma-and-blank-upc-column--blank-016291441859</t>
  </si>
  <si>
    <t>https://www.sciencedirect.com/science/article/pii/S0260877406002226</t>
  </si>
  <si>
    <t>1/2tsp, 1tsp</t>
  </si>
  <si>
    <t>3/2tsp</t>
  </si>
  <si>
    <t>https://www.aqua-calc.com/page/density-table/substance/spices-coma-and-blank-oregano-coma-and-blank-dried-blank--op-tsp-coma-and-blank-leaves-cp-</t>
  </si>
  <si>
    <t>1/4tsp, 1/4tsp</t>
  </si>
  <si>
    <t>2/4tsp</t>
  </si>
  <si>
    <t>https://www.aqua-calc.com/page/density-table/substance/spices-coma-and-blank-allspice-coma-and-blank-ground</t>
  </si>
  <si>
    <t>https://www.aqua-calc.com/page/density-table/substance/fennel-blank-seeds-coma-and-blank-upc-column--blank-718343230557</t>
  </si>
  <si>
    <t>https://www.alibaba.com/product-insights/how-much-ground-cinnamon-equals-one-stick-teaspoon-conversion.html#:~:text=A%20standard%20cinnamon%20stick%20measures,contact%20with%20heat%20or%20liquid.</t>
  </si>
  <si>
    <t>5/4tsp</t>
  </si>
  <si>
    <t>https://www.aqua-calc.com/page/density-table/substance/spices-coma-and-blank-turmeric-coma-and-blank-ground</t>
  </si>
  <si>
    <t>Citado no minimo 3 vezes</t>
  </si>
  <si>
    <t>45 ml, 35ml, 80ml, 5ml, 30ml, 1 tsp, 120ml, 1tsp, 45ml, 60ml, 240ml, 1tsp, 1tsp, 15ml, 5ml, 15ml, 15ml, 60ml, 30ml, 15ml, 30ml, 45ml, 1tsp, 45ml, 15ml, 60ml, 60ml, 60ml, 150ml, 30ml, 15ml, 30 ml, 15ml, 30ml, 15ml, 45ml, 200ml, 30ml, 45ml, 15ml, 360ml, 1tsp,</t>
  </si>
  <si>
    <t>75 g, 28g, 57g, 57g, 14g, 42g, 14g, 42g, 15 ml, 28g, 57g, 14g, 300g, 28g, 14g, 170g, 14g, 28g, 28g, 28g, 28g, 45ml, 15ml, 115g, 115g, 15ml, 71g, 28g, 42g</t>
  </si>
  <si>
    <t>48, 1991g</t>
  </si>
  <si>
    <t>14.5 ,30ml</t>
  </si>
  <si>
    <t>132g</t>
  </si>
  <si>
    <t>2, 30 ml, 15ml, 4, 6, 3,6, 3,2</t>
  </si>
  <si>
    <t>1.6l, 450ml, 360ml, 120ml, 450ml, 250ml, 450ml, 250ml</t>
  </si>
  <si>
    <t>2525, 17</t>
  </si>
  <si>
    <t>70-140g, 210g, 125g, 420g, 400g, 500g,</t>
  </si>
  <si>
    <t>red pepper</t>
  </si>
  <si>
    <t>4,2,4,2, 6</t>
  </si>
  <si>
    <t>60ml, 15g</t>
  </si>
  <si>
    <t>e-book</t>
  </si>
  <si>
    <t xml:space="preserve">3, 1, 1, </t>
  </si>
  <si>
    <t>https://www.aqua-calc.com/page/density-table/substance/whole-blank-cloves-coma-and-blank-upc-column--blank-077636014237</t>
  </si>
  <si>
    <t>23g</t>
  </si>
  <si>
    <t xml:space="preserve">pineapple </t>
  </si>
  <si>
    <t>cashew nuts</t>
  </si>
  <si>
    <t>Carbon (CF, gCO2eq), water (WF, liters) and ecological (EF, g-m2) footprints per 1 kg of foods without preparation</t>
  </si>
  <si>
    <t>Ingredient_code_IBGE</t>
  </si>
  <si>
    <t>HS_Subposition_Code</t>
  </si>
  <si>
    <t>Ingredient_description_IBGE</t>
  </si>
  <si>
    <t>CF</t>
  </si>
  <si>
    <t>WF</t>
  </si>
  <si>
    <t>EF</t>
  </si>
  <si>
    <t>(gCO2e)</t>
  </si>
  <si>
    <t>(litros)</t>
  </si>
  <si>
    <t>(g-m2)</t>
  </si>
  <si>
    <t>rice (polished, parboiled, long grain etc.)</t>
  </si>
  <si>
    <t>10,0</t>
  </si>
  <si>
    <t>brown rice</t>
  </si>
  <si>
    <t>corn (kernel)</t>
  </si>
  <si>
    <t>3,2</t>
  </si>
  <si>
    <t>hominy (kernel)</t>
  </si>
  <si>
    <t>8,4</t>
  </si>
  <si>
    <t>xerém (corn porridge)</t>
  </si>
  <si>
    <t>peanut (kernel) (in natura)</t>
  </si>
  <si>
    <t>7,5</t>
  </si>
  <si>
    <t>peas</t>
  </si>
  <si>
    <t>26,0</t>
  </si>
  <si>
    <t>broad bean (grains)</t>
  </si>
  <si>
    <t>5,4</t>
  </si>
  <si>
    <t>lima bean</t>
  </si>
  <si>
    <t>cowpea</t>
  </si>
  <si>
    <t>black-eyed pea</t>
  </si>
  <si>
    <t>flaxseed</t>
  </si>
  <si>
    <t>andu bean</t>
  </si>
  <si>
    <t>chickpea</t>
  </si>
  <si>
    <t>lentil</t>
  </si>
  <si>
    <t>soybean (grains)</t>
  </si>
  <si>
    <t>bean (black, “mulatinho”, purple, pink etc.)</t>
  </si>
  <si>
    <t>unspecified quirera (crushed corn)</t>
  </si>
  <si>
    <t>organic black-eyed pea</t>
  </si>
  <si>
    <t>organic bean</t>
  </si>
  <si>
    <t>light popcorn</t>
  </si>
  <si>
    <t>organic rice</t>
  </si>
  <si>
    <t>organic brown rice</t>
  </si>
  <si>
    <t>organic soybean</t>
  </si>
  <si>
    <t>quinoa</t>
  </si>
  <si>
    <t>2,4</t>
  </si>
  <si>
    <t>mandioquinha salsa (“baronness potato”)</t>
  </si>
  <si>
    <t>1,0</t>
  </si>
  <si>
    <t>yellow carrot (“baronness potato”)</t>
  </si>
  <si>
    <t>sweet potato</t>
  </si>
  <si>
    <t>3,1</t>
  </si>
  <si>
    <t>yam</t>
  </si>
  <si>
    <t>quiçaré (yam species)</t>
  </si>
  <si>
    <t>manioc</t>
  </si>
  <si>
    <t>macaxeira (manioc)</t>
  </si>
  <si>
    <t>cará (yam-like tuber)</t>
  </si>
  <si>
    <t>rough yam (cará)</t>
  </si>
  <si>
    <t>potato (unspecified)</t>
  </si>
  <si>
    <t>mandioquinha (baroness potato)</t>
  </si>
  <si>
    <t>radish</t>
  </si>
  <si>
    <t>0,5</t>
  </si>
  <si>
    <t>beetroot</t>
  </si>
  <si>
    <t>turnip</t>
  </si>
  <si>
    <t>tumeric</t>
  </si>
  <si>
    <t>1,5</t>
  </si>
  <si>
    <t>giger</t>
  </si>
  <si>
    <t>49,5</t>
  </si>
  <si>
    <t>organic potato</t>
  </si>
  <si>
    <t>rice cream</t>
  </si>
  <si>
    <t>5,5</t>
  </si>
  <si>
    <t>arrozina (cornstarch with rice flour)</t>
  </si>
  <si>
    <t>10,4</t>
  </si>
  <si>
    <t>mucilon (baby porridge)</t>
  </si>
  <si>
    <t>croquinhos de arroz (rice cereal)</t>
  </si>
  <si>
    <t>10,5</t>
  </si>
  <si>
    <t>oat flour</t>
  </si>
  <si>
    <t>rolled oats</t>
  </si>
  <si>
    <t>cornmeal</t>
  </si>
  <si>
    <t>corn flour</t>
  </si>
  <si>
    <t>corn puba (fermented corn)</t>
  </si>
  <si>
    <t>13,5</t>
  </si>
  <si>
    <t>cornmeal puba (fermented cornmeal)</t>
  </si>
  <si>
    <t>11,0</t>
  </si>
  <si>
    <t>crushed corn</t>
  </si>
  <si>
    <t>rice starch</t>
  </si>
  <si>
    <t>cremogema (cornstarch)</t>
  </si>
  <si>
    <t>vitamilho (corn flour)</t>
  </si>
  <si>
    <t>cornflakes</t>
  </si>
  <si>
    <t>9,0</t>
  </si>
  <si>
    <t>Bread flouer</t>
  </si>
  <si>
    <t>wheat germ</t>
  </si>
  <si>
    <t>wheat fiber</t>
  </si>
  <si>
    <t>wheat cereal fiber</t>
  </si>
  <si>
    <t>manioc flour</t>
  </si>
  <si>
    <t>copioba flour</t>
  </si>
  <si>
    <t>farinha d’água (cassava flour)</t>
  </si>
  <si>
    <t>cruera (manioc fragments)</t>
  </si>
  <si>
    <t>manioc starch</t>
  </si>
  <si>
    <t>tapioca flour</t>
  </si>
  <si>
    <t>beiju flour</t>
  </si>
  <si>
    <t>tapioca starch</t>
  </si>
  <si>
    <t>farinha láctea (milk flour supplement)</t>
  </si>
  <si>
    <t>neston (cereal smoothie powder)</t>
  </si>
  <si>
    <t>cereal balls</t>
  </si>
  <si>
    <t>vitaflocos (flaked corn flour)</t>
  </si>
  <si>
    <t>semi-ready mini pizza</t>
  </si>
  <si>
    <t>9,4</t>
  </si>
  <si>
    <t>soybean fiber</t>
  </si>
  <si>
    <t>mini pastel (Brazilian fried dough)</t>
  </si>
  <si>
    <t>Pasta for lasagna</t>
  </si>
  <si>
    <t>spaghetti</t>
  </si>
  <si>
    <t>vegetable steak</t>
  </si>
  <si>
    <t>vegetable beef</t>
  </si>
  <si>
    <t>soybean pasta</t>
  </si>
  <si>
    <t>soy meat</t>
  </si>
  <si>
    <t>peanut flouer</t>
  </si>
  <si>
    <t>crushed peanut</t>
  </si>
  <si>
    <t>granola</t>
  </si>
  <si>
    <t>muesli</t>
  </si>
  <si>
    <t>cereal mix</t>
  </si>
  <si>
    <t>noodles</t>
  </si>
  <si>
    <t>instant noodles</t>
  </si>
  <si>
    <t>sustagen (food supplement)</t>
  </si>
  <si>
    <t>57,5</t>
  </si>
  <si>
    <t>soy protein</t>
  </si>
  <si>
    <t>vegetable protein</t>
  </si>
  <si>
    <t>food supplement (any flavour)</t>
  </si>
  <si>
    <t>light cornflakes</t>
  </si>
  <si>
    <t>light semi-ready mini pizza</t>
  </si>
  <si>
    <t>light instant noodles</t>
  </si>
  <si>
    <t>organic soy protein</t>
  </si>
  <si>
    <t>Bahia coconut (dry or green)</t>
  </si>
  <si>
    <t>4,1</t>
  </si>
  <si>
    <t>Portuguese chestnut</t>
  </si>
  <si>
    <t>19,1</t>
  </si>
  <si>
    <t>almond</t>
  </si>
  <si>
    <t>hazelnut</t>
  </si>
  <si>
    <t>pará chestnut</t>
  </si>
  <si>
    <t>cashew nut</t>
  </si>
  <si>
    <t>butia (palm tree fruit)</t>
  </si>
  <si>
    <t>tucumã (palm tree fruit)</t>
  </si>
  <si>
    <t>mucaja coconut</t>
  </si>
  <si>
    <t>English walnut</t>
  </si>
  <si>
    <t>juçara (palm tree fruit)</t>
  </si>
  <si>
    <t>uaçaí (fruit)</t>
  </si>
  <si>
    <t>jussara (palm tree fruit)</t>
  </si>
  <si>
    <t>pupunha (heart of palm)</t>
  </si>
  <si>
    <t>bacaba (fruit)</t>
  </si>
  <si>
    <t>bacabuçu (fruit)</t>
  </si>
  <si>
    <t>horse chestnut</t>
  </si>
  <si>
    <t>pistachio</t>
  </si>
  <si>
    <t>buriti (moriche palm)</t>
  </si>
  <si>
    <t>patawa</t>
  </si>
  <si>
    <t>lettuce</t>
  </si>
  <si>
    <t>2,2</t>
  </si>
  <si>
    <t>vine spinach</t>
  </si>
  <si>
    <t>1,4</t>
  </si>
  <si>
    <t>chicory</t>
  </si>
  <si>
    <t>escarole</t>
  </si>
  <si>
    <t>collard greens</t>
  </si>
  <si>
    <t>1,2</t>
  </si>
  <si>
    <t>spinach</t>
  </si>
  <si>
    <t>mustard (vegetable)</t>
  </si>
  <si>
    <t>1,3</t>
  </si>
  <si>
    <t>cabbage</t>
  </si>
  <si>
    <t>chives</t>
  </si>
  <si>
    <t>cress</t>
  </si>
  <si>
    <t>taioba (arrowleaf elephant ear)</t>
  </si>
  <si>
    <t>silver beetroot (chard)</t>
  </si>
  <si>
    <t>almeirão (chicory)</t>
  </si>
  <si>
    <t>radite (chicory)</t>
  </si>
  <si>
    <t>sow thistle</t>
  </si>
  <si>
    <t>caruru (condiment made of okra)</t>
  </si>
  <si>
    <t>cuxá (roselle sauce)</t>
  </si>
  <si>
    <t>roselle</t>
  </si>
  <si>
    <t>cariru (waterleaf)</t>
  </si>
  <si>
    <t>arugula</t>
  </si>
  <si>
    <t>jambu (toothache plant)</t>
  </si>
  <si>
    <t>bugloss</t>
  </si>
  <si>
    <t>artichoke</t>
  </si>
  <si>
    <t>slender amaranth</t>
  </si>
  <si>
    <t>celery</t>
  </si>
  <si>
    <t>fennel</t>
  </si>
  <si>
    <t>cassava leaf</t>
  </si>
  <si>
    <t>manioc leaf</t>
  </si>
  <si>
    <t>bean sprout</t>
  </si>
  <si>
    <t>moranga (squash)</t>
  </si>
  <si>
    <t>zucchini</t>
  </si>
  <si>
    <t>squash</t>
  </si>
  <si>
    <t>cucumber</t>
  </si>
  <si>
    <t>scarlet eggplant</t>
  </si>
  <si>
    <t>maxixe (gherkin)</t>
  </si>
  <si>
    <t>gherkin</t>
  </si>
  <si>
    <t>heart of palm (in natura)</t>
  </si>
  <si>
    <t>guariroba (heart of palm in natura)</t>
  </si>
  <si>
    <t>bell pepper</t>
  </si>
  <si>
    <t>chilly</t>
  </si>
  <si>
    <t>0,8</t>
  </si>
  <si>
    <t>green bean</t>
  </si>
  <si>
    <t>mushroom (in natura)</t>
  </si>
  <si>
    <t>eggplant</t>
  </si>
  <si>
    <t>snow pea</t>
  </si>
  <si>
    <t>catalonha (chicory)</t>
  </si>
  <si>
    <t>jardineira (vegetable mix)</t>
  </si>
  <si>
    <t>vegetable mix (jardineira)</t>
  </si>
  <si>
    <t>5,0</t>
  </si>
  <si>
    <t>alfafa sprout</t>
  </si>
  <si>
    <t>organic lettuce</t>
  </si>
  <si>
    <t>organic tomato</t>
  </si>
  <si>
    <t>organic bell pepper</t>
  </si>
  <si>
    <t>pacova (Brazilian cardamom)</t>
  </si>
  <si>
    <t>banana (lady finger, cavendish, cooking etc.)</t>
  </si>
  <si>
    <t>orange (pear, navel, lime etc.)</t>
  </si>
  <si>
    <t>lemon (common, key lime etc.)</t>
  </si>
  <si>
    <t>tangerine</t>
  </si>
  <si>
    <t>mandarin orange</t>
  </si>
  <si>
    <t>bergamot orange</t>
  </si>
  <si>
    <t>mimosa (tangerine)</t>
  </si>
  <si>
    <t>tangelo</t>
  </si>
  <si>
    <t>maricota (tangerine)</t>
  </si>
  <si>
    <t>kinkan</t>
  </si>
  <si>
    <t>sugar cane</t>
  </si>
  <si>
    <t>3,8</t>
  </si>
  <si>
    <t>ananas</t>
  </si>
  <si>
    <t>4,0</t>
  </si>
  <si>
    <t>avocado</t>
  </si>
  <si>
    <t>persimmon</t>
  </si>
  <si>
    <t>fig</t>
  </si>
  <si>
    <t>formosa papaya</t>
  </si>
  <si>
    <t>papaya</t>
  </si>
  <si>
    <t>mango</t>
  </si>
  <si>
    <t>manguito (small-shaped mango)</t>
  </si>
  <si>
    <t>watermelon</t>
  </si>
  <si>
    <t>melon</t>
  </si>
  <si>
    <t>pear</t>
  </si>
  <si>
    <t>peach</t>
  </si>
  <si>
    <t>5,9</t>
  </si>
  <si>
    <t>sugar apple</t>
  </si>
  <si>
    <t>sweetsop (sugar apple)</t>
  </si>
  <si>
    <t>ata (sugar apple)</t>
  </si>
  <si>
    <t>grape</t>
  </si>
  <si>
    <t>raisin</t>
  </si>
  <si>
    <t>jenipapo (fruit used to produce liquors)</t>
  </si>
  <si>
    <t>jackfruit</t>
  </si>
  <si>
    <t>guava</t>
  </si>
  <si>
    <t>araçá açú (guava)</t>
  </si>
  <si>
    <t>plum</t>
  </si>
  <si>
    <t>cashew</t>
  </si>
  <si>
    <t>cherry</t>
  </si>
  <si>
    <t>june plum</t>
  </si>
  <si>
    <t>cajarana (june plum)</t>
  </si>
  <si>
    <t>taperebá (hog plum)</t>
  </si>
  <si>
    <t>acajá (hog plum)</t>
  </si>
  <si>
    <t>star fruit</t>
  </si>
  <si>
    <t>jaboticaba</t>
  </si>
  <si>
    <t>soursop</t>
  </si>
  <si>
    <t>1,6</t>
  </si>
  <si>
    <t>jambu (wax apple)</t>
  </si>
  <si>
    <t>atemoya</t>
  </si>
  <si>
    <t>mangaba fruit</t>
  </si>
  <si>
    <t>araçá (strawberry guava)</t>
  </si>
  <si>
    <t>loquat</t>
  </si>
  <si>
    <t>breadfruit</t>
  </si>
  <si>
    <t>sapodilla</t>
  </si>
  <si>
    <t>uxi fruit</t>
  </si>
  <si>
    <t>tamarind</t>
  </si>
  <si>
    <t>cocoa</t>
  </si>
  <si>
    <t>46,0</t>
  </si>
  <si>
    <t>pitomba</t>
  </si>
  <si>
    <t>bacuri</t>
  </si>
  <si>
    <t>inga fruit</t>
  </si>
  <si>
    <t>pequi (souari nut)</t>
  </si>
  <si>
    <t>pitanga (Brazilian cherry)</t>
  </si>
  <si>
    <t>ciriguela (red mombin)</t>
  </si>
  <si>
    <t>murici fruit</t>
  </si>
  <si>
    <t>umbu (Brazil plum)</t>
  </si>
  <si>
    <t>imbu (Brazil plum)</t>
  </si>
  <si>
    <t>biriba (wild sugar apple)</t>
  </si>
  <si>
    <t>cupuaçu</t>
  </si>
  <si>
    <t>nectarine</t>
  </si>
  <si>
    <t>mari</t>
  </si>
  <si>
    <t>pomegranate</t>
  </si>
  <si>
    <t>acerola cherry</t>
  </si>
  <si>
    <t>kiwi</t>
  </si>
  <si>
    <t>2,5</t>
  </si>
  <si>
    <t>abiu fruit</t>
  </si>
  <si>
    <t>jurubeba fruit</t>
  </si>
  <si>
    <t>fruit (unspecified)</t>
  </si>
  <si>
    <t>organic apple</t>
  </si>
  <si>
    <t>organic acerola cherry</t>
  </si>
  <si>
    <t>blackberry</t>
  </si>
  <si>
    <t>jamun (black plum)</t>
  </si>
  <si>
    <t>demerara sugar</t>
  </si>
  <si>
    <t>rapadura (sugar cane sweet)</t>
  </si>
  <si>
    <t>alfenim (sugar cane sweet)</t>
  </si>
  <si>
    <t>batida (seasoned rapadura)</t>
  </si>
  <si>
    <t>industrialized ice cream (any flavour)</t>
  </si>
  <si>
    <t>33,5</t>
  </si>
  <si>
    <t>industrialized popsicle (any flavour)</t>
  </si>
  <si>
    <t>bubble gum</t>
  </si>
  <si>
    <t>sweets</t>
  </si>
  <si>
    <t>caramel (sweets)</t>
  </si>
  <si>
    <t>drops</t>
  </si>
  <si>
    <t>pastille</t>
  </si>
  <si>
    <t>lollipop</t>
  </si>
  <si>
    <t>chewing gum</t>
  </si>
  <si>
    <t>gummy sweets</t>
  </si>
  <si>
    <t>chocolate slab</t>
  </si>
  <si>
    <t>chocolate bar</t>
  </si>
  <si>
    <t>chocolate confetti</t>
  </si>
  <si>
    <t>cocoa powder (any brand)</t>
  </si>
  <si>
    <t>ovaltine (ovomaltine)</t>
  </si>
  <si>
    <t>chocolate powder</t>
  </si>
  <si>
    <t>toddynho (industrialized chocolate milk)</t>
  </si>
  <si>
    <t>bonbon (any brand)</t>
  </si>
  <si>
    <t>chocolate truffle</t>
  </si>
  <si>
    <t>fruit jelly (jam of any brand or flavour)</t>
  </si>
  <si>
    <t>any flavour mousse (jelly)</t>
  </si>
  <si>
    <t>mocotó (calf’s foot) jelly</t>
  </si>
  <si>
    <t>fruit paste (any flavour)</t>
  </si>
  <si>
    <t>pessegada (peach paste)</t>
  </si>
  <si>
    <t>marmelade</t>
  </si>
  <si>
    <t>figada (fig paste)</t>
  </si>
  <si>
    <t>goiabada (guava paste)</t>
  </si>
  <si>
    <t>cashew paste</t>
  </si>
  <si>
    <t>mariola (fruit paste)</t>
  </si>
  <si>
    <t>fruits in syrup (any flavour)</t>
  </si>
  <si>
    <t>candied fruits in syrup (any flavour)</t>
  </si>
  <si>
    <t>molasses</t>
  </si>
  <si>
    <t>jelly (any flavour)</t>
  </si>
  <si>
    <t>artificial sweetener</t>
  </si>
  <si>
    <t>meringue</t>
  </si>
  <si>
    <t>sugar cane schmier</t>
  </si>
  <si>
    <t>dried or dehydrated fruit</t>
  </si>
  <si>
    <t>pudding (any flavour)</t>
  </si>
  <si>
    <t>27,1</t>
  </si>
  <si>
    <t>danette (chocolate pudding)</t>
  </si>
  <si>
    <t>couscous</t>
  </si>
  <si>
    <t>maria mole (coconut marshmallow)</t>
  </si>
  <si>
    <t>pé de moleque (caramelized peanut sweet)</t>
  </si>
  <si>
    <t>paçoca (peanut sweet)</t>
  </si>
  <si>
    <t>paçoquinha (peanut sweet)</t>
  </si>
  <si>
    <t>buttered peanuts</t>
  </si>
  <si>
    <t>spicy peanuts</t>
  </si>
  <si>
    <t>éclair (any type)</t>
  </si>
  <si>
    <t>mille-feuille (vanilla slice)</t>
  </si>
  <si>
    <t>queijadinha (coconut and cheese cupcake)</t>
  </si>
  <si>
    <t>egg-based sweet</t>
  </si>
  <si>
    <t>caçarola italiana (cheese and coconut pudding)</t>
  </si>
  <si>
    <t>crème brûlée</t>
  </si>
  <si>
    <t>flan</t>
  </si>
  <si>
    <t>chandelle (any flavour industrialized pudding)</t>
  </si>
  <si>
    <t>mumu (dulce de leche)</t>
  </si>
  <si>
    <t>canudinho recheado (sweet and stuffed fried dough)</t>
  </si>
  <si>
    <t>25,8</t>
  </si>
  <si>
    <t>beiju (cassava starch dough)</t>
  </si>
  <si>
    <t>popsicle</t>
  </si>
  <si>
    <t>ice pop</t>
  </si>
  <si>
    <t>churros</t>
  </si>
  <si>
    <t>candy floss</t>
  </si>
  <si>
    <t>ioiô creme (chocolate cream)</t>
  </si>
  <si>
    <t>easter egg (chocolate egg)</t>
  </si>
  <si>
    <t>11,4</t>
  </si>
  <si>
    <t>kinder egg</t>
  </si>
  <si>
    <t>torrone (italian nougat)</t>
  </si>
  <si>
    <t>coconut pulp</t>
  </si>
  <si>
    <t>diet shake (food supplement)</t>
  </si>
  <si>
    <t>diet shake (food concentrate)</t>
  </si>
  <si>
    <t>light sugar</t>
  </si>
  <si>
    <t>cereal bar</t>
  </si>
  <si>
    <t>savoury cereal bar</t>
  </si>
  <si>
    <t>sweet cereal bar</t>
  </si>
  <si>
    <t>dessert of any kind (except for kids)</t>
  </si>
  <si>
    <t>milk shake</t>
  </si>
  <si>
    <t>diet jelly (jam)</t>
  </si>
  <si>
    <t>diet fruit sweet</t>
  </si>
  <si>
    <t>diet candied fruit sweet of any flavour</t>
  </si>
  <si>
    <t>light industrialized ice cream of any flavour</t>
  </si>
  <si>
    <t>diet industrialized ice cream of any flavour</t>
  </si>
  <si>
    <t>light sweets</t>
  </si>
  <si>
    <t>diet bubble gum</t>
  </si>
  <si>
    <t>diet sweets</t>
  </si>
  <si>
    <t>light chocolate bar</t>
  </si>
  <si>
    <t>diet chocolate bar</t>
  </si>
  <si>
    <t>light chocolate powder</t>
  </si>
  <si>
    <t>diet chocolate powder</t>
  </si>
  <si>
    <t>diet toddynho (industrialized chocolate milk)</t>
  </si>
  <si>
    <t>light bonbon (any brand)</t>
  </si>
  <si>
    <t>diet bonbon (any brand)</t>
  </si>
  <si>
    <t>diet caramel bonbon (any brand)</t>
  </si>
  <si>
    <t>light fruit jelly (jam of any brand or flavour)</t>
  </si>
  <si>
    <t>light jelly (jam)</t>
  </si>
  <si>
    <t>light fruit jelly (jam)</t>
  </si>
  <si>
    <t>light fruit paste or bar</t>
  </si>
  <si>
    <t>light fruit paste</t>
  </si>
  <si>
    <t>light pudding (any flavour)</t>
  </si>
  <si>
    <t>light danette pudding (chocolate pudding)</t>
  </si>
  <si>
    <t>diet pudding (any flavour)</t>
  </si>
  <si>
    <t>light dulce de leche</t>
  </si>
  <si>
    <t>diet dulce de leche</t>
  </si>
  <si>
    <t>diet cereal bar</t>
  </si>
  <si>
    <t>diet sweet cereal bar</t>
  </si>
  <si>
    <t>diet milk shake</t>
  </si>
  <si>
    <t>diet cocada (coconut sweet)</t>
  </si>
  <si>
    <t>diet peanut sweet</t>
  </si>
  <si>
    <t>diet paçoca (peanut sweet)</t>
  </si>
  <si>
    <t>diet buttered peanut</t>
  </si>
  <si>
    <t>diet milk-based sweet</t>
  </si>
  <si>
    <t>light jelly (fam of any flavour)</t>
  </si>
  <si>
    <t>light sweetener</t>
  </si>
  <si>
    <t>light sweetener powder</t>
  </si>
  <si>
    <t>light liquid sweetener</t>
  </si>
  <si>
    <t>baking powder</t>
  </si>
  <si>
    <t>mustard (sauce)</t>
  </si>
  <si>
    <t>pickled capers</t>
  </si>
  <si>
    <t>shoyu (soy sauce)</t>
  </si>
  <si>
    <t>mayonnaise (sauce)</t>
  </si>
  <si>
    <t>7,2</t>
  </si>
  <si>
    <t>catchup (ketchup)</t>
  </si>
  <si>
    <t>black pepper powder</t>
  </si>
  <si>
    <t>tucupi sauce (no pepper)</t>
  </si>
  <si>
    <t>sesame</t>
  </si>
  <si>
    <t>28,3</t>
  </si>
  <si>
    <t>sun-dried tomato</t>
  </si>
  <si>
    <t>light mayonnaise (sauce)</t>
  </si>
  <si>
    <t>22,3</t>
  </si>
  <si>
    <t>light soy sauce</t>
  </si>
  <si>
    <t>light coconut milk</t>
  </si>
  <si>
    <t>vinaigrette</t>
  </si>
  <si>
    <t>filet mignon (tenderloin)</t>
  </si>
  <si>
    <t>sirloin steak</t>
  </si>
  <si>
    <t>beef chops</t>
  </si>
  <si>
    <t>112,3</t>
  </si>
  <si>
    <t>rump steak</t>
  </si>
  <si>
    <t>rump skirt</t>
  </si>
  <si>
    <t>picanha (rump cap)</t>
  </si>
  <si>
    <t>beef knuckle</t>
  </si>
  <si>
    <t>loin head (beef)</t>
  </si>
  <si>
    <t>eyeround</t>
  </si>
  <si>
    <t>tatu (eyeround)</t>
  </si>
  <si>
    <t>paulista (eyeround)</t>
  </si>
  <si>
    <t>lombo paulista (eyeround)</t>
  </si>
  <si>
    <t>outside flat</t>
  </si>
  <si>
    <t>chuck</t>
  </si>
  <si>
    <t>agulha (chuck)</t>
  </si>
  <si>
    <t>shoulder clod</t>
  </si>
  <si>
    <t>bone-in shoulder clod</t>
  </si>
  <si>
    <t>beef shin</t>
  </si>
  <si>
    <t>beef shanks</t>
  </si>
  <si>
    <t>carne marica bovina (Brazilian beef cut)</t>
  </si>
  <si>
    <t>beef thin flank</t>
  </si>
  <si>
    <t>brisket</t>
  </si>
  <si>
    <t>flank steak</t>
  </si>
  <si>
    <t>outside skirt steak</t>
  </si>
  <si>
    <t>beef ribs</t>
  </si>
  <si>
    <t>jacaré (bone-in choice beef)</t>
  </si>
  <si>
    <t>choice beef steak</t>
  </si>
  <si>
    <t>beef offal</t>
  </si>
  <si>
    <t>panelada (unspecified offal)</t>
  </si>
  <si>
    <t>beef heart</t>
  </si>
  <si>
    <t>79,7</t>
  </si>
  <si>
    <t>beef kidney</t>
  </si>
  <si>
    <t>beef lungs</t>
  </si>
  <si>
    <t>beef brain</t>
  </si>
  <si>
    <t>beef tripe</t>
  </si>
  <si>
    <t>fresh beef tripe</t>
  </si>
  <si>
    <t>beef stomach (tripes)</t>
  </si>
  <si>
    <t>goat stomach</t>
  </si>
  <si>
    <t>beef liver</t>
  </si>
  <si>
    <t>beef tongue</t>
  </si>
  <si>
    <t>cow’s foot</t>
  </si>
  <si>
    <t>beef shank</t>
  </si>
  <si>
    <t>beef fore shank</t>
  </si>
  <si>
    <t>loin chops</t>
  </si>
  <si>
    <t>pork chops</t>
  </si>
  <si>
    <t>pork leg</t>
  </si>
  <si>
    <t>34,9</t>
  </si>
  <si>
    <t>pork hips</t>
  </si>
  <si>
    <t>pork offal</t>
  </si>
  <si>
    <t>arrasto suíno (Brazilian pork cut)</t>
  </si>
  <si>
    <t>19,0</t>
  </si>
  <si>
    <t>fresh pork sarapatel</t>
  </si>
  <si>
    <t>ground beef</t>
  </si>
  <si>
    <t>pork tripes</t>
  </si>
  <si>
    <t>pork liver</t>
  </si>
  <si>
    <t>pork tongue</t>
  </si>
  <si>
    <t>pig's trotter</t>
  </si>
  <si>
    <t>goatling meat</t>
  </si>
  <si>
    <t>goat meat</t>
  </si>
  <si>
    <t>chevon (goat meat)</t>
  </si>
  <si>
    <t>76,0</t>
  </si>
  <si>
    <t>caprine meat (goat or sheep meat)</t>
  </si>
  <si>
    <t>mutton</t>
  </si>
  <si>
    <t>lamb</t>
  </si>
  <si>
    <t>goat’s foot</t>
  </si>
  <si>
    <t>beef eyeround</t>
  </si>
  <si>
    <t>pork rump steak</t>
  </si>
  <si>
    <t>suã suína (bone-in pork loin)</t>
  </si>
  <si>
    <t>meat of other animals</t>
  </si>
  <si>
    <t>paca meat</t>
  </si>
  <si>
    <t>alligator meat</t>
  </si>
  <si>
    <t>capybara meat</t>
  </si>
  <si>
    <t>agouti meat</t>
  </si>
  <si>
    <t>jabuti meat (tortoise)</t>
  </si>
  <si>
    <t>prime beef</t>
  </si>
  <si>
    <t>rib steak</t>
  </si>
  <si>
    <t>steak (unspecified)</t>
  </si>
  <si>
    <t>goat offal</t>
  </si>
  <si>
    <t>fresh pig's trotter</t>
  </si>
  <si>
    <t>beef</t>
  </si>
  <si>
    <t>loin (unspecified)</t>
  </si>
  <si>
    <t>shin (unspecified)</t>
  </si>
  <si>
    <t>bone-in meat (unspecified)</t>
  </si>
  <si>
    <t>choice beef</t>
  </si>
  <si>
    <t>organic sirloin steak</t>
  </si>
  <si>
    <t>organic chops</t>
  </si>
  <si>
    <t>organic loin head (beef)</t>
  </si>
  <si>
    <t>organic tatu (eyeround)</t>
  </si>
  <si>
    <t>ocean fish (whole, in slices etc.)</t>
  </si>
  <si>
    <t>saltwater fish (whole, in slices etc.)</t>
  </si>
  <si>
    <t>227,3</t>
  </si>
  <si>
    <t>soft-shell crab</t>
  </si>
  <si>
    <t>209,0</t>
  </si>
  <si>
    <t>baú (crab)</t>
  </si>
  <si>
    <t>goiá (crab)</t>
  </si>
  <si>
    <t>crab</t>
  </si>
  <si>
    <t>guaiamu (blue land crab)</t>
  </si>
  <si>
    <t>oyster</t>
  </si>
  <si>
    <t>squid</t>
  </si>
  <si>
    <t>charru mussel</t>
  </si>
  <si>
    <t>codfish</t>
  </si>
  <si>
    <t>fish eggs (any species)</t>
  </si>
  <si>
    <t>freshwater fish (whole, in slices etc.)</t>
  </si>
  <si>
    <t>52,0</t>
  </si>
  <si>
    <t>tracajá (yellow-spotted river turtle)</t>
  </si>
  <si>
    <t>277,8</t>
  </si>
  <si>
    <t>unspecified fish (whole, in slices etc.)</t>
  </si>
  <si>
    <t>unspecified salty fish (whole, in slices etc.)</t>
  </si>
  <si>
    <t>131,0</t>
  </si>
  <si>
    <t>canned peas</t>
  </si>
  <si>
    <t>petit pois</t>
  </si>
  <si>
    <t>canned corn</t>
  </si>
  <si>
    <t>canned heart of palm</t>
  </si>
  <si>
    <t>canned mushrooms</t>
  </si>
  <si>
    <t>canned champignons</t>
  </si>
  <si>
    <t>pickled asparagus</t>
  </si>
  <si>
    <t>0,9</t>
  </si>
  <si>
    <t>pickled cabbage</t>
  </si>
  <si>
    <t>sauerkraut</t>
  </si>
  <si>
    <t>pickled unspecified vegetable</t>
  </si>
  <si>
    <t>onion soup (dehydrated soup)</t>
  </si>
  <si>
    <t>vegetable soup (dehydrated soup)</t>
  </si>
  <si>
    <t>canned corn and peas</t>
  </si>
  <si>
    <t>pickled beans and tripes</t>
  </si>
  <si>
    <t>corned beef paste</t>
  </si>
  <si>
    <t>corned ham paste</t>
  </si>
  <si>
    <t>corned chicken paste</t>
  </si>
  <si>
    <t>corned beef</t>
  </si>
  <si>
    <t>meatball</t>
  </si>
  <si>
    <t>beef ham</t>
  </si>
  <si>
    <t>pickled meatball with sauce</t>
  </si>
  <si>
    <t>pork ham</t>
  </si>
  <si>
    <t>presuntada (ham)</t>
  </si>
  <si>
    <t>fiambre (ham)</t>
  </si>
  <si>
    <t>pickled sausage</t>
  </si>
  <si>
    <t>pickled sardines</t>
  </si>
  <si>
    <t>pickled tuna</t>
  </si>
  <si>
    <t>pickled cucumber (gherkin)</t>
  </si>
  <si>
    <t>pickled fish paste</t>
  </si>
  <si>
    <t>pickles (gherkin)</t>
  </si>
  <si>
    <t>pickled turnip</t>
  </si>
  <si>
    <t>pickled salmon</t>
  </si>
  <si>
    <t>light onion soup (dehydrated soup)</t>
  </si>
  <si>
    <t>light vegetable soup (dehydrated soup)</t>
  </si>
  <si>
    <t>light yakisoba (dehydrated vegetable soup)</t>
  </si>
  <si>
    <t>light pickled tuna</t>
  </si>
  <si>
    <t>whole chicken</t>
  </si>
  <si>
    <t>unspecified chicken piece</t>
  </si>
  <si>
    <t>chicken pieces</t>
  </si>
  <si>
    <t>26,5</t>
  </si>
  <si>
    <t>chicken pieces (hen)</t>
  </si>
  <si>
    <t>chicken meat</t>
  </si>
  <si>
    <t>chicken fillet</t>
  </si>
  <si>
    <t>chicken carcass</t>
  </si>
  <si>
    <t>chicken wings</t>
  </si>
  <si>
    <t>chicken drumettes</t>
  </si>
  <si>
    <t>chicken neck</t>
  </si>
  <si>
    <t>chicken foot</t>
  </si>
  <si>
    <t>chicken offal</t>
  </si>
  <si>
    <t>chicken gizzard</t>
  </si>
  <si>
    <t>chicken heart</t>
  </si>
  <si>
    <t>chicken liver</t>
  </si>
  <si>
    <t>canja (Brazilian chicken and rice soup)</t>
  </si>
  <si>
    <t>unspecified turkey pieces</t>
  </si>
  <si>
    <t>turkey breast</t>
  </si>
  <si>
    <t>turkey wings</t>
  </si>
  <si>
    <t>chester (red junglefowl)</t>
  </si>
  <si>
    <t>tender (ham)</t>
  </si>
  <si>
    <t>nambu (small-billed tinamou)</t>
  </si>
  <si>
    <t>chicken nuggets</t>
  </si>
  <si>
    <t>chicken steak</t>
  </si>
  <si>
    <t>quail</t>
  </si>
  <si>
    <t>chicken feet and wings</t>
  </si>
  <si>
    <t>chicken egg</t>
  </si>
  <si>
    <t>quail egg</t>
  </si>
  <si>
    <t>slaughtered, frozen or alive guinea fowl</t>
  </si>
  <si>
    <t>20,8</t>
  </si>
  <si>
    <t>capote (guinea fowl)</t>
  </si>
  <si>
    <t>curassow</t>
  </si>
  <si>
    <t>duck pieces</t>
  </si>
  <si>
    <t>duck breast</t>
  </si>
  <si>
    <t>duck meat</t>
  </si>
  <si>
    <t>light turkey breast</t>
  </si>
  <si>
    <t>organic whole chicken</t>
  </si>
  <si>
    <t>organic chicken fillet</t>
  </si>
  <si>
    <t>whole cow’s milk</t>
  </si>
  <si>
    <t>raw cow’s milk</t>
  </si>
  <si>
    <t>goat’s milk</t>
  </si>
  <si>
    <t>8,5</t>
  </si>
  <si>
    <t>whole milk powder</t>
  </si>
  <si>
    <t>skimmed milk powder</t>
  </si>
  <si>
    <t>milk powder</t>
  </si>
  <si>
    <t>leite beijinho (condensed milk)</t>
  </si>
  <si>
    <t>table cream</t>
  </si>
  <si>
    <t>whipped cream</t>
  </si>
  <si>
    <t>yogurt (any flavour)</t>
  </si>
  <si>
    <t>45,4</t>
  </si>
  <si>
    <t>low fat yogurt</t>
  </si>
  <si>
    <t>plain yogurt</t>
  </si>
  <si>
    <t>12,8</t>
  </si>
  <si>
    <t>yakult probiotic drink (any flavour)</t>
  </si>
  <si>
    <t>dairy drink</t>
  </si>
  <si>
    <t>fermented milk</t>
  </si>
  <si>
    <t>curd</t>
  </si>
  <si>
    <t>salted or unsalted butter</t>
  </si>
  <si>
    <t>manteiga de garrafa (Brazilian liquid butter)</t>
  </si>
  <si>
    <t>salted or unsalted margarine</t>
  </si>
  <si>
    <t>115,0</t>
  </si>
  <si>
    <t>queijo prato (Brazilian soft cheese)</t>
  </si>
  <si>
    <t>colony cheese</t>
  </si>
  <si>
    <t>66,0</t>
  </si>
  <si>
    <t>mozzarella cheese</t>
  </si>
  <si>
    <t>buffalo mozzarella</t>
  </si>
  <si>
    <t>35,6</t>
  </si>
  <si>
    <t>buffalo cheese</t>
  </si>
  <si>
    <t>queijo de reino (Brazilian edam cheese)</t>
  </si>
  <si>
    <t>minas cheese</t>
  </si>
  <si>
    <t>queijo de manteiga (Brazilian butter-shaped cheese)</t>
  </si>
  <si>
    <t>keschmier</t>
  </si>
  <si>
    <t>41,4</t>
  </si>
  <si>
    <t>queijo de coalho (Brazilian cheese curds)</t>
  </si>
  <si>
    <t>canastra cheese</t>
  </si>
  <si>
    <t>ricotta cheese</t>
  </si>
  <si>
    <t>flavoured soy milk</t>
  </si>
  <si>
    <t>ades original (soy milk)</t>
  </si>
  <si>
    <t>13,7</t>
  </si>
  <si>
    <t>grated cheese</t>
  </si>
  <si>
    <t>provolone cheese</t>
  </si>
  <si>
    <t>polenguinho (UHT processed cheese)</t>
  </si>
  <si>
    <t>requeijão (Brazilian cream cheese)</t>
  </si>
  <si>
    <t>unspecified cheese</t>
  </si>
  <si>
    <t>flavoured milk</t>
  </si>
  <si>
    <t>chocolate milk</t>
  </si>
  <si>
    <t>54,5</t>
  </si>
  <si>
    <t>chocolate drink</t>
  </si>
  <si>
    <t>cream</t>
  </si>
  <si>
    <t>gorgonzola cheese</t>
  </si>
  <si>
    <t>tofu</t>
  </si>
  <si>
    <t>soy milk powder</t>
  </si>
  <si>
    <t>skimmed cow’s milk</t>
  </si>
  <si>
    <t>semi-skimmed cow's milk</t>
  </si>
  <si>
    <t>unspecified pasteurized milk</t>
  </si>
  <si>
    <t>light yogurt (any flavour)</t>
  </si>
  <si>
    <t>diet yogurt (any flavour)</t>
  </si>
  <si>
    <t>light margarine</t>
  </si>
  <si>
    <t>organic whole cow's milk</t>
  </si>
  <si>
    <t>organic raw cow’s milk</t>
  </si>
  <si>
    <t>organic semi-skimmed cow’s milk</t>
  </si>
  <si>
    <t>organic table cream</t>
  </si>
  <si>
    <t>organic yogurt (any flavour)</t>
  </si>
  <si>
    <t>organic skimmed yogurt (any flavour)</t>
  </si>
  <si>
    <t>organic plain yogurt (any flavour)</t>
  </si>
  <si>
    <t>light mozzarella</t>
  </si>
  <si>
    <t>light mozzarella cheese</t>
  </si>
  <si>
    <t>light flavoured soy milk</t>
  </si>
  <si>
    <t>light ades (soy milk)</t>
  </si>
  <si>
    <t>light table cream</t>
  </si>
  <si>
    <t>light queijo prato (Brazilian soft cheese)</t>
  </si>
  <si>
    <t>light minas cheese</t>
  </si>
  <si>
    <t>light queijo de coalho (Brazilian cheese curds)</t>
  </si>
  <si>
    <t>light ricotta cheese</t>
  </si>
  <si>
    <t>light grated cheese</t>
  </si>
  <si>
    <t>light polenguinho (UHT processed cheese)</t>
  </si>
  <si>
    <t>light requeijão (Brazilian cream cheese)</t>
  </si>
  <si>
    <t>light unspecified cheese</t>
  </si>
  <si>
    <t>light chocolate milk</t>
  </si>
  <si>
    <t>light chocolate drink</t>
  </si>
  <si>
    <t>diet flavoured milk</t>
  </si>
  <si>
    <t>diet chocolate milk</t>
  </si>
  <si>
    <t>diet chocolate drink</t>
  </si>
  <si>
    <t>light soy milk powder</t>
  </si>
  <si>
    <t>flavoured milk powder</t>
  </si>
  <si>
    <t>light salted or unsalted butter</t>
  </si>
  <si>
    <t>organic fresh minas cheese</t>
  </si>
  <si>
    <t>organic fresh queijo coalho (Brazilian cheese curds)</t>
  </si>
  <si>
    <t>hamburger bun</t>
  </si>
  <si>
    <t>bread roll</t>
  </si>
  <si>
    <t>sweet bread</t>
  </si>
  <si>
    <t>schnecken</t>
  </si>
  <si>
    <t>crumb schnecken</t>
  </si>
  <si>
    <t>gingerbread</t>
  </si>
  <si>
    <t>panettone</t>
  </si>
  <si>
    <t>bisnaguinha (small and soft roll)</t>
  </si>
  <si>
    <t>croissant</t>
  </si>
  <si>
    <t>industrialized loaf (any brand)</t>
  </si>
  <si>
    <t>pão de queijo (Brazilian cheese bread)</t>
  </si>
  <si>
    <t>corn bread</t>
  </si>
  <si>
    <t>whole wheat bread</t>
  </si>
  <si>
    <t>unspecified bread</t>
  </si>
  <si>
    <t>toast (any bread)</t>
  </si>
  <si>
    <t>sweet bagel</t>
  </si>
  <si>
    <t>doughnut</t>
  </si>
  <si>
    <t>9,8</t>
  </si>
  <si>
    <t>savoury bagel</t>
  </si>
  <si>
    <t>savoury doughnut</t>
  </si>
  <si>
    <t>11,1</t>
  </si>
  <si>
    <t>salted biscuit</t>
  </si>
  <si>
    <t>ham flavoured cracker</t>
  </si>
  <si>
    <t>biscoito de polvilho (cassava starch snack)</t>
  </si>
  <si>
    <t>cracker</t>
  </si>
  <si>
    <t>chips (snacks)</t>
  </si>
  <si>
    <t>baconzitos (bacon snacks)</t>
  </si>
  <si>
    <t>9,7</t>
  </si>
  <si>
    <t>whole wheat salted biscuit</t>
  </si>
  <si>
    <t>biscuit</t>
  </si>
  <si>
    <t>cavaco chinês (sweet cassava starch biscuit)</t>
  </si>
  <si>
    <t>sequilho (cornstarch biscuit)</t>
  </si>
  <si>
    <t>12,9</t>
  </si>
  <si>
    <t>tareco (tough biscuit)</t>
  </si>
  <si>
    <t>sorda (Brazilian gingerbread)</t>
  </si>
  <si>
    <t>brevidade (cornstarch biscuit)</t>
  </si>
  <si>
    <t>sweet biscuit</t>
  </si>
  <si>
    <t>maria maluca (sweet coconut bread)</t>
  </si>
  <si>
    <t>quebra quebra (cassava starch biscuit)</t>
  </si>
  <si>
    <t>10,3</t>
  </si>
  <si>
    <t>swiss roll</t>
  </si>
  <si>
    <t>kuchen (any flavour)</t>
  </si>
  <si>
    <t>amidomil (cassava gum and coconut milk sweet roll)</t>
  </si>
  <si>
    <t>13,6</t>
  </si>
  <si>
    <t>angusor de milho (corn sweet roll)</t>
  </si>
  <si>
    <t>grustoli (Brazilian angel wings)</t>
  </si>
  <si>
    <t>sweet pie (any flavour)</t>
  </si>
  <si>
    <t>savory pie (any flavour)</t>
  </si>
  <si>
    <t>sonho (Brazilian fried doughnut)</t>
  </si>
  <si>
    <t>filhós (wheat flour and eggs doughnut)</t>
  </si>
  <si>
    <t>brioche</t>
  </si>
  <si>
    <t>broa (Brazilian corn bread)</t>
  </si>
  <si>
    <t>sandwich biscuit</t>
  </si>
  <si>
    <t>10,1</t>
  </si>
  <si>
    <t>wafer (biscuit)</t>
  </si>
  <si>
    <t>alfajores (South American biscuits)</t>
  </si>
  <si>
    <t>10,7</t>
  </si>
  <si>
    <t>sandwich cookie</t>
  </si>
  <si>
    <t>stuffed bagel</t>
  </si>
  <si>
    <t>stuffed doughnut (any flavour)</t>
  </si>
  <si>
    <t>11,5</t>
  </si>
  <si>
    <t>unspecified biscuit</t>
  </si>
  <si>
    <t>13,1</t>
  </si>
  <si>
    <t>diet loaf (industrialized)</t>
  </si>
  <si>
    <t>light loaf (industrialized)</t>
  </si>
  <si>
    <t>light whole wheat bread</t>
  </si>
  <si>
    <t>light sweet pie (any flavour)</t>
  </si>
  <si>
    <t>diet sweet pie (any flavour)</t>
  </si>
  <si>
    <t>light filhós (wheat flour and eggs doughnut)</t>
  </si>
  <si>
    <t>diet filhós (wheat flour and eggs doughnut)</t>
  </si>
  <si>
    <t>light chocolate cake</t>
  </si>
  <si>
    <t>diet chocolate cake</t>
  </si>
  <si>
    <t>light orange cake</t>
  </si>
  <si>
    <t>diet coconut cake</t>
  </si>
  <si>
    <t>diet carrot cake</t>
  </si>
  <si>
    <t>15,2</t>
  </si>
  <si>
    <t>light sandwich biscuit</t>
  </si>
  <si>
    <t>light wafer</t>
  </si>
  <si>
    <t>light wafer (biscuit)</t>
  </si>
  <si>
    <t>light alfajores (South American biscuits)</t>
  </si>
  <si>
    <t>light sandwich cookie</t>
  </si>
  <si>
    <t>diet sandwich biscuit</t>
  </si>
  <si>
    <t>diet stuffed doughnut (any flavour)</t>
  </si>
  <si>
    <t>21,1</t>
  </si>
  <si>
    <t>diet sandwich cookie</t>
  </si>
  <si>
    <t>diet sweet bread</t>
  </si>
  <si>
    <t>diet gingerbread</t>
  </si>
  <si>
    <t>diet panettone</t>
  </si>
  <si>
    <t>light salted biscuit</t>
  </si>
  <si>
    <t>light cracker</t>
  </si>
  <si>
    <t>light chips (snacks)</t>
  </si>
  <si>
    <t>light biscuit</t>
  </si>
  <si>
    <t>light cookie</t>
  </si>
  <si>
    <t>diet sweet biscuit</t>
  </si>
  <si>
    <t>diet cookie</t>
  </si>
  <si>
    <t>jerked beef</t>
  </si>
  <si>
    <t>charque (jerked beef)</t>
  </si>
  <si>
    <t>jabá (jerked beef)</t>
  </si>
  <si>
    <t>carne de sol (jerked beef)</t>
  </si>
  <si>
    <t>carne do sertão (jerked beef)</t>
  </si>
  <si>
    <t>beef hamburger patty</t>
  </si>
  <si>
    <t>smoked coppa</t>
  </si>
  <si>
    <t>chicken hamburger patty</t>
  </si>
  <si>
    <t>sausage (retail)</t>
  </si>
  <si>
    <t>sausage (pork, beef, mixed etc.)</t>
  </si>
  <si>
    <t>chicken sausage</t>
  </si>
  <si>
    <t>chouriço (pork sausage)</t>
  </si>
  <si>
    <t>black pudding</t>
  </si>
  <si>
    <t>blood pudding</t>
  </si>
  <si>
    <t>paio (cured sausage)</t>
  </si>
  <si>
    <t>mortadella</t>
  </si>
  <si>
    <t>salami</t>
  </si>
  <si>
    <t>mini salami</t>
  </si>
  <si>
    <t>blanquet de peru (cooked turkey breast)</t>
  </si>
  <si>
    <t>turkey hamburger patty</t>
  </si>
  <si>
    <t>unspecified hamburger patty</t>
  </si>
  <si>
    <t>apresuntado (fat ham)</t>
  </si>
  <si>
    <t>pururuca de porco (crispy fried pork skin)</t>
  </si>
  <si>
    <t>fried pork skin (pururuca)</t>
  </si>
  <si>
    <t>pâté (liver, italian sausage, chicken, ham etc.)</t>
  </si>
  <si>
    <t>smoked poultry</t>
  </si>
  <si>
    <t>unspecified salted meat</t>
  </si>
  <si>
    <t>breaded mini chicken fillet</t>
  </si>
  <si>
    <t>light mortadella</t>
  </si>
  <si>
    <t>light sausage (retail)</t>
  </si>
  <si>
    <t>light salami</t>
  </si>
  <si>
    <t>light blanquet de peru (cooked turkey breast)</t>
  </si>
  <si>
    <t>light unspecified hamburger patty</t>
  </si>
  <si>
    <t>traditional cola</t>
  </si>
  <si>
    <t>traditional coke</t>
  </si>
  <si>
    <t>traditional orange fanta</t>
  </si>
  <si>
    <t>2,0</t>
  </si>
  <si>
    <t>traditional sukita (orange soda)</t>
  </si>
  <si>
    <t>traditional guaraná soda</t>
  </si>
  <si>
    <t>traditional guaraná</t>
  </si>
  <si>
    <t>traditional sprite</t>
  </si>
  <si>
    <t>traditional grape fanta</t>
  </si>
  <si>
    <t>light cola</t>
  </si>
  <si>
    <t>light coke</t>
  </si>
  <si>
    <t>diet cola</t>
  </si>
  <si>
    <t>traditional minuano (Brazilian soda)</t>
  </si>
  <si>
    <t>traditional mate (iced tea)</t>
  </si>
  <si>
    <t>traditional bidu (Brazilian soda)</t>
  </si>
  <si>
    <t>light orange fanta</t>
  </si>
  <si>
    <t>47,0</t>
  </si>
  <si>
    <t>light guarana soda</t>
  </si>
  <si>
    <t>light guarana</t>
  </si>
  <si>
    <t>traditional tubaína (tutti-frutti soda)</t>
  </si>
  <si>
    <t>light tubaína (tutti-frutti soda)</t>
  </si>
  <si>
    <t>sugarcane juice</t>
  </si>
  <si>
    <t>garapa (sugarcane juice)</t>
  </si>
  <si>
    <t>coconut water</t>
  </si>
  <si>
    <t>q-suco (powdered drink mix)</t>
  </si>
  <si>
    <t>q-refresko (powdered drink mix)</t>
  </si>
  <si>
    <t>nescafé (instant coffee)</t>
  </si>
  <si>
    <t>yerba mate</t>
  </si>
  <si>
    <t>chimarrão (hot mate infused drink)</t>
  </si>
  <si>
    <t>tererê (cold mate infused drink)</t>
  </si>
  <si>
    <t>brewer's yeast</t>
  </si>
  <si>
    <t>unspecified soda</t>
  </si>
  <si>
    <t>barley powder</t>
  </si>
  <si>
    <t>chocomilk (chocolate milk)</t>
  </si>
  <si>
    <t>traditional tonic water</t>
  </si>
  <si>
    <t>8,8</t>
  </si>
  <si>
    <t>diet tea (black, camomile, lemon balm etc.)</t>
  </si>
  <si>
    <t>traditional paraguai soda (Brazilian soda)</t>
  </si>
  <si>
    <t>gatorade</t>
  </si>
  <si>
    <t>energy drink</t>
  </si>
  <si>
    <t>tea (black, camomile, lemon balm etc.)</t>
  </si>
  <si>
    <t>cappuccino (instant coffee)</t>
  </si>
  <si>
    <t>diet guarana soda</t>
  </si>
  <si>
    <t>diet guarana</t>
  </si>
  <si>
    <t>diet lemon soda</t>
  </si>
  <si>
    <t>light grape fanta</t>
  </si>
  <si>
    <t>light mate (iced tea)</t>
  </si>
  <si>
    <t>light tonic water</t>
  </si>
  <si>
    <t>light paraguai soda (Brazilian soda)</t>
  </si>
  <si>
    <t>light q-suco (powdered drink mix)</t>
  </si>
  <si>
    <t>light q-refresko (powdered drink mix)</t>
  </si>
  <si>
    <t>diet q-suco (powdered drink mix)</t>
  </si>
  <si>
    <t>light cappuccino (instant coffee)</t>
  </si>
  <si>
    <t>diet cappuccino (instant coffee)</t>
  </si>
  <si>
    <t>diet tonic water</t>
  </si>
  <si>
    <t>dietary quinine soda</t>
  </si>
  <si>
    <t>organic mate tea</t>
  </si>
  <si>
    <t>organic chimarrão (hot mate infused drink)</t>
  </si>
  <si>
    <t>chlorophyll juice</t>
  </si>
  <si>
    <t>beer (alcoholic or non-alcoholic)</t>
  </si>
  <si>
    <t>draft beer</t>
  </si>
  <si>
    <t>aguardente (Brazilian high alcohol content beverage)</t>
  </si>
  <si>
    <t>4,5</t>
  </si>
  <si>
    <t>cachaça (Brazilian distilled spirit)</t>
  </si>
  <si>
    <t>any flavoured batida (Brazilian cocktail)</t>
  </si>
  <si>
    <t>41,0</t>
  </si>
  <si>
    <t>rum</t>
  </si>
  <si>
    <t>vodka</t>
  </si>
  <si>
    <t>whiskey</t>
  </si>
  <si>
    <t>champagne</t>
  </si>
  <si>
    <t>cider champagne</t>
  </si>
  <si>
    <t>martini</t>
  </si>
  <si>
    <t>16,0</t>
  </si>
  <si>
    <t>drink dreher (cognac)</t>
  </si>
  <si>
    <t>liquor (any flavour)</t>
  </si>
  <si>
    <t>cajuína (cashew apples drink)</t>
  </si>
  <si>
    <t>wine</t>
  </si>
  <si>
    <t>catuaba (bark infusion drink)</t>
  </si>
  <si>
    <t>fruit cocktail</t>
  </si>
  <si>
    <t>caipirinha (Brazilian cocktail)</t>
  </si>
  <si>
    <t>alcoholic beverage</t>
  </si>
  <si>
    <t>organic wine</t>
  </si>
  <si>
    <t>light beer (alcoholic or non-alcoholic)</t>
  </si>
  <si>
    <t>caxiri (manioc brandy)</t>
  </si>
  <si>
    <t>soy oil</t>
  </si>
  <si>
    <t>lard</t>
  </si>
  <si>
    <t>75,4</t>
  </si>
  <si>
    <t>tallow</t>
  </si>
  <si>
    <t>38,0</t>
  </si>
  <si>
    <t>unspecified oil</t>
  </si>
  <si>
    <t>59,8</t>
  </si>
  <si>
    <t>puffed snack</t>
  </si>
  <si>
    <t>pastel (Brazilian fried dough with cheese, beef etc.)</t>
  </si>
  <si>
    <t>croquettte</t>
  </si>
  <si>
    <t>coxinha (Brazilian chicken croquette)</t>
  </si>
  <si>
    <t>Brazilian pot pie (cheese, beef, shrimp etc.)</t>
  </si>
  <si>
    <t>rissole (croquette with cheese, beef, shrimp etc.)</t>
  </si>
  <si>
    <t>acarajé (fried black-eyed peas dough)</t>
  </si>
  <si>
    <t>torresmo (pork crackling)</t>
  </si>
  <si>
    <t>kibbeh</t>
  </si>
  <si>
    <t>paçoca de carne de sol (shredded jerked beef)</t>
  </si>
  <si>
    <t>fried polenta</t>
  </si>
  <si>
    <t>corn polenta</t>
  </si>
  <si>
    <t>sfiha</t>
  </si>
  <si>
    <t>beef sfiha</t>
  </si>
  <si>
    <t>cheese sfiha</t>
  </si>
  <si>
    <t>ricotta sfiha</t>
  </si>
  <si>
    <t>chicken sfiha</t>
  </si>
  <si>
    <t>enroladinho (stuffed baked dough)</t>
  </si>
  <si>
    <t>hot dog</t>
  </si>
  <si>
    <t>hamburger (sandwich)</t>
  </si>
  <si>
    <t>cheeseburger</t>
  </si>
  <si>
    <t>egg burger</t>
  </si>
  <si>
    <t>bauru (Brazilian roast beef sandwich)</t>
  </si>
  <si>
    <t>americano (ham, cheese, salad and egg sandwich)</t>
  </si>
  <si>
    <t>ham and cheese sandwich (grilled or cold)</t>
  </si>
  <si>
    <t>queijo prato (Brazilian soft cheese) sandwich</t>
  </si>
  <si>
    <t>salami sandwich</t>
  </si>
  <si>
    <t>ham sandwich</t>
  </si>
  <si>
    <t>queijo prato (soft cheese) and ham sandwich</t>
  </si>
  <si>
    <t>mortadella sandwich</t>
  </si>
  <si>
    <t>minas cheese sandwich</t>
  </si>
  <si>
    <t>cheese egg (hamburger, cheese and eggs sandwich)</t>
  </si>
  <si>
    <t>cheese tudo (hamburger sandwich with toppings)</t>
  </si>
  <si>
    <t>cold sandwich</t>
  </si>
  <si>
    <t>juice</t>
  </si>
  <si>
    <t>acerola juice</t>
  </si>
  <si>
    <t>beetroot juice</t>
  </si>
  <si>
    <t>cupuaçu juice</t>
  </si>
  <si>
    <t>guava juice</t>
  </si>
  <si>
    <t>orange juice</t>
  </si>
  <si>
    <t>orange and banana juice</t>
  </si>
  <si>
    <t>orange and beetroot juice</t>
  </si>
  <si>
    <t>orange and carrot juice</t>
  </si>
  <si>
    <t>orange, carrot and beetroot juice</t>
  </si>
  <si>
    <t>papaya juice</t>
  </si>
  <si>
    <t>mango juice</t>
  </si>
  <si>
    <t>passion fruit juice</t>
  </si>
  <si>
    <t>melon juice</t>
  </si>
  <si>
    <t>strawberry juice</t>
  </si>
  <si>
    <t>peach juice</t>
  </si>
  <si>
    <t>peaches in syrup juice</t>
  </si>
  <si>
    <t>powdered drink mix</t>
  </si>
  <si>
    <t>cashew powdered drink mix</t>
  </si>
  <si>
    <t>red currant powdered drink mix</t>
  </si>
  <si>
    <t>orange powdered drink mix</t>
  </si>
  <si>
    <t>passion fruit powdered drink mix</t>
  </si>
  <si>
    <t>lemon powdered drink mix</t>
  </si>
  <si>
    <t>cooked salad or vegetable, except fruit</t>
  </si>
  <si>
    <t>pizza</t>
  </si>
  <si>
    <t>cannelloni</t>
  </si>
  <si>
    <t>ravioli</t>
  </si>
  <si>
    <t>calzone</t>
  </si>
  <si>
    <t>calabresa (spicy sausage) pizza</t>
  </si>
  <si>
    <t>mozzarella pizza</t>
  </si>
  <si>
    <t>ham pizza</t>
  </si>
  <si>
    <t>portuguese (ham, cheese, egg and onion) pizza</t>
  </si>
  <si>
    <t>poussin</t>
  </si>
  <si>
    <t>sweet or salty popcorn</t>
  </si>
  <si>
    <t>coffee</t>
  </si>
  <si>
    <t>espresso coffee</t>
  </si>
  <si>
    <t>cappuccino coffee</t>
  </si>
  <si>
    <t>boiled corn</t>
  </si>
  <si>
    <t>French fries</t>
  </si>
  <si>
    <t>shoestring potato</t>
  </si>
  <si>
    <t>mungunzá (Brazilian hominy pudding)</t>
  </si>
  <si>
    <t>canjica (Brazilian hominy pudding)</t>
  </si>
  <si>
    <t>tacacá (dried shrimp soup)</t>
  </si>
  <si>
    <t>ready-to-eat farofa (toasted manioc flour)</t>
  </si>
  <si>
    <t>barbecue</t>
  </si>
  <si>
    <t>sushi</t>
  </si>
  <si>
    <t>fruit salad</t>
  </si>
  <si>
    <t>soup (vegetables, beef etc.)</t>
  </si>
  <si>
    <t>pot pie (cheese, chicken, shrimp, heart of palm etc.)</t>
  </si>
  <si>
    <t>3,4</t>
  </si>
  <si>
    <t>quiche</t>
  </si>
  <si>
    <t>eggnog</t>
  </si>
  <si>
    <t>organic juice</t>
  </si>
  <si>
    <t>organic pineapple juice</t>
  </si>
  <si>
    <t>organic acerola juice</t>
  </si>
  <si>
    <t>organic guava juice</t>
  </si>
  <si>
    <t>organic orange juice</t>
  </si>
  <si>
    <t>organic orange, carrot and beetroot juice</t>
  </si>
  <si>
    <t>organic mango juice</t>
  </si>
  <si>
    <t>organic passion fruit juice</t>
  </si>
  <si>
    <t>organic strawberry juice</t>
  </si>
  <si>
    <t>organic peach juice</t>
  </si>
  <si>
    <t>organic peaches in syrup juice</t>
  </si>
  <si>
    <t>light ready-to-eat pizza</t>
  </si>
  <si>
    <t>light ready-to-eat lasagna</t>
  </si>
  <si>
    <t>light ready-to-eat pasta</t>
  </si>
  <si>
    <t>light portuguese pizza</t>
  </si>
  <si>
    <t>ready-to-eat farofa (toasted cassava flour) package</t>
  </si>
  <si>
    <t>fish fillet</t>
  </si>
  <si>
    <t>palma (edible species of cactus)</t>
  </si>
  <si>
    <t>Pegada de carbono (CF), pegada hídrica (WF) e pegada ecológica (EF) por quilograma (kg) dos ítens de consumo alimentar sem preparo</t>
  </si>
  <si>
    <t>Arroz (polido, parboilizado, agulha etc.)</t>
  </si>
  <si>
    <t>Arroz integral</t>
  </si>
  <si>
    <t>Milho (em grão)</t>
  </si>
  <si>
    <t>Canjiquinha de milho em grão</t>
  </si>
  <si>
    <t>Xerem de milho</t>
  </si>
  <si>
    <t>Amendoim (em grão) (in natura)</t>
  </si>
  <si>
    <t>Ervilha em grão</t>
  </si>
  <si>
    <t>Fava (em grão)</t>
  </si>
  <si>
    <t>Mangalo amargo em grão</t>
  </si>
  <si>
    <t>Feijão de corda</t>
  </si>
  <si>
    <t>Feijão verde</t>
  </si>
  <si>
    <t>Semente de linhaça</t>
  </si>
  <si>
    <t>Andu</t>
  </si>
  <si>
    <t>Grão de bico</t>
  </si>
  <si>
    <t>Lentilha</t>
  </si>
  <si>
    <t>Soja em grão</t>
  </si>
  <si>
    <t>Feijão (preto, mulatinho, roxo, rosinha etc.)</t>
  </si>
  <si>
    <t>Quirera não especificada</t>
  </si>
  <si>
    <t>Feijão verde orgânico</t>
  </si>
  <si>
    <t>Feijão orgânico</t>
  </si>
  <si>
    <t>Pipoca light</t>
  </si>
  <si>
    <t>Arroz orgânico</t>
  </si>
  <si>
    <t>Arroz integral orgânico</t>
  </si>
  <si>
    <t>Feijão soja orgânico</t>
  </si>
  <si>
    <t>Quinoa</t>
  </si>
  <si>
    <t>Batata-inglesa</t>
  </si>
  <si>
    <t>Mandioquinha salsa (batata baroa)</t>
  </si>
  <si>
    <t>Cenoura amarela (batata baroa)</t>
  </si>
  <si>
    <t>Batata doce</t>
  </si>
  <si>
    <t>Inhame</t>
  </si>
  <si>
    <t>Quicare</t>
  </si>
  <si>
    <t>Mandioca</t>
  </si>
  <si>
    <t>Aipim</t>
  </si>
  <si>
    <t>Macaxeira</t>
  </si>
  <si>
    <t>Cará</t>
  </si>
  <si>
    <t>Inhame caraquento (cará)</t>
  </si>
  <si>
    <t>Batata (não especificada)</t>
  </si>
  <si>
    <t>Mandioquinha</t>
  </si>
  <si>
    <t>Rabanete</t>
  </si>
  <si>
    <t>Beterraba</t>
  </si>
  <si>
    <t>Cenoura</t>
  </si>
  <si>
    <t>Nabo</t>
  </si>
  <si>
    <t>Açafrão</t>
  </si>
  <si>
    <t>Gengibre</t>
  </si>
  <si>
    <t>Batata inglesa orgânica</t>
  </si>
  <si>
    <t>Creme de arroz</t>
  </si>
  <si>
    <t>Arrozina</t>
  </si>
  <si>
    <t>Mucilon</t>
  </si>
  <si>
    <t>Croquinhos de arroz</t>
  </si>
  <si>
    <t>Farinha de aveia</t>
  </si>
  <si>
    <t>Aveia em flocos</t>
  </si>
  <si>
    <t>Fubá de milho</t>
  </si>
  <si>
    <t>Farinha de milho</t>
  </si>
  <si>
    <t>Puba de milho</t>
  </si>
  <si>
    <t>Puba de fubá</t>
  </si>
  <si>
    <t>Milho moído</t>
  </si>
  <si>
    <t>Amido de milho</t>
  </si>
  <si>
    <t>Amido de arroz</t>
  </si>
  <si>
    <t>Cremogema</t>
  </si>
  <si>
    <t>Vitamilho</t>
  </si>
  <si>
    <t>Sucrilhos de milho</t>
  </si>
  <si>
    <t>Cereal matinal de milho em flocos</t>
  </si>
  <si>
    <t>Farinha de trigo</t>
  </si>
  <si>
    <t>Farinha de rosca</t>
  </si>
  <si>
    <t>Germe de trigo</t>
  </si>
  <si>
    <t>Fibra de trigo</t>
  </si>
  <si>
    <t>Fibra de cereal trigo</t>
  </si>
  <si>
    <t>Farinha de mandioca</t>
  </si>
  <si>
    <t>Farinha de copioba</t>
  </si>
  <si>
    <t>Farinha de água</t>
  </si>
  <si>
    <t>Cruera</t>
  </si>
  <si>
    <t>Goma de mandioca</t>
  </si>
  <si>
    <t>Farinha de tapioca</t>
  </si>
  <si>
    <t>Farinha beiju</t>
  </si>
  <si>
    <t>Tapioca de goma</t>
  </si>
  <si>
    <t>Farinha láctea</t>
  </si>
  <si>
    <t>Neston</t>
  </si>
  <si>
    <t>Flocos de cereais</t>
  </si>
  <si>
    <t>Vitaflocos</t>
  </si>
  <si>
    <t>Mini pizza semipronta</t>
  </si>
  <si>
    <t>Fibra de soja</t>
  </si>
  <si>
    <t>Mini pastel</t>
  </si>
  <si>
    <t>Massa para lasanha</t>
  </si>
  <si>
    <t>Macarrão</t>
  </si>
  <si>
    <t>Bife vegetal</t>
  </si>
  <si>
    <t>Carne vegetal</t>
  </si>
  <si>
    <t>Pasta de soja</t>
  </si>
  <si>
    <t>Carne de soja</t>
  </si>
  <si>
    <t>Farinha de amendoim</t>
  </si>
  <si>
    <t>Amendoim moído</t>
  </si>
  <si>
    <t>Granola</t>
  </si>
  <si>
    <t>Musli</t>
  </si>
  <si>
    <t>Mix de cereais</t>
  </si>
  <si>
    <t>Miojo</t>
  </si>
  <si>
    <t>Macarrão instantaneo</t>
  </si>
  <si>
    <t>Sustagem</t>
  </si>
  <si>
    <t>Proteína de soja</t>
  </si>
  <si>
    <t>Proteína vegetal</t>
  </si>
  <si>
    <t>Complemento alimentar de qualquer sabor</t>
  </si>
  <si>
    <t>Sucrilhos de milho light</t>
  </si>
  <si>
    <t>Mini pizza semipronta light</t>
  </si>
  <si>
    <t>Macarrão instantaneo light</t>
  </si>
  <si>
    <t>Proteína de soja orgânica</t>
  </si>
  <si>
    <t>Coco da bahia (seco ou verde)</t>
  </si>
  <si>
    <t>Coco ralado</t>
  </si>
  <si>
    <t>Castanha portuguesa</t>
  </si>
  <si>
    <t>Pinhão</t>
  </si>
  <si>
    <t>Amêndoa</t>
  </si>
  <si>
    <t>Avelã</t>
  </si>
  <si>
    <t>Castanha do Pará</t>
  </si>
  <si>
    <t>Castanha de caju</t>
  </si>
  <si>
    <t>Butiá</t>
  </si>
  <si>
    <t>Tucumã</t>
  </si>
  <si>
    <t>Coco mucajá</t>
  </si>
  <si>
    <t>Noz (nogueira)</t>
  </si>
  <si>
    <t>Juçara</t>
  </si>
  <si>
    <t>Uacai</t>
  </si>
  <si>
    <t>Jussara</t>
  </si>
  <si>
    <t>Pupunha</t>
  </si>
  <si>
    <t>Bacaba</t>
  </si>
  <si>
    <t>Bacabuçu</t>
  </si>
  <si>
    <t>Castanha da Índia</t>
  </si>
  <si>
    <t>Pistache</t>
  </si>
  <si>
    <t>Buriti</t>
  </si>
  <si>
    <t>Coco</t>
  </si>
  <si>
    <t>Pataua</t>
  </si>
  <si>
    <t>Alface</t>
  </si>
  <si>
    <t>Bertalha</t>
  </si>
  <si>
    <t>Chicória</t>
  </si>
  <si>
    <t>Escarola</t>
  </si>
  <si>
    <t>Couve</t>
  </si>
  <si>
    <t>Couve-flor</t>
  </si>
  <si>
    <t>Espinafre</t>
  </si>
  <si>
    <t>Mostarda (verdura)</t>
  </si>
  <si>
    <t>Repolho</t>
  </si>
  <si>
    <t>Salsa</t>
  </si>
  <si>
    <t>Cebolinha</t>
  </si>
  <si>
    <t>Agrião</t>
  </si>
  <si>
    <t>Taioba</t>
  </si>
  <si>
    <t>Acelga</t>
  </si>
  <si>
    <t>Beterraba branca (acelga)</t>
  </si>
  <si>
    <t>Almeirao</t>
  </si>
  <si>
    <t>Radite</t>
  </si>
  <si>
    <t>Brócolis</t>
  </si>
  <si>
    <t>Serralha</t>
  </si>
  <si>
    <t>Caruru</t>
  </si>
  <si>
    <t>Cuxa</t>
  </si>
  <si>
    <t>Vinagreira</t>
  </si>
  <si>
    <t>Cariru</t>
  </si>
  <si>
    <t>Rúcula</t>
  </si>
  <si>
    <t>Jambu</t>
  </si>
  <si>
    <t>Língua de vaca (verdura)</t>
  </si>
  <si>
    <t>Alcachofra</t>
  </si>
  <si>
    <t>Bredo</t>
  </si>
  <si>
    <t>Salsão (aipo)</t>
  </si>
  <si>
    <t>Erva doce</t>
  </si>
  <si>
    <t>Folha de aipim</t>
  </si>
  <si>
    <t>Folha de macaxeira</t>
  </si>
  <si>
    <t>Broto de feijão</t>
  </si>
  <si>
    <t>Moranga</t>
  </si>
  <si>
    <t>Abobrinha</t>
  </si>
  <si>
    <t>Jerimum</t>
  </si>
  <si>
    <t>Abóbora</t>
  </si>
  <si>
    <t>Pepino</t>
  </si>
  <si>
    <t>Chuchu</t>
  </si>
  <si>
    <t>Jiló</t>
  </si>
  <si>
    <t>Maxixe</t>
  </si>
  <si>
    <t>Pepininho (maxixe)</t>
  </si>
  <si>
    <t>Palmito in natura</t>
  </si>
  <si>
    <t>Guariroba (palmito in natura)</t>
  </si>
  <si>
    <t>Gueiroba (palmito in natura)</t>
  </si>
  <si>
    <t>Pimentão</t>
  </si>
  <si>
    <t>Pimenta de cheiro</t>
  </si>
  <si>
    <t>Quiabo</t>
  </si>
  <si>
    <t>Tomate</t>
  </si>
  <si>
    <t>Vagem</t>
  </si>
  <si>
    <t>Cogumelo in natura</t>
  </si>
  <si>
    <t>Berinjela</t>
  </si>
  <si>
    <t>Ervilha em vagem</t>
  </si>
  <si>
    <t>Cebola</t>
  </si>
  <si>
    <t>Catalonha</t>
  </si>
  <si>
    <t>Jardineira (seleta)</t>
  </si>
  <si>
    <t>Seleta (jardineira)</t>
  </si>
  <si>
    <t>Alho</t>
  </si>
  <si>
    <t>Alho poro</t>
  </si>
  <si>
    <t>Broto de alfafa</t>
  </si>
  <si>
    <t>Alface orgânica</t>
  </si>
  <si>
    <t>Tomate orgânico</t>
  </si>
  <si>
    <t>Pimentao orgânico</t>
  </si>
  <si>
    <t>Orégano</t>
  </si>
  <si>
    <t>Pacova</t>
  </si>
  <si>
    <t>Banana (ouro, prata, d'água, da terra etc.)</t>
  </si>
  <si>
    <t>Laranja (pera, seleta, lima, da terra etc.)</t>
  </si>
  <si>
    <t>Lima</t>
  </si>
  <si>
    <t>Limão (comum, galego etc.)</t>
  </si>
  <si>
    <t>Tangerina</t>
  </si>
  <si>
    <t>Mexerica</t>
  </si>
  <si>
    <t>Bergamota</t>
  </si>
  <si>
    <t>Mimosa</t>
  </si>
  <si>
    <t>Tanja</t>
  </si>
  <si>
    <t>Maricota</t>
  </si>
  <si>
    <t>Laranjinha japonesa</t>
  </si>
  <si>
    <t>Cana-de-açúcar</t>
  </si>
  <si>
    <t>Abacaxi</t>
  </si>
  <si>
    <t>Ananás</t>
  </si>
  <si>
    <t>Abacate</t>
  </si>
  <si>
    <t>Caqui</t>
  </si>
  <si>
    <t>Figo</t>
  </si>
  <si>
    <t>Maça</t>
  </si>
  <si>
    <t>Mamão</t>
  </si>
  <si>
    <t>Papaia</t>
  </si>
  <si>
    <t>Manga</t>
  </si>
  <si>
    <t>Manguito</t>
  </si>
  <si>
    <t>Maracujá</t>
  </si>
  <si>
    <t>Melancia</t>
  </si>
  <si>
    <t>Melão</t>
  </si>
  <si>
    <t>Pera</t>
  </si>
  <si>
    <t>Pêssego</t>
  </si>
  <si>
    <t>Fruta-de-conde</t>
  </si>
  <si>
    <t>Pinha (fruta-de-conde)</t>
  </si>
  <si>
    <t>Ata</t>
  </si>
  <si>
    <t>Uva</t>
  </si>
  <si>
    <t>Uva passa</t>
  </si>
  <si>
    <t>Jenipapo</t>
  </si>
  <si>
    <t>Jaca</t>
  </si>
  <si>
    <t>Goiaba</t>
  </si>
  <si>
    <t>Araçá açu (goiaba)</t>
  </si>
  <si>
    <t>Ameixa</t>
  </si>
  <si>
    <t>Caju</t>
  </si>
  <si>
    <t>Cereja</t>
  </si>
  <si>
    <t>Cajá manga</t>
  </si>
  <si>
    <t>Cajarana</t>
  </si>
  <si>
    <t>Tapereba</t>
  </si>
  <si>
    <t>Acajá (tabereba)</t>
  </si>
  <si>
    <t>Carambola</t>
  </si>
  <si>
    <t>Jaboticaba</t>
  </si>
  <si>
    <t>Graviola</t>
  </si>
  <si>
    <t>Morango</t>
  </si>
  <si>
    <t>Jambo</t>
  </si>
  <si>
    <t>Atemoia</t>
  </si>
  <si>
    <t>Mangaba</t>
  </si>
  <si>
    <t>Araça</t>
  </si>
  <si>
    <t>Nêspera</t>
  </si>
  <si>
    <t>Fruta-pão</t>
  </si>
  <si>
    <t>Sapoti</t>
  </si>
  <si>
    <t>Uxi</t>
  </si>
  <si>
    <t>Tamarindo</t>
  </si>
  <si>
    <t>Cacau</t>
  </si>
  <si>
    <t>Pitomba</t>
  </si>
  <si>
    <t>Bacuri</t>
  </si>
  <si>
    <t>Ingá</t>
  </si>
  <si>
    <t>Pequi</t>
  </si>
  <si>
    <t>Pitanga</t>
  </si>
  <si>
    <t>Ciriguela</t>
  </si>
  <si>
    <t>Murici</t>
  </si>
  <si>
    <t>Umbu</t>
  </si>
  <si>
    <t>Imbu</t>
  </si>
  <si>
    <t>Biriba</t>
  </si>
  <si>
    <t>Cupuaçu</t>
  </si>
  <si>
    <t>Nectarina</t>
  </si>
  <si>
    <t>Mari</t>
  </si>
  <si>
    <t>Romã</t>
  </si>
  <si>
    <t>Acerola</t>
  </si>
  <si>
    <t>Kiwi</t>
  </si>
  <si>
    <t>Abiu</t>
  </si>
  <si>
    <t>Jurubeba</t>
  </si>
  <si>
    <t>Fruta (não especificada)</t>
  </si>
  <si>
    <t>Maça orgânica</t>
  </si>
  <si>
    <t>Acerola orgânica</t>
  </si>
  <si>
    <t>Amora</t>
  </si>
  <si>
    <t>Jamelão (jamburao)</t>
  </si>
  <si>
    <t>Demerara</t>
  </si>
  <si>
    <t>Açúcar mascavo</t>
  </si>
  <si>
    <t>Rapadura</t>
  </si>
  <si>
    <t>Alfenim de cana</t>
  </si>
  <si>
    <t>Batida (rapadura)</t>
  </si>
  <si>
    <t>Sorvete de qualquer sabor industrializado</t>
  </si>
  <si>
    <t>Picolé de qualquer sabor industrializado</t>
  </si>
  <si>
    <t>Chiclete</t>
  </si>
  <si>
    <t>Bala</t>
  </si>
  <si>
    <t>Caramelo (bala)</t>
  </si>
  <si>
    <t>Drops</t>
  </si>
  <si>
    <t>Pastilha</t>
  </si>
  <si>
    <t>Pirulito</t>
  </si>
  <si>
    <t>Goma de mascar</t>
  </si>
  <si>
    <t>Jujuba</t>
  </si>
  <si>
    <t>Tablete de chocolate</t>
  </si>
  <si>
    <t>Barra de chocolate</t>
  </si>
  <si>
    <t>Confete</t>
  </si>
  <si>
    <t>Chocolate em pó de qualquer marca</t>
  </si>
  <si>
    <t>Ovomaltine</t>
  </si>
  <si>
    <t>Achocolatado em pó</t>
  </si>
  <si>
    <t>Toddynho</t>
  </si>
  <si>
    <t>Bombom de qualquer marca</t>
  </si>
  <si>
    <t>Trufa</t>
  </si>
  <si>
    <t>Geléia de frutas de qualquer marca ou sabor</t>
  </si>
  <si>
    <t>Mousse de qualquer sabor (geléia)</t>
  </si>
  <si>
    <t>Geléia de mocoto</t>
  </si>
  <si>
    <t>Doce de frutas em pasta de qualquer sabor</t>
  </si>
  <si>
    <t>Pessegada</t>
  </si>
  <si>
    <t>Marmelada</t>
  </si>
  <si>
    <t>Figada</t>
  </si>
  <si>
    <t>Goiabada</t>
  </si>
  <si>
    <t>Caju em pasta</t>
  </si>
  <si>
    <t>Mariola</t>
  </si>
  <si>
    <t>Doce de frutas em calda de qualquer sabor</t>
  </si>
  <si>
    <t>Doce de frutas cristalizado de qualquer sabor</t>
  </si>
  <si>
    <t>Melado</t>
  </si>
  <si>
    <t>Mel</t>
  </si>
  <si>
    <t>Gelatina de qualquer sabor</t>
  </si>
  <si>
    <t>Adoçante artificial</t>
  </si>
  <si>
    <t>Merengue</t>
  </si>
  <si>
    <t>Schimier de cana</t>
  </si>
  <si>
    <t>Fruta seca ou desidratada</t>
  </si>
  <si>
    <t>Passa</t>
  </si>
  <si>
    <t>Pudim de qualquer sabor</t>
  </si>
  <si>
    <t>Danette pudim</t>
  </si>
  <si>
    <t>Cuscuz</t>
  </si>
  <si>
    <t>Maria mole</t>
  </si>
  <si>
    <t>Pe de moleque</t>
  </si>
  <si>
    <t>Paçoca</t>
  </si>
  <si>
    <t>Paçoquinha de amendoim</t>
  </si>
  <si>
    <t>Amendoim amanteigado</t>
  </si>
  <si>
    <t>Amendoim apimentado</t>
  </si>
  <si>
    <t>Bomba de qualquer tipo</t>
  </si>
  <si>
    <t>Mil folhas</t>
  </si>
  <si>
    <t>Queijadinha</t>
  </si>
  <si>
    <t>Doce a base de ovos</t>
  </si>
  <si>
    <t>Caçarola italiana</t>
  </si>
  <si>
    <t>Doce a base de leite</t>
  </si>
  <si>
    <t>Leite geleificado</t>
  </si>
  <si>
    <t>Chandele de qualquer sabor</t>
  </si>
  <si>
    <t>Mumu</t>
  </si>
  <si>
    <t>Canudinho recheado</t>
  </si>
  <si>
    <t>Beiju</t>
  </si>
  <si>
    <t>Picole ensacado</t>
  </si>
  <si>
    <t>Geladinho</t>
  </si>
  <si>
    <t>Churro</t>
  </si>
  <si>
    <t>Algodão-doce</t>
  </si>
  <si>
    <t>Ioio creme (chocolate em creme)</t>
  </si>
  <si>
    <t>Ovo de pascoa</t>
  </si>
  <si>
    <t>Kinder ovo</t>
  </si>
  <si>
    <t>Torrone</t>
  </si>
  <si>
    <t>Polpa de coco</t>
  </si>
  <si>
    <t>Diet shake</t>
  </si>
  <si>
    <t>Concentrado alimentar diet shake</t>
  </si>
  <si>
    <t>Açúcar</t>
  </si>
  <si>
    <t>Açúcar light</t>
  </si>
  <si>
    <t>Barra de cereais</t>
  </si>
  <si>
    <t>Barra de cereais salgada</t>
  </si>
  <si>
    <t>Barra de cereais doce</t>
  </si>
  <si>
    <t>Sobremesa de qualquer tipo (exceto infantil)</t>
  </si>
  <si>
    <t>Milk shake</t>
  </si>
  <si>
    <t>Geléia diet</t>
  </si>
  <si>
    <t>Doce de frutas diet</t>
  </si>
  <si>
    <t>Doce de frutas cristalizado de qualquer sabor diet</t>
  </si>
  <si>
    <t>Sorvete de qualquer sabor industrializado light</t>
  </si>
  <si>
    <t>Sorvete de qualquer sabor industrializado diet</t>
  </si>
  <si>
    <t>Bala light</t>
  </si>
  <si>
    <t>Chiclete diet</t>
  </si>
  <si>
    <t>Bala diet</t>
  </si>
  <si>
    <t>Barra de chocolate light</t>
  </si>
  <si>
    <t>Barra de chocolate diet</t>
  </si>
  <si>
    <t>Achocolatado em pó light</t>
  </si>
  <si>
    <t>Achocolatado em pó diet</t>
  </si>
  <si>
    <t>Toddynho diet</t>
  </si>
  <si>
    <t>Bombom de qualquer marca light</t>
  </si>
  <si>
    <t>Bombom de qualquer marca diet</t>
  </si>
  <si>
    <t>Bombom caramelizado de qualquer marca diet</t>
  </si>
  <si>
    <t>Geléia de frutas de qualquer marca ou sabor light</t>
  </si>
  <si>
    <t>Geléia light</t>
  </si>
  <si>
    <t>Geléia de frutas light</t>
  </si>
  <si>
    <t>Doce de frutas em barra ou pasta light</t>
  </si>
  <si>
    <t>Doce de frutas em pasta light</t>
  </si>
  <si>
    <t>Pudim de qualquer sabor light</t>
  </si>
  <si>
    <t>Pudim danette light</t>
  </si>
  <si>
    <t>Pudim de qualquer sabor diet</t>
  </si>
  <si>
    <t>Doce de leite light</t>
  </si>
  <si>
    <t>Doce de leite diet</t>
  </si>
  <si>
    <t>Barra de cereais diet</t>
  </si>
  <si>
    <t>Barra de cereais doce diet</t>
  </si>
  <si>
    <t>Milk shake diet</t>
  </si>
  <si>
    <t>Cocada diet</t>
  </si>
  <si>
    <t>Doce de amendoim diet</t>
  </si>
  <si>
    <t>Paçoca diet</t>
  </si>
  <si>
    <t>Amendoim amanteigado diet</t>
  </si>
  <si>
    <t>Doce a base de leite diet</t>
  </si>
  <si>
    <t>Gelatina de qualquer sabor light</t>
  </si>
  <si>
    <t>Adoçante light</t>
  </si>
  <si>
    <t>Adoçante em pó light</t>
  </si>
  <si>
    <t>Adoçante liquido light</t>
  </si>
  <si>
    <t>Fermento em pó</t>
  </si>
  <si>
    <t>Mostarda molho</t>
  </si>
  <si>
    <t>Hortelã</t>
  </si>
  <si>
    <t>Alcaparra em conserva</t>
  </si>
  <si>
    <t>Coentro</t>
  </si>
  <si>
    <t>Molho de soja</t>
  </si>
  <si>
    <t>Shoyo</t>
  </si>
  <si>
    <t>Leite de coco</t>
  </si>
  <si>
    <t>Maionese (molho)</t>
  </si>
  <si>
    <t>Massa de tomate</t>
  </si>
  <si>
    <t>Molho de tomate</t>
  </si>
  <si>
    <t>Ketchup</t>
  </si>
  <si>
    <t>Catchup</t>
  </si>
  <si>
    <t>Pimenta em pó</t>
  </si>
  <si>
    <t>Tucupi em caldo sem pimenta</t>
  </si>
  <si>
    <t>Creme de queijo</t>
  </si>
  <si>
    <t>Caldo de peixe</t>
  </si>
  <si>
    <t>Gergelim</t>
  </si>
  <si>
    <t>Colorau</t>
  </si>
  <si>
    <t>Vinagre</t>
  </si>
  <si>
    <t>Tomate seco</t>
  </si>
  <si>
    <t>Maionese (molho) light</t>
  </si>
  <si>
    <t>Molho de soja light</t>
  </si>
  <si>
    <t>Leite de coco light</t>
  </si>
  <si>
    <t>Vinagrete</t>
  </si>
  <si>
    <t>Filé mignon</t>
  </si>
  <si>
    <t>Contrafilé</t>
  </si>
  <si>
    <t>Bisteca bovina</t>
  </si>
  <si>
    <t>Alcatra</t>
  </si>
  <si>
    <t>Maminha</t>
  </si>
  <si>
    <t>Picanha</t>
  </si>
  <si>
    <t>Patinho</t>
  </si>
  <si>
    <t>Cabeca de lombo (carne bovina)</t>
  </si>
  <si>
    <t>Posta branca</t>
  </si>
  <si>
    <t>Tatu (lagarto redondo)</t>
  </si>
  <si>
    <t>Paulista</t>
  </si>
  <si>
    <t>Lombo paulista (carne bovina)</t>
  </si>
  <si>
    <t>Posta vermelha</t>
  </si>
  <si>
    <t>Acem</t>
  </si>
  <si>
    <t>Agulha (acem)</t>
  </si>
  <si>
    <t>Paleta</t>
  </si>
  <si>
    <t>Pá com osso</t>
  </si>
  <si>
    <t>Músculo bovino</t>
  </si>
  <si>
    <t>Chambaril</t>
  </si>
  <si>
    <t>Carne marica bovina</t>
  </si>
  <si>
    <t>Vazio (carne bovina)</t>
  </si>
  <si>
    <t>Peito bovino</t>
  </si>
  <si>
    <t>Fraldinha (capa de filé)</t>
  </si>
  <si>
    <t>Aba de filé</t>
  </si>
  <si>
    <t>Costela bovina</t>
  </si>
  <si>
    <t>Jacare (carne bovina de segunda c/ osso)</t>
  </si>
  <si>
    <t>Filé de segunda</t>
  </si>
  <si>
    <t>Viscera bovina</t>
  </si>
  <si>
    <t>Panelada (visceras bovinas não especificadas)</t>
  </si>
  <si>
    <t>Coracao bovino</t>
  </si>
  <si>
    <t>Rim de boi</t>
  </si>
  <si>
    <t>Bofe bovino</t>
  </si>
  <si>
    <t>Miolo de boi</t>
  </si>
  <si>
    <t>Tripa bovina</t>
  </si>
  <si>
    <t>Dobradinha fresca</t>
  </si>
  <si>
    <t>Fato bovino</t>
  </si>
  <si>
    <t>Fato caprino</t>
  </si>
  <si>
    <t>Fígado bovino</t>
  </si>
  <si>
    <t>Cupim</t>
  </si>
  <si>
    <t>Língua bovina</t>
  </si>
  <si>
    <t>Rabada de boi</t>
  </si>
  <si>
    <t>Mocoto bovino</t>
  </si>
  <si>
    <t>Braco bovino</t>
  </si>
  <si>
    <t>Mao bovina</t>
  </si>
  <si>
    <t>Carre</t>
  </si>
  <si>
    <t>Bisteca suína</t>
  </si>
  <si>
    <t>Pernil suíno</t>
  </si>
  <si>
    <t>Quarto suíno</t>
  </si>
  <si>
    <t>Costela suína</t>
  </si>
  <si>
    <t>Lombo suíno</t>
  </si>
  <si>
    <t>Toucinho</t>
  </si>
  <si>
    <t>Miudo suíno</t>
  </si>
  <si>
    <t>Arrasto suíno</t>
  </si>
  <si>
    <t>Sarapatel suíno fresco</t>
  </si>
  <si>
    <t>Carne suína</t>
  </si>
  <si>
    <t>Carne moída</t>
  </si>
  <si>
    <t>Tripa suína</t>
  </si>
  <si>
    <t>Fígado suíno</t>
  </si>
  <si>
    <t>Língua suína</t>
  </si>
  <si>
    <t>Orelha suína fresca</t>
  </si>
  <si>
    <t>Mocoto suíno</t>
  </si>
  <si>
    <t>Carne de cabrito</t>
  </si>
  <si>
    <t>Carne de bode</t>
  </si>
  <si>
    <t>Carne caprina</t>
  </si>
  <si>
    <t>Carne de caprino</t>
  </si>
  <si>
    <t>Carne de carneiro</t>
  </si>
  <si>
    <t>Carne de ovelha</t>
  </si>
  <si>
    <t>Mocoto de caprino</t>
  </si>
  <si>
    <t>Pernil</t>
  </si>
  <si>
    <t>Lagarto bovino</t>
  </si>
  <si>
    <t>Alcatra suína</t>
  </si>
  <si>
    <t>Sua suína</t>
  </si>
  <si>
    <t>Carne de outros animais</t>
  </si>
  <si>
    <t>Carne da paca</t>
  </si>
  <si>
    <t>Alligator</t>
  </si>
  <si>
    <t>Carne de capivara</t>
  </si>
  <si>
    <t>Carne de cotia</t>
  </si>
  <si>
    <t>Carne de jabuti</t>
  </si>
  <si>
    <t>Carne de primeira</t>
  </si>
  <si>
    <t>Chuleta</t>
  </si>
  <si>
    <t>Filé não especificado</t>
  </si>
  <si>
    <t>Miudo de bode</t>
  </si>
  <si>
    <t>Pe suíno fresco</t>
  </si>
  <si>
    <t>Carne bovina</t>
  </si>
  <si>
    <t>Lombo não especificado</t>
  </si>
  <si>
    <t>Músculo não especificado</t>
  </si>
  <si>
    <t>Ossada não especificada</t>
  </si>
  <si>
    <t>Carne de segunda</t>
  </si>
  <si>
    <t>Contrafilé orgânico</t>
  </si>
  <si>
    <t>Bisteca orgânica</t>
  </si>
  <si>
    <t>Cabeca de lombo (carne bovina) orgânica</t>
  </si>
  <si>
    <t>Tatu (lagarto redondo) orgânico</t>
  </si>
  <si>
    <t>Peixe de mar (inteiro, em pósta etc.)</t>
  </si>
  <si>
    <t>Peixe de mar salgado (inteiro, em pósta etc.)</t>
  </si>
  <si>
    <t>Camarão</t>
  </si>
  <si>
    <t>Siri</t>
  </si>
  <si>
    <t>Baú (siri)</t>
  </si>
  <si>
    <t>Goia</t>
  </si>
  <si>
    <t>Caranguejo</t>
  </si>
  <si>
    <t>Guaiamu</t>
  </si>
  <si>
    <t>Marisco</t>
  </si>
  <si>
    <t>Ostra</t>
  </si>
  <si>
    <t>Lula</t>
  </si>
  <si>
    <t>Sururu</t>
  </si>
  <si>
    <t>Bacalhau</t>
  </si>
  <si>
    <t>Ovas de peixe (qualquer especie)</t>
  </si>
  <si>
    <t>Peixe de água doce (inteiro, em pósta, em filé etc.)</t>
  </si>
  <si>
    <t>Peixe de água doce salgado (inteiro, em pósta etc.)</t>
  </si>
  <si>
    <t>Tracaja</t>
  </si>
  <si>
    <t>Peixe não especificado (inteiro, em pósta etc.)</t>
  </si>
  <si>
    <t>Peixe não especificado salgado (inteiro etc.)</t>
  </si>
  <si>
    <t>Azeitona</t>
  </si>
  <si>
    <t>Ervilha em conserva</t>
  </si>
  <si>
    <t>Petit pois</t>
  </si>
  <si>
    <t>Milho verde em conserva</t>
  </si>
  <si>
    <t>Palmito em conserva</t>
  </si>
  <si>
    <t>Cogumelo em conserva</t>
  </si>
  <si>
    <t>Champignon em conserva</t>
  </si>
  <si>
    <t>Aspargo em conserva</t>
  </si>
  <si>
    <t>Repolho em conserva</t>
  </si>
  <si>
    <t>Chucrute</t>
  </si>
  <si>
    <t>Legume não especificado em conserva</t>
  </si>
  <si>
    <t>Creme de cebola (sopa desidratada)</t>
  </si>
  <si>
    <t>Creme de legumes (sopa desidratada)</t>
  </si>
  <si>
    <t>Milho verde com ervilha em conserva</t>
  </si>
  <si>
    <t>Feijão branco com dobradinha em conserva</t>
  </si>
  <si>
    <t>Pasta de carne em conserva</t>
  </si>
  <si>
    <t>Pasta de presunto em conserva</t>
  </si>
  <si>
    <t>Pasta de galinha em conserva</t>
  </si>
  <si>
    <t>Carne bovina em conserva</t>
  </si>
  <si>
    <t>Almondega</t>
  </si>
  <si>
    <t>Kitute bovino</t>
  </si>
  <si>
    <t>Almondega ao molho em conserva</t>
  </si>
  <si>
    <t>Kitute suíno</t>
  </si>
  <si>
    <t>Presuntada</t>
  </si>
  <si>
    <t>Fiambre</t>
  </si>
  <si>
    <t>Salsicha em conserva</t>
  </si>
  <si>
    <t>Sardinha em conserva</t>
  </si>
  <si>
    <t>Atum em conserva</t>
  </si>
  <si>
    <t>Pepino em conserva</t>
  </si>
  <si>
    <t>Pasta de peixe em conserva</t>
  </si>
  <si>
    <t>Picles</t>
  </si>
  <si>
    <t>Nabo em conserva</t>
  </si>
  <si>
    <t>Salmão em conserva</t>
  </si>
  <si>
    <t>Creme de cebola (sopa desidratada) light</t>
  </si>
  <si>
    <t>Creme de legumes (sopa desidratada) light</t>
  </si>
  <si>
    <t>Yakissoba (sopa de legumes desidratada) light</t>
  </si>
  <si>
    <t>Atum em conserva light</t>
  </si>
  <si>
    <t>Frango inteiro</t>
  </si>
  <si>
    <t>Parte de galinha ou frango não especificada</t>
  </si>
  <si>
    <t>Frango em pedaços</t>
  </si>
  <si>
    <t>Galinha em pedaços</t>
  </si>
  <si>
    <t>Carne de galinha</t>
  </si>
  <si>
    <t>Peito de galinha ou frango</t>
  </si>
  <si>
    <t>Filé de frango</t>
  </si>
  <si>
    <t>Carcaca de galinha ou frango</t>
  </si>
  <si>
    <t>Asa de galinha ou frango</t>
  </si>
  <si>
    <t>Drumete de galinha ou frango</t>
  </si>
  <si>
    <t>Pescoco de galinha ou frango</t>
  </si>
  <si>
    <t>Pe de galinha ou frango</t>
  </si>
  <si>
    <t>Miudo de galinha ou frango</t>
  </si>
  <si>
    <t>Moela de galinha ou frango</t>
  </si>
  <si>
    <t>Coracao de frango</t>
  </si>
  <si>
    <t>Fígado de galinha ou frango</t>
  </si>
  <si>
    <t>Canja</t>
  </si>
  <si>
    <t>Peru em pedaço não especificado</t>
  </si>
  <si>
    <t>Peito de peru</t>
  </si>
  <si>
    <t>Asa de peru</t>
  </si>
  <si>
    <t>Chester</t>
  </si>
  <si>
    <t>Tender</t>
  </si>
  <si>
    <t>Nambu</t>
  </si>
  <si>
    <t>Nuggets de frango</t>
  </si>
  <si>
    <t>Steak de frango</t>
  </si>
  <si>
    <t>Poultry, quail or partridge, unknown if skin eaten</t>
  </si>
  <si>
    <t>Pe e asa de galinha ou frango</t>
  </si>
  <si>
    <t>Ovo de galinha</t>
  </si>
  <si>
    <t>Ovo de codorna</t>
  </si>
  <si>
    <t>Galinha de angola abatida, congelada ou viva</t>
  </si>
  <si>
    <t>Capote</t>
  </si>
  <si>
    <t>Mutum</t>
  </si>
  <si>
    <t>Pato em pedaços</t>
  </si>
  <si>
    <t>Peito de pato</t>
  </si>
  <si>
    <t>Carne de pato</t>
  </si>
  <si>
    <t>Peito de peru light</t>
  </si>
  <si>
    <t>Frango inteiro orgânico</t>
  </si>
  <si>
    <t>Filé de frango orgânico</t>
  </si>
  <si>
    <t>Leite de vaca integral</t>
  </si>
  <si>
    <t>Leite de vaca fresco</t>
  </si>
  <si>
    <t>Leite de cabra</t>
  </si>
  <si>
    <t>Leite em pó integral</t>
  </si>
  <si>
    <t>Leite em pó desnatado</t>
  </si>
  <si>
    <t>Leite em pó</t>
  </si>
  <si>
    <t>Leite condensado</t>
  </si>
  <si>
    <t>Leite beijinho</t>
  </si>
  <si>
    <t>Creme de leite</t>
  </si>
  <si>
    <t>Chantilly</t>
  </si>
  <si>
    <t>Iogurte de qualquer sabor</t>
  </si>
  <si>
    <t>Iogurte desnatado</t>
  </si>
  <si>
    <t>Iogurte natural</t>
  </si>
  <si>
    <t>Yakult de qualquer sabor</t>
  </si>
  <si>
    <t>Bebida láctea</t>
  </si>
  <si>
    <t>Leite fermentado</t>
  </si>
  <si>
    <t>Coalhada</t>
  </si>
  <si>
    <t>Manteiga</t>
  </si>
  <si>
    <t>Manteiga de garrafa</t>
  </si>
  <si>
    <t>Margarina com ou sem sal</t>
  </si>
  <si>
    <t>Queijo prato</t>
  </si>
  <si>
    <t>Queijo colonial</t>
  </si>
  <si>
    <t>Queijo de colonia</t>
  </si>
  <si>
    <t>Queijo muçarela</t>
  </si>
  <si>
    <t>Muçarela</t>
  </si>
  <si>
    <t>Muçarela de bufala</t>
  </si>
  <si>
    <t>Queijo de búfalo</t>
  </si>
  <si>
    <t>Queijo de reino</t>
  </si>
  <si>
    <t>Queijo de minas</t>
  </si>
  <si>
    <t>Queijo de manteiga</t>
  </si>
  <si>
    <t>Quechimia</t>
  </si>
  <si>
    <t>Queijo de coalho</t>
  </si>
  <si>
    <t>Queijo canastra</t>
  </si>
  <si>
    <t>Queijo ricota</t>
  </si>
  <si>
    <t>Leite de soja com sabor</t>
  </si>
  <si>
    <t>Ades original</t>
  </si>
  <si>
    <t>Queijo ralado</t>
  </si>
  <si>
    <t>Queijo provolone</t>
  </si>
  <si>
    <t>Queijo polenguinho</t>
  </si>
  <si>
    <t>Requeijão</t>
  </si>
  <si>
    <t>Queijo cremoso</t>
  </si>
  <si>
    <t>Queijo não especificado</t>
  </si>
  <si>
    <t>Leite com sabor</t>
  </si>
  <si>
    <t>Leite achocolatado</t>
  </si>
  <si>
    <t>Leite aromatizado</t>
  </si>
  <si>
    <t>Bebida achocolatada</t>
  </si>
  <si>
    <t>Nata</t>
  </si>
  <si>
    <t>Queijo gorgonzola</t>
  </si>
  <si>
    <t>Tofu</t>
  </si>
  <si>
    <t>Leite de soja em pó</t>
  </si>
  <si>
    <t>Leite de vaca desnatado</t>
  </si>
  <si>
    <t>Leite de vaca semidesnatado</t>
  </si>
  <si>
    <t>Leite não especificado pasteurizado</t>
  </si>
  <si>
    <t>Iogurte de qualquer sabor light</t>
  </si>
  <si>
    <t>Iogurte de qualquer sabor diet</t>
  </si>
  <si>
    <t>Margarina light</t>
  </si>
  <si>
    <t>Leite de vaca integral orgânico</t>
  </si>
  <si>
    <t>Leite de vaca fresco orgânico</t>
  </si>
  <si>
    <t>Leite semidesnatado de vaca orgânico</t>
  </si>
  <si>
    <t>Creme de leite orgânico</t>
  </si>
  <si>
    <t>Iogurte de qualquer sabor orgânico</t>
  </si>
  <si>
    <t>Iogurte de qualquer sabor desnatado orgânico</t>
  </si>
  <si>
    <t>Iogurte natural de qualquer sabor orgânico</t>
  </si>
  <si>
    <t>Muçarela light</t>
  </si>
  <si>
    <t>Queijo muçarela light</t>
  </si>
  <si>
    <t>Leite de soja com sabor light</t>
  </si>
  <si>
    <t>Ades light</t>
  </si>
  <si>
    <t>Creme de leite light</t>
  </si>
  <si>
    <t>Queijo prato light</t>
  </si>
  <si>
    <t>Queijo de minas light</t>
  </si>
  <si>
    <t>Queijo de coalho light</t>
  </si>
  <si>
    <t>Queijo ricota light</t>
  </si>
  <si>
    <t>Queijo ralado light</t>
  </si>
  <si>
    <t>Queijo polenguinho light</t>
  </si>
  <si>
    <t>Requeijão light</t>
  </si>
  <si>
    <t>Queijo não especificado light</t>
  </si>
  <si>
    <t>Leite achocolatado light</t>
  </si>
  <si>
    <t>Bebida achocolatada light</t>
  </si>
  <si>
    <t>Leite com sabor diet</t>
  </si>
  <si>
    <t>Leite achocolatado diet</t>
  </si>
  <si>
    <t>Bebida achocolatada diet</t>
  </si>
  <si>
    <t>Leite de soja em pó light</t>
  </si>
  <si>
    <t>Leite em pó com sabor</t>
  </si>
  <si>
    <t>Manteiga com ou sem sal light</t>
  </si>
  <si>
    <t>Queijo de minas frescal orgânico</t>
  </si>
  <si>
    <t>Queijo de coalho frescal orgânico</t>
  </si>
  <si>
    <t>Pão de hambúrguer</t>
  </si>
  <si>
    <t>Pão de sal</t>
  </si>
  <si>
    <t>Pão doce</t>
  </si>
  <si>
    <t>Chineque</t>
  </si>
  <si>
    <t>Chineque com farofa</t>
  </si>
  <si>
    <t>Pão de mel</t>
  </si>
  <si>
    <t>Panetone</t>
  </si>
  <si>
    <t>Bisnaguinha</t>
  </si>
  <si>
    <t>Croissant</t>
  </si>
  <si>
    <t>Pão de forma industrializado de qualquer marca</t>
  </si>
  <si>
    <t>Pão de milho</t>
  </si>
  <si>
    <t>Pão integral</t>
  </si>
  <si>
    <t>Pão não especificado</t>
  </si>
  <si>
    <t>Torrada de qualquer pão</t>
  </si>
  <si>
    <t>Rosca doce</t>
  </si>
  <si>
    <t>Rosquinha doce</t>
  </si>
  <si>
    <t>Rosca salgada</t>
  </si>
  <si>
    <t>Rosquinha salgada</t>
  </si>
  <si>
    <t>Biscoito salgado</t>
  </si>
  <si>
    <t>Presuntinho biscoito</t>
  </si>
  <si>
    <t>Bolacha salgada</t>
  </si>
  <si>
    <t>Chips (salgadinhos)</t>
  </si>
  <si>
    <t>Baconzitos</t>
  </si>
  <si>
    <t>Biscoito salgado integral</t>
  </si>
  <si>
    <t>Biscoito doce</t>
  </si>
  <si>
    <t>Cavaco chines</t>
  </si>
  <si>
    <t>Sequilho</t>
  </si>
  <si>
    <t>Tareco</t>
  </si>
  <si>
    <t>Solda</t>
  </si>
  <si>
    <t>Brevidade</t>
  </si>
  <si>
    <t>Bolacha doce</t>
  </si>
  <si>
    <t>Maria maluca (bolacha doce)</t>
  </si>
  <si>
    <t>Quebra quebra</t>
  </si>
  <si>
    <t>Rocambole</t>
  </si>
  <si>
    <t>Cuca de qualquer tipo</t>
  </si>
  <si>
    <t>Amidomil (bolinho)</t>
  </si>
  <si>
    <t>Angusor de milho</t>
  </si>
  <si>
    <t>Grustoli (bolinho doce)</t>
  </si>
  <si>
    <t>Tortas doces de qualquer sabor</t>
  </si>
  <si>
    <t>Tortas salgadas de qualquer sabor</t>
  </si>
  <si>
    <t>Sonho</t>
  </si>
  <si>
    <t>Filéos (bolinhos de farinha de trigo)</t>
  </si>
  <si>
    <t>Brioche</t>
  </si>
  <si>
    <t>Broa</t>
  </si>
  <si>
    <t>Biscoito recheado</t>
  </si>
  <si>
    <t>Waffer (biscoito)</t>
  </si>
  <si>
    <t>Alfajores (biscoito)</t>
  </si>
  <si>
    <t>Bolacha recheada</t>
  </si>
  <si>
    <t>Rosca recheada</t>
  </si>
  <si>
    <t>Rosquinha recheada de qualquer sabor</t>
  </si>
  <si>
    <t>Biscoito não especificado</t>
  </si>
  <si>
    <t>Pão diet (de forma industrializado)</t>
  </si>
  <si>
    <t>Pão light (de forma industrializado)</t>
  </si>
  <si>
    <t>Pão de queijo light</t>
  </si>
  <si>
    <t>Pão integral light</t>
  </si>
  <si>
    <t>Tortas doces de qualquer sabor light</t>
  </si>
  <si>
    <t>Tortas doces de qualquer sabor diet</t>
  </si>
  <si>
    <t>Filéos (bolinho de farinha de trigo e ovos) light</t>
  </si>
  <si>
    <t>Filéos (bolinho de farinha de trigo e ovos) diet</t>
  </si>
  <si>
    <t>Bolo de chocolate light</t>
  </si>
  <si>
    <t>Bolo de chocolate diet</t>
  </si>
  <si>
    <t>Bolo de laranja light</t>
  </si>
  <si>
    <t>Bolo de coco diet</t>
  </si>
  <si>
    <t>Bolo de cenoura diet</t>
  </si>
  <si>
    <t>Biscoito recheado light</t>
  </si>
  <si>
    <t>Biscoito waffer light</t>
  </si>
  <si>
    <t>Waffer (biscoito) light</t>
  </si>
  <si>
    <t>Alfajores (biscoito) light</t>
  </si>
  <si>
    <t>Bolacha recheada light</t>
  </si>
  <si>
    <t>Biscoito recheado diet</t>
  </si>
  <si>
    <t>Rosquinha recheada de qualquer sabor diet</t>
  </si>
  <si>
    <t>Bolacha recheada diet</t>
  </si>
  <si>
    <t>Pão doce diet</t>
  </si>
  <si>
    <t>Pão de mel diet</t>
  </si>
  <si>
    <t>Panetone diet</t>
  </si>
  <si>
    <t>Biscoito salgado light</t>
  </si>
  <si>
    <t>Bolacha salgada light</t>
  </si>
  <si>
    <t>Chips (salgadinhos) light</t>
  </si>
  <si>
    <t>Biscoito doce light</t>
  </si>
  <si>
    <t>Bolacha doce light</t>
  </si>
  <si>
    <t>Biscoito doce diet</t>
  </si>
  <si>
    <t>Bolacha doce diet</t>
  </si>
  <si>
    <t>Carne seca</t>
  </si>
  <si>
    <t>Carne de charque</t>
  </si>
  <si>
    <t>Jabá</t>
  </si>
  <si>
    <t>Carne de sol</t>
  </si>
  <si>
    <t>Carne do sertão</t>
  </si>
  <si>
    <t>Hambúrguer de carne bovina</t>
  </si>
  <si>
    <t>Copa de porco defumada</t>
  </si>
  <si>
    <t>Bacon</t>
  </si>
  <si>
    <t>Hambúrguer de frango</t>
  </si>
  <si>
    <t>Salsicha no varejo</t>
  </si>
  <si>
    <t>Linguíça (suína, bovina, mista etc.)</t>
  </si>
  <si>
    <t>Linguíça de frango</t>
  </si>
  <si>
    <t>Chouriço</t>
  </si>
  <si>
    <t>Morcela</t>
  </si>
  <si>
    <t>Morcilha</t>
  </si>
  <si>
    <t>Paio</t>
  </si>
  <si>
    <t>Mortadela</t>
  </si>
  <si>
    <t>Salame</t>
  </si>
  <si>
    <t>Salaminho</t>
  </si>
  <si>
    <t>Blanquet de peru</t>
  </si>
  <si>
    <t>Presunto</t>
  </si>
  <si>
    <t>Hambúrguer de peru</t>
  </si>
  <si>
    <t>Hambúrguer não especificado</t>
  </si>
  <si>
    <t>Apresuntado</t>
  </si>
  <si>
    <t>Pururuca de porco</t>
  </si>
  <si>
    <t>Pele de porco preparada (pururuca)</t>
  </si>
  <si>
    <t>Patê (fígado, calabresa, frango, presunto etc.)</t>
  </si>
  <si>
    <t>Carne de aves defumada</t>
  </si>
  <si>
    <t>Carne salgada não especificada</t>
  </si>
  <si>
    <t>Mini chicken empanado</t>
  </si>
  <si>
    <t>Mortadela light</t>
  </si>
  <si>
    <t>Salsicha no varejo light</t>
  </si>
  <si>
    <t>Salame light</t>
  </si>
  <si>
    <t>Blanquet de peru light</t>
  </si>
  <si>
    <t>Hambúrguer não especificado light</t>
  </si>
  <si>
    <t>Refrigerante de cola tradicional</t>
  </si>
  <si>
    <t>Coca cola tradicional</t>
  </si>
  <si>
    <t>Fanta laranja tradicional</t>
  </si>
  <si>
    <t>Sukita tradicional</t>
  </si>
  <si>
    <t>Refrigerante de guaraná tradicional</t>
  </si>
  <si>
    <t>Guaraná tradicional</t>
  </si>
  <si>
    <t>Sprit refrigerante tradicional</t>
  </si>
  <si>
    <t>Fanta uva tradicional</t>
  </si>
  <si>
    <t>Refrigerante de cola light</t>
  </si>
  <si>
    <t>Coca cola light</t>
  </si>
  <si>
    <t>Refrigerante de cola diet</t>
  </si>
  <si>
    <t>Minuano tradicional</t>
  </si>
  <si>
    <t>Mate tradicional</t>
  </si>
  <si>
    <t>Bidu tradicional</t>
  </si>
  <si>
    <t>Fanta laranja light</t>
  </si>
  <si>
    <t>Refrigerante de guaraná light</t>
  </si>
  <si>
    <t>Guaraná light</t>
  </si>
  <si>
    <t>Tubaina tradicional</t>
  </si>
  <si>
    <t>Tubaina light</t>
  </si>
  <si>
    <t>Caldo de cana</t>
  </si>
  <si>
    <t>Garapa</t>
  </si>
  <si>
    <t>Água de coco</t>
  </si>
  <si>
    <t>Q-suco</t>
  </si>
  <si>
    <t>Q-refresko</t>
  </si>
  <si>
    <t>Nescafé</t>
  </si>
  <si>
    <t>Erva mate</t>
  </si>
  <si>
    <t>Chimarrão</t>
  </si>
  <si>
    <t>Tererê</t>
  </si>
  <si>
    <t>Levedo de cerveja</t>
  </si>
  <si>
    <t>Refrigerante não especificado</t>
  </si>
  <si>
    <t>Cevada em pó</t>
  </si>
  <si>
    <t>Chocomilk</t>
  </si>
  <si>
    <t>Água tônica tradicional</t>
  </si>
  <si>
    <t>Cha diet (preto, camomila, erva cidreira etc.)</t>
  </si>
  <si>
    <t>Paraguai refrigerante tradicional</t>
  </si>
  <si>
    <t>Gatorade</t>
  </si>
  <si>
    <t>Bebida energética</t>
  </si>
  <si>
    <t>Chá (preto, camomila, erva cidreira etc.)</t>
  </si>
  <si>
    <t>Café solúvel capuccino</t>
  </si>
  <si>
    <t>Refrigerante de guaraná diet</t>
  </si>
  <si>
    <t>Guaraná diet</t>
  </si>
  <si>
    <t>Refrigerante de limão diet</t>
  </si>
  <si>
    <t>Fanta uva light</t>
  </si>
  <si>
    <t>Água</t>
  </si>
  <si>
    <t>Mate light</t>
  </si>
  <si>
    <t>Água tônica light</t>
  </si>
  <si>
    <t>Paraguai refrigerante light</t>
  </si>
  <si>
    <t>Q-suco light</t>
  </si>
  <si>
    <t>Q-refresko light</t>
  </si>
  <si>
    <t>Q-suco diet</t>
  </si>
  <si>
    <t>Café capuccino solúvel light</t>
  </si>
  <si>
    <t>Café capuccino solúvel diet</t>
  </si>
  <si>
    <t>Água tônica diet</t>
  </si>
  <si>
    <t>Refrigerante de quinino dietético</t>
  </si>
  <si>
    <t>Chá mate orgânico</t>
  </si>
  <si>
    <t>Chimarrão orgânico</t>
  </si>
  <si>
    <t>Suco de clorofila</t>
  </si>
  <si>
    <t>Cerveja (com ou sem álcool)</t>
  </si>
  <si>
    <t>Chopp</t>
  </si>
  <si>
    <t>Aguardente</t>
  </si>
  <si>
    <t>Cachaça</t>
  </si>
  <si>
    <t>Batida de qualquer sabor</t>
  </si>
  <si>
    <t>Rum</t>
  </si>
  <si>
    <t>Vodka</t>
  </si>
  <si>
    <t>Uisque</t>
  </si>
  <si>
    <t>Whisky</t>
  </si>
  <si>
    <t>Champanhe</t>
  </si>
  <si>
    <t>Sidra champanhe</t>
  </si>
  <si>
    <t>Martini</t>
  </si>
  <si>
    <t>Conhaque</t>
  </si>
  <si>
    <t>Drink dreher</t>
  </si>
  <si>
    <t>Licor de qualquer sabor</t>
  </si>
  <si>
    <t>Cajuína</t>
  </si>
  <si>
    <t>Vinho</t>
  </si>
  <si>
    <t>Catuaba</t>
  </si>
  <si>
    <t>Coquetel de frutas</t>
  </si>
  <si>
    <t>Bebida alcoólica</t>
  </si>
  <si>
    <t>Vinho orgânico</t>
  </si>
  <si>
    <t>Cerveja (com ou sem álcool) light</t>
  </si>
  <si>
    <t>Caxiri (aguardente de mandioca)</t>
  </si>
  <si>
    <t>Azeite de oliva</t>
  </si>
  <si>
    <t>Óleo de soja</t>
  </si>
  <si>
    <t>Banha suína</t>
  </si>
  <si>
    <t>Banha bovina</t>
  </si>
  <si>
    <t>Óleo não especificado</t>
  </si>
  <si>
    <t>Óleo de dendê</t>
  </si>
  <si>
    <t>Salgadinho</t>
  </si>
  <si>
    <t>Pastel (queijo, carne, palmito etc.)</t>
  </si>
  <si>
    <t>Croquete</t>
  </si>
  <si>
    <t>Empada (queijo, carne, camarão etc.)</t>
  </si>
  <si>
    <t>Risole (queijo, carne, camarão etc.)</t>
  </si>
  <si>
    <t>Quibe</t>
  </si>
  <si>
    <t>Paçoca de carne de sol</t>
  </si>
  <si>
    <t>Angu frito</t>
  </si>
  <si>
    <t>Polenta</t>
  </si>
  <si>
    <t>Esfirra</t>
  </si>
  <si>
    <t>Esfirra de carne</t>
  </si>
  <si>
    <t>Esfirra de queijo</t>
  </si>
  <si>
    <t>Esfirra de ricota</t>
  </si>
  <si>
    <t>Esfirra de frango</t>
  </si>
  <si>
    <t>Enroladinho</t>
  </si>
  <si>
    <t>Cachorro quente</t>
  </si>
  <si>
    <t>Hambúrguer (sanduíche)</t>
  </si>
  <si>
    <t>Cheesburguer</t>
  </si>
  <si>
    <t>Eggsburguer</t>
  </si>
  <si>
    <t>Bauru</t>
  </si>
  <si>
    <t>Americano</t>
  </si>
  <si>
    <t>Misto quente ou frio</t>
  </si>
  <si>
    <t>Sanduíche de queijo prato</t>
  </si>
  <si>
    <t>Sanduíche de salame</t>
  </si>
  <si>
    <t>Sanduíche de presunto</t>
  </si>
  <si>
    <t>Sanduíche de queijo prato com presunto</t>
  </si>
  <si>
    <t>Sanduíche de mortadela</t>
  </si>
  <si>
    <t>Sanduíche de queijo minas</t>
  </si>
  <si>
    <t>Cheese egg</t>
  </si>
  <si>
    <t>Cheese tudo</t>
  </si>
  <si>
    <t>Sanduíche natural</t>
  </si>
  <si>
    <t>Suco</t>
  </si>
  <si>
    <t>Suco de abacaxi</t>
  </si>
  <si>
    <t>Suco de acerola</t>
  </si>
  <si>
    <t>Suco de beterraba</t>
  </si>
  <si>
    <t>Suco de cupuaçu</t>
  </si>
  <si>
    <t>Suco de goiaba</t>
  </si>
  <si>
    <t>Suco de laranja</t>
  </si>
  <si>
    <t>Suco de laranja com banana</t>
  </si>
  <si>
    <t>Suco de laranja e beterraba</t>
  </si>
  <si>
    <t>Suco de laranja e cenoura</t>
  </si>
  <si>
    <t>Suco de laranja cenoura e beterraba</t>
  </si>
  <si>
    <t>Suco de mamão</t>
  </si>
  <si>
    <t>Suco de manga</t>
  </si>
  <si>
    <t>Suco de maracujá</t>
  </si>
  <si>
    <t>Suco de melão</t>
  </si>
  <si>
    <t>Suco de morango</t>
  </si>
  <si>
    <t>Suco de pêssego</t>
  </si>
  <si>
    <t>Suco de pêssego em calda</t>
  </si>
  <si>
    <t>Refresco</t>
  </si>
  <si>
    <t>Refresco de caju</t>
  </si>
  <si>
    <t>Refresco de groselha</t>
  </si>
  <si>
    <t>Refresco de laranja</t>
  </si>
  <si>
    <t>Refresco de maracujá</t>
  </si>
  <si>
    <t>Refresco de limão</t>
  </si>
  <si>
    <t>Salada ou verdura cozida, exceto de fruta</t>
  </si>
  <si>
    <t>Pizza</t>
  </si>
  <si>
    <t>Caneloni</t>
  </si>
  <si>
    <t>Ravioli</t>
  </si>
  <si>
    <t>Calzone</t>
  </si>
  <si>
    <t>Pizza calabreza</t>
  </si>
  <si>
    <t>Pizza muçarela</t>
  </si>
  <si>
    <t>Pizza presunto</t>
  </si>
  <si>
    <t>Pizza portuguesa</t>
  </si>
  <si>
    <t>Galeto</t>
  </si>
  <si>
    <t>Pipoca doce ou salgada</t>
  </si>
  <si>
    <t>Café</t>
  </si>
  <si>
    <t>Café com leite</t>
  </si>
  <si>
    <t>Café tipo capuccino</t>
  </si>
  <si>
    <t>Milho cozido</t>
  </si>
  <si>
    <t>Batata palito</t>
  </si>
  <si>
    <t>Mungunzá</t>
  </si>
  <si>
    <t>Canjica</t>
  </si>
  <si>
    <t>Tacacá</t>
  </si>
  <si>
    <t>Farofa pronta</t>
  </si>
  <si>
    <t>Caldo de carne</t>
  </si>
  <si>
    <t>Churrasco</t>
  </si>
  <si>
    <t>Sushi</t>
  </si>
  <si>
    <t>Salada de frutas</t>
  </si>
  <si>
    <t>Sopa (legumes, carne etc.)</t>
  </si>
  <si>
    <t>Empadão (queijo, frango, camarão, palmito etc.)</t>
  </si>
  <si>
    <t>Quiche</t>
  </si>
  <si>
    <t>Chocolate</t>
  </si>
  <si>
    <t>Gemada</t>
  </si>
  <si>
    <t>Suco orgânico</t>
  </si>
  <si>
    <t>Suco de abacaxi orgânico</t>
  </si>
  <si>
    <t>Suco de acerola orgânico</t>
  </si>
  <si>
    <t>Suco de goiaba orgânico</t>
  </si>
  <si>
    <t>Suco de laranja orgânico</t>
  </si>
  <si>
    <t>Suco de laranja cenoura e beterraba orgânico</t>
  </si>
  <si>
    <t>Suco de maracujá orgânico</t>
  </si>
  <si>
    <t>Suco de morango orgânico</t>
  </si>
  <si>
    <t>Suco de pêssego orgânico</t>
  </si>
  <si>
    <t>Suco de pêssego em calda orgânico</t>
  </si>
  <si>
    <t>Pizza pronta light</t>
  </si>
  <si>
    <t>Lasanha pronta light</t>
  </si>
  <si>
    <t>Macarrão pronto light</t>
  </si>
  <si>
    <t>Pizza portuguesa light</t>
  </si>
  <si>
    <t>Farofa pronta light em pacote</t>
  </si>
  <si>
    <t>Filé de peixe</t>
  </si>
  <si>
    <t>Palma</t>
  </si>
  <si>
    <t>Pesquisa de Orçamentos Familiares 2017-2018</t>
  </si>
  <si>
    <t>Relação dos códigos de aquisição associados aos grupos da classificação NOVA</t>
  </si>
  <si>
    <t>Notas :</t>
  </si>
  <si>
    <t>Classificação NOVA - consultar a publicação POF 2017-2018 : Avaliação nutricional da disponibilidade domiciliar de alimentos no Brasil</t>
  </si>
  <si>
    <t>Código POF 2017-2018 - códigos dos produtos referentes à caderneta de aquisição coletiva, conforme o cadastro de produtos dos microdados. Produto de referência a ser associado a um produto da TBCA.</t>
  </si>
  <si>
    <t>Alimentos e grupos de alimentos - Organização dos alimentos da tabela de aquisição alimentar domiciliar per capita na classificação NOVA</t>
  </si>
  <si>
    <t>Código TBCA : Código da Tabela Brasileira de Composição de Alimentos, para as informações de composição nutricional dos alimentos tomados como referência para o código POF 2017-2018.</t>
  </si>
  <si>
    <t>Fator de Correção : Fatores de correção para a parte comestível, segundo cada produto.</t>
  </si>
  <si>
    <t>edible/total</t>
  </si>
  <si>
    <t>Código POF 2017-2018</t>
  </si>
  <si>
    <t>Alimentos e grupos de alimentos</t>
  </si>
  <si>
    <t>Código TBCA</t>
  </si>
  <si>
    <t>Fator de Correção</t>
  </si>
  <si>
    <t>Alimentos in natura ou minimamente processados</t>
  </si>
  <si>
    <t>Arroz</t>
  </si>
  <si>
    <t>Arroz polido</t>
  </si>
  <si>
    <t>C0001A</t>
  </si>
  <si>
    <t>1,00</t>
  </si>
  <si>
    <t>Arroz não especificado</t>
  </si>
  <si>
    <t>Leite</t>
  </si>
  <si>
    <t>Leite de vaca pasteurizado</t>
  </si>
  <si>
    <t>C0044G</t>
  </si>
  <si>
    <t>C0043G</t>
  </si>
  <si>
    <t>Outros Leite e creme de leite</t>
  </si>
  <si>
    <t>Leite em pó não especificado</t>
  </si>
  <si>
    <t>C0039G</t>
  </si>
  <si>
    <t>Leite em pó desengordurado</t>
  </si>
  <si>
    <t>C0038G</t>
  </si>
  <si>
    <t>Outros - Outros laticínios</t>
  </si>
  <si>
    <t>Carne de aves</t>
  </si>
  <si>
    <t>Peru em cortes</t>
  </si>
  <si>
    <t>C0198F</t>
  </si>
  <si>
    <t>Dorso de frango</t>
  </si>
  <si>
    <t>C0118F</t>
  </si>
  <si>
    <t>Outras carnes de frango</t>
  </si>
  <si>
    <t>C0129F</t>
  </si>
  <si>
    <t>Peito de frango</t>
  </si>
  <si>
    <t>C0133F</t>
  </si>
  <si>
    <t>Pato inteiro ou em cortes</t>
  </si>
  <si>
    <t>C0841F</t>
  </si>
  <si>
    <t>Frango assado ou defumado</t>
  </si>
  <si>
    <t>C0714F</t>
  </si>
  <si>
    <t>Outras - Aves</t>
  </si>
  <si>
    <t>Asa de frango</t>
  </si>
  <si>
    <t>C0740F</t>
  </si>
  <si>
    <t>Peru abatido</t>
  </si>
  <si>
    <t>Frango vivo</t>
  </si>
  <si>
    <t>Carne de frango não especificada</t>
  </si>
  <si>
    <t>Frango abatido (inteiro)</t>
  </si>
  <si>
    <t>Coxa de frango</t>
  </si>
  <si>
    <t>C0121F</t>
  </si>
  <si>
    <t>Feijão</t>
  </si>
  <si>
    <t>Feijão-roxo</t>
  </si>
  <si>
    <t>C0015T</t>
  </si>
  <si>
    <t>Feijão-mulatinho</t>
  </si>
  <si>
    <t>C0002T</t>
  </si>
  <si>
    <t>Feijão-preto</t>
  </si>
  <si>
    <t>C0009T</t>
  </si>
  <si>
    <t>Feijão-fradinho</t>
  </si>
  <si>
    <t>C0004T</t>
  </si>
  <si>
    <t>Feijão-rajado</t>
  </si>
  <si>
    <t>C0011T</t>
  </si>
  <si>
    <t>Outros feijões</t>
  </si>
  <si>
    <t>Feijão-manteiga</t>
  </si>
  <si>
    <t>C0027T</t>
  </si>
  <si>
    <t>Feijão-jalo</t>
  </si>
  <si>
    <t>C0007T</t>
  </si>
  <si>
    <t>Outras leguminosas</t>
  </si>
  <si>
    <t>Outras - Leguminosas</t>
  </si>
  <si>
    <t>C0055F</t>
  </si>
  <si>
    <t>Acém</t>
  </si>
  <si>
    <t>C0053F</t>
  </si>
  <si>
    <t>C0615F</t>
  </si>
  <si>
    <t>Pá</t>
  </si>
  <si>
    <t>C0073F</t>
  </si>
  <si>
    <t>C0054F</t>
  </si>
  <si>
    <t>Carne não especificada</t>
  </si>
  <si>
    <t>C0062F</t>
  </si>
  <si>
    <t>Filé-mignon</t>
  </si>
  <si>
    <t>C0821F</t>
  </si>
  <si>
    <t>Lagarto comum</t>
  </si>
  <si>
    <t>C0068F</t>
  </si>
  <si>
    <t>Capa de filé</t>
  </si>
  <si>
    <t>C0058F</t>
  </si>
  <si>
    <t>Outras - Carnes bovinas de segunda</t>
  </si>
  <si>
    <t>C0075F</t>
  </si>
  <si>
    <t>Carne moída não especificada</t>
  </si>
  <si>
    <t>Lagarto redondo</t>
  </si>
  <si>
    <t>Carne-assada</t>
  </si>
  <si>
    <t>C0638F</t>
  </si>
  <si>
    <t>Mocotó</t>
  </si>
  <si>
    <t>C0847F</t>
  </si>
  <si>
    <t>Chã de dentro</t>
  </si>
  <si>
    <t>C0370F</t>
  </si>
  <si>
    <t>Músculo</t>
  </si>
  <si>
    <t>C0072F</t>
  </si>
  <si>
    <t>Costela</t>
  </si>
  <si>
    <t>Peito</t>
  </si>
  <si>
    <t>C0076F</t>
  </si>
  <si>
    <t>Outras - Carnes bovinas outras</t>
  </si>
  <si>
    <t>Frutas</t>
  </si>
  <si>
    <t>Banana-maçã</t>
  </si>
  <si>
    <t>C0009C</t>
  </si>
  <si>
    <t>C0005C</t>
  </si>
  <si>
    <t>C0026C</t>
  </si>
  <si>
    <t>Coco-da-baía</t>
  </si>
  <si>
    <t>C0013C</t>
  </si>
  <si>
    <t>Outras bananas</t>
  </si>
  <si>
    <t>C0011C</t>
  </si>
  <si>
    <t>Laranja-baía</t>
  </si>
  <si>
    <t>C0018C</t>
  </si>
  <si>
    <t>Maçã</t>
  </si>
  <si>
    <t>C0023C</t>
  </si>
  <si>
    <t>Limão comum</t>
  </si>
  <si>
    <t>C0062C</t>
  </si>
  <si>
    <t>C0031C</t>
  </si>
  <si>
    <t>C0028C</t>
  </si>
  <si>
    <t>C0027C</t>
  </si>
  <si>
    <t>C0004C</t>
  </si>
  <si>
    <t>C0002C</t>
  </si>
  <si>
    <t>Banana-d'água</t>
  </si>
  <si>
    <t>C0007C</t>
  </si>
  <si>
    <t>Outras - Frutas de clima temperado</t>
  </si>
  <si>
    <t>Banana-da-terra</t>
  </si>
  <si>
    <t>C0008C</t>
  </si>
  <si>
    <t>C0001C</t>
  </si>
  <si>
    <t>Banana-ouro</t>
  </si>
  <si>
    <t>C0010C</t>
  </si>
  <si>
    <t>Laranja-pera</t>
  </si>
  <si>
    <t>C0020C</t>
  </si>
  <si>
    <t>Outros Cocos</t>
  </si>
  <si>
    <t>C0025C</t>
  </si>
  <si>
    <t>C0014C</t>
  </si>
  <si>
    <t>C0029C</t>
  </si>
  <si>
    <t>Polpa de fruta</t>
  </si>
  <si>
    <t>C0054C</t>
  </si>
  <si>
    <t>Laranja-lima</t>
  </si>
  <si>
    <t>C0019C</t>
  </si>
  <si>
    <t>Laranja-seleta</t>
  </si>
  <si>
    <t>C0021C</t>
  </si>
  <si>
    <t>Banana-prata</t>
  </si>
  <si>
    <t>Outras laranjas</t>
  </si>
  <si>
    <t>C0033C</t>
  </si>
  <si>
    <t>Açaí (emulsão)</t>
  </si>
  <si>
    <t>C0003C</t>
  </si>
  <si>
    <t>C0030C</t>
  </si>
  <si>
    <t>Outras - Frutas de clima tropical</t>
  </si>
  <si>
    <t>C0024C</t>
  </si>
  <si>
    <t>C0012C</t>
  </si>
  <si>
    <t>C0032C</t>
  </si>
  <si>
    <t>Macarrão não especificado</t>
  </si>
  <si>
    <t>C0117A</t>
  </si>
  <si>
    <t>Macarrão com ovos</t>
  </si>
  <si>
    <t>C0119A</t>
  </si>
  <si>
    <t>Macarrão sem ovos</t>
  </si>
  <si>
    <t>C0118A</t>
  </si>
  <si>
    <t>Outras - Massas</t>
  </si>
  <si>
    <t>Farinha de milho, fubá e outras</t>
  </si>
  <si>
    <t>Flocos de milho</t>
  </si>
  <si>
    <t>C0408A</t>
  </si>
  <si>
    <t>Flocos de outros cereais</t>
  </si>
  <si>
    <t>C0125A</t>
  </si>
  <si>
    <t>Outras - Farinhas</t>
  </si>
  <si>
    <t>C0792A</t>
  </si>
  <si>
    <t>C0087B</t>
  </si>
  <si>
    <t>Farinha vitaminada</t>
  </si>
  <si>
    <t>C0139A</t>
  </si>
  <si>
    <t>Raízes e tubérculos</t>
  </si>
  <si>
    <t>Batata não especificada</t>
  </si>
  <si>
    <t>C0013B</t>
  </si>
  <si>
    <t>Batata-doce</t>
  </si>
  <si>
    <t>C0012B</t>
  </si>
  <si>
    <t>C0025B</t>
  </si>
  <si>
    <t>Batata-baroa</t>
  </si>
  <si>
    <t>C0028B</t>
  </si>
  <si>
    <t>Batata-aipo</t>
  </si>
  <si>
    <t>C0017B</t>
  </si>
  <si>
    <t>Outras - Hortaliças tuberosas e outras</t>
  </si>
  <si>
    <t>C0027B</t>
  </si>
  <si>
    <t>Ovos</t>
  </si>
  <si>
    <t>C0011J</t>
  </si>
  <si>
    <t>Outros - Ovos</t>
  </si>
  <si>
    <t>Verduras e Legumes</t>
  </si>
  <si>
    <t>C0033B</t>
  </si>
  <si>
    <t>C0007B</t>
  </si>
  <si>
    <t>C0023B</t>
  </si>
  <si>
    <t>Cheiro-verde</t>
  </si>
  <si>
    <t>C0021B</t>
  </si>
  <si>
    <t>C0008B</t>
  </si>
  <si>
    <t>Outras - Hortaliças folhosas e florais</t>
  </si>
  <si>
    <t>C0035B</t>
  </si>
  <si>
    <t>C0009B</t>
  </si>
  <si>
    <t>C0024B</t>
  </si>
  <si>
    <t>C0031B</t>
  </si>
  <si>
    <t>Pepino fresco</t>
  </si>
  <si>
    <t>C0030B</t>
  </si>
  <si>
    <t>Couve-brócolis</t>
  </si>
  <si>
    <t>C0016B</t>
  </si>
  <si>
    <t>C0015B</t>
  </si>
  <si>
    <t>C0014B</t>
  </si>
  <si>
    <t>C0778B</t>
  </si>
  <si>
    <t>C0020B</t>
  </si>
  <si>
    <t>C0032B</t>
  </si>
  <si>
    <t>C0001B</t>
  </si>
  <si>
    <t>C0026B</t>
  </si>
  <si>
    <t>C0101T</t>
  </si>
  <si>
    <t>C0018B</t>
  </si>
  <si>
    <t>C0010B</t>
  </si>
  <si>
    <t>C0006B</t>
  </si>
  <si>
    <t>C0022B</t>
  </si>
  <si>
    <t>C0029B</t>
  </si>
  <si>
    <t>Outras - Hortaliças frutosas</t>
  </si>
  <si>
    <t>Carré</t>
  </si>
  <si>
    <t>C0158F</t>
  </si>
  <si>
    <t>Outras - Carnes suínas com osso e sem osso</t>
  </si>
  <si>
    <t>C0168F</t>
  </si>
  <si>
    <t>Lombo</t>
  </si>
  <si>
    <t>C0164F</t>
  </si>
  <si>
    <t>Porco eviscerado</t>
  </si>
  <si>
    <t>C0154F</t>
  </si>
  <si>
    <t>Peixes</t>
  </si>
  <si>
    <t>Peixe fresco</t>
  </si>
  <si>
    <t>C0213E</t>
  </si>
  <si>
    <t>Tilápia fresca</t>
  </si>
  <si>
    <t>C0031E</t>
  </si>
  <si>
    <t>Tainha fresca</t>
  </si>
  <si>
    <t>C0080E</t>
  </si>
  <si>
    <t>Cação fresco</t>
  </si>
  <si>
    <t>C0047E</t>
  </si>
  <si>
    <t>Pescadinha fresca</t>
  </si>
  <si>
    <t>C0058E</t>
  </si>
  <si>
    <t>Bagre fresco</t>
  </si>
  <si>
    <t>Corvina fresca</t>
  </si>
  <si>
    <t>C0049E</t>
  </si>
  <si>
    <t>Outros - pescados em filé congelado Pescados de água doce</t>
  </si>
  <si>
    <t>Outros - pescados em filé fresco Pescados de água doce</t>
  </si>
  <si>
    <t>Pescada em filé fresco</t>
  </si>
  <si>
    <t>C0055E</t>
  </si>
  <si>
    <t>Piau fresco</t>
  </si>
  <si>
    <t>C0087E</t>
  </si>
  <si>
    <t>Acari fresco</t>
  </si>
  <si>
    <t>Surubim fresco</t>
  </si>
  <si>
    <t>C0029E</t>
  </si>
  <si>
    <t>Lambari fresco</t>
  </si>
  <si>
    <t>C0027E</t>
  </si>
  <si>
    <t>Tambaqui fresco</t>
  </si>
  <si>
    <t>Pescada em filé congelado</t>
  </si>
  <si>
    <t>Jaraqui fresco</t>
  </si>
  <si>
    <t>Dourada fresca</t>
  </si>
  <si>
    <t>C0024E</t>
  </si>
  <si>
    <t>Acará fresca</t>
  </si>
  <si>
    <t>Mapará fresco</t>
  </si>
  <si>
    <t>Anujá fresco</t>
  </si>
  <si>
    <t>Curimatã fresco</t>
  </si>
  <si>
    <t>C0021E</t>
  </si>
  <si>
    <t>Sardinha fresca</t>
  </si>
  <si>
    <t>C0070E</t>
  </si>
  <si>
    <t>Outros - pescados frescos Pescados de água doce</t>
  </si>
  <si>
    <t>Traíra fresca</t>
  </si>
  <si>
    <t>Outros - pescados em filé congelado Pescados de água salgada</t>
  </si>
  <si>
    <t>Merluza em filé fresco</t>
  </si>
  <si>
    <t>C0063E</t>
  </si>
  <si>
    <t>Merluza em filé congelado</t>
  </si>
  <si>
    <t>Peixe em filé congelado</t>
  </si>
  <si>
    <t>Outros - pescados em filé fresco Pescados de água salgada</t>
  </si>
  <si>
    <t>Tucunaré fresco</t>
  </si>
  <si>
    <t>C0033E</t>
  </si>
  <si>
    <t>Parati fresco</t>
  </si>
  <si>
    <t>Peixe em filé fresco</t>
  </si>
  <si>
    <t>Anchova fresca</t>
  </si>
  <si>
    <t>C0041E</t>
  </si>
  <si>
    <t>Pescada fresca</t>
  </si>
  <si>
    <t>Outros - pescados frescos Pescados de água salgada</t>
  </si>
  <si>
    <t>Milho, aveia e outros cereais</t>
  </si>
  <si>
    <t>Milho em grão</t>
  </si>
  <si>
    <t>C0006A</t>
  </si>
  <si>
    <t>Flocos de aveia</t>
  </si>
  <si>
    <t>C0207A</t>
  </si>
  <si>
    <t>Milho verde em espiga</t>
  </si>
  <si>
    <t>Outros - Cereais</t>
  </si>
  <si>
    <t>Vísceras</t>
  </si>
  <si>
    <t>Miúdos de frango</t>
  </si>
  <si>
    <t>C0119F</t>
  </si>
  <si>
    <t>Vísceras suínas</t>
  </si>
  <si>
    <t>Bucho</t>
  </si>
  <si>
    <t>C0056F</t>
  </si>
  <si>
    <t>Fígado</t>
  </si>
  <si>
    <t>C0052F</t>
  </si>
  <si>
    <t>Língua</t>
  </si>
  <si>
    <t>Outras - Vísceras bovinas</t>
  </si>
  <si>
    <t>Outras vísceras</t>
  </si>
  <si>
    <t>Outros</t>
  </si>
  <si>
    <t>Café solúvel</t>
  </si>
  <si>
    <t>C0062H</t>
  </si>
  <si>
    <t>Café moído</t>
  </si>
  <si>
    <t>Outros - Cafés</t>
  </si>
  <si>
    <t>Chá</t>
  </si>
  <si>
    <t>Chá-mate</t>
  </si>
  <si>
    <t>C0011H</t>
  </si>
  <si>
    <t>Outros - Chás</t>
  </si>
  <si>
    <t>Refeições</t>
  </si>
  <si>
    <t>Refeição</t>
  </si>
  <si>
    <t>C0850A</t>
  </si>
  <si>
    <t>Carnes de outros animais</t>
  </si>
  <si>
    <t>C0089F</t>
  </si>
  <si>
    <t>Outras - Carnes de outros animais</t>
  </si>
  <si>
    <t>Frutos do mar</t>
  </si>
  <si>
    <t>Camarão fresco</t>
  </si>
  <si>
    <t>C0002E</t>
  </si>
  <si>
    <t>Nozes e sementes</t>
  </si>
  <si>
    <t>Castanhas e nozes</t>
  </si>
  <si>
    <t>C0012U</t>
  </si>
  <si>
    <t>Ingredientes culinários processados</t>
  </si>
  <si>
    <t>Óleo vegetal</t>
  </si>
  <si>
    <t>Óleo de canola</t>
  </si>
  <si>
    <t>C0024D</t>
  </si>
  <si>
    <t>Outros - Óleos</t>
  </si>
  <si>
    <t>C0030D</t>
  </si>
  <si>
    <t>Óleo de girassol</t>
  </si>
  <si>
    <t>C0027D</t>
  </si>
  <si>
    <t>Óleo de milho</t>
  </si>
  <si>
    <t>C0028D</t>
  </si>
  <si>
    <t>C0002D</t>
  </si>
  <si>
    <t>Açúcar refinado</t>
  </si>
  <si>
    <t>C0007K</t>
  </si>
  <si>
    <t>Açúcar demerara</t>
  </si>
  <si>
    <t>C0006K</t>
  </si>
  <si>
    <t>Açúcar cristal</t>
  </si>
  <si>
    <t>C0005K</t>
  </si>
  <si>
    <t>Outros - Açúcares</t>
  </si>
  <si>
    <t>Açúcar não especificado</t>
  </si>
  <si>
    <t>C0004K</t>
  </si>
  <si>
    <t>Gordura animal</t>
  </si>
  <si>
    <t>Banha de porco</t>
  </si>
  <si>
    <t>C0035D</t>
  </si>
  <si>
    <t>C0004D</t>
  </si>
  <si>
    <t>Outras - Gorduras</t>
  </si>
  <si>
    <t>Féculas</t>
  </si>
  <si>
    <t>Outras - Féculas</t>
  </si>
  <si>
    <t>C0097B</t>
  </si>
  <si>
    <t>Fécula de mandioca</t>
  </si>
  <si>
    <t>C0124A</t>
  </si>
  <si>
    <t>Outros açúcares (rapadura, mel de abelha)</t>
  </si>
  <si>
    <t>C0031K</t>
  </si>
  <si>
    <t>Mel de abelha</t>
  </si>
  <si>
    <t>C0028K</t>
  </si>
  <si>
    <t>Vinagre, fermento</t>
  </si>
  <si>
    <t>Vinagre não especificado</t>
  </si>
  <si>
    <t>C0021L</t>
  </si>
  <si>
    <t>Fermento</t>
  </si>
  <si>
    <t>C0006L</t>
  </si>
  <si>
    <t>Vinagre de vinho</t>
  </si>
  <si>
    <t>Vinagre de álcool</t>
  </si>
  <si>
    <t>Sal</t>
  </si>
  <si>
    <t>Sal grosso</t>
  </si>
  <si>
    <t>C0018L</t>
  </si>
  <si>
    <t>Sal refinado</t>
  </si>
  <si>
    <t>C0020L</t>
  </si>
  <si>
    <t>Outros - Sais</t>
  </si>
  <si>
    <t>Alimentos processados</t>
  </si>
  <si>
    <t>Pães</t>
  </si>
  <si>
    <t>Pão francês</t>
  </si>
  <si>
    <t>C0002A</t>
  </si>
  <si>
    <t>C0107A</t>
  </si>
  <si>
    <t>C0160A</t>
  </si>
  <si>
    <t>Queijos</t>
  </si>
  <si>
    <t>Queijo parmezão</t>
  </si>
  <si>
    <t>C0060G</t>
  </si>
  <si>
    <t>Queijo mozzarella</t>
  </si>
  <si>
    <t>C0059G</t>
  </si>
  <si>
    <t>C0062G</t>
  </si>
  <si>
    <t>Queijo minas</t>
  </si>
  <si>
    <t>C0056G</t>
  </si>
  <si>
    <t>Outros queijos</t>
  </si>
  <si>
    <t>C0064G</t>
  </si>
  <si>
    <t>Carnes salgadas/secas/defumadas</t>
  </si>
  <si>
    <t>Toucinho defumado</t>
  </si>
  <si>
    <t>C0169F</t>
  </si>
  <si>
    <t>C0156F</t>
  </si>
  <si>
    <t>Outras - Carnes suínas outras</t>
  </si>
  <si>
    <t>C0081F</t>
  </si>
  <si>
    <t>Toucinho fresco</t>
  </si>
  <si>
    <t>Carne-seca</t>
  </si>
  <si>
    <t>Costela de porco salgada</t>
  </si>
  <si>
    <t>Pé de porco salgado</t>
  </si>
  <si>
    <t>Bebidas alcoólicas fermentadas</t>
  </si>
  <si>
    <t>C0034H</t>
  </si>
  <si>
    <t>Cerveja</t>
  </si>
  <si>
    <t>C0009H</t>
  </si>
  <si>
    <t>Frutas em calda/cristalizadas</t>
  </si>
  <si>
    <t>Doce de fruta em pasta</t>
  </si>
  <si>
    <t>C0096C</t>
  </si>
  <si>
    <t>Doce de fruta em calda</t>
  </si>
  <si>
    <t>C0100C</t>
  </si>
  <si>
    <t>Doce de fruta cristalizado</t>
  </si>
  <si>
    <t>C0097C</t>
  </si>
  <si>
    <t>Peixes salgados/secos/em conserva</t>
  </si>
  <si>
    <t>C0073E</t>
  </si>
  <si>
    <t>C0043E</t>
  </si>
  <si>
    <t>Outros pescados salgados - Pescados de água salgada</t>
  </si>
  <si>
    <t>Outros pescados salgados - Pescados de água doce</t>
  </si>
  <si>
    <t>Peixe salgado</t>
  </si>
  <si>
    <t>Conservas de vegetais</t>
  </si>
  <si>
    <t>C0099B</t>
  </si>
  <si>
    <t>Azeitona em conserva</t>
  </si>
  <si>
    <t>C0121B</t>
  </si>
  <si>
    <t>C0007A</t>
  </si>
  <si>
    <t>Alimentos ultraprocessados</t>
  </si>
  <si>
    <t>Frios e embutidos</t>
  </si>
  <si>
    <t>Salsicha comum</t>
  </si>
  <si>
    <t>C0213F</t>
  </si>
  <si>
    <t>C0193F</t>
  </si>
  <si>
    <t>C0208F</t>
  </si>
  <si>
    <t>Linguiça</t>
  </si>
  <si>
    <t>C0181F</t>
  </si>
  <si>
    <t>C0199F</t>
  </si>
  <si>
    <t>Biscoitos doces</t>
  </si>
  <si>
    <t>C0027A</t>
  </si>
  <si>
    <t>Outros - Biscoitos, roscas, etc.</t>
  </si>
  <si>
    <t>Biscoitos salgados</t>
  </si>
  <si>
    <t>C0055A</t>
  </si>
  <si>
    <t>Margarina</t>
  </si>
  <si>
    <t>Margarina vegetal</t>
  </si>
  <si>
    <t>C0008D</t>
  </si>
  <si>
    <t>Bolos, tortas e pães doces</t>
  </si>
  <si>
    <t>C0193A</t>
  </si>
  <si>
    <t>Rosca não especificada</t>
  </si>
  <si>
    <t>Bolos</t>
  </si>
  <si>
    <t>C0069A</t>
  </si>
  <si>
    <t>Outros - Pães</t>
  </si>
  <si>
    <t>C0003A</t>
  </si>
  <si>
    <t>Torrada</t>
  </si>
  <si>
    <t>C0172A</t>
  </si>
  <si>
    <t>Pão de forma industrializado</t>
  </si>
  <si>
    <t>C0094B</t>
  </si>
  <si>
    <t>C0146A</t>
  </si>
  <si>
    <t>C0155A</t>
  </si>
  <si>
    <t>Pão de forma de padaria</t>
  </si>
  <si>
    <t>C0465A</t>
  </si>
  <si>
    <t>Doces</t>
  </si>
  <si>
    <t>Outros doces industrializados</t>
  </si>
  <si>
    <t>Outros - Doces e produtos de confeitaria</t>
  </si>
  <si>
    <t>C0015R</t>
  </si>
  <si>
    <t>Outros - Outros açúcares, doces e produtos de confeitaria</t>
  </si>
  <si>
    <t>Gelatina</t>
  </si>
  <si>
    <t>Outros doces (doce de leite, leite condensado)</t>
  </si>
  <si>
    <t>C0014K</t>
  </si>
  <si>
    <t>C0030G</t>
  </si>
  <si>
    <t>Bebidas adoçadas carbonatadas</t>
  </si>
  <si>
    <t>C0030H</t>
  </si>
  <si>
    <t>Refrigerante de uva</t>
  </si>
  <si>
    <t>C0028H</t>
  </si>
  <si>
    <t>Refrigerante de guaraná</t>
  </si>
  <si>
    <t>C0031H</t>
  </si>
  <si>
    <t>Refrigerante de limão</t>
  </si>
  <si>
    <t>C0033H</t>
  </si>
  <si>
    <t>Refrigerante de maçã</t>
  </si>
  <si>
    <t>Refrigerante de laranja</t>
  </si>
  <si>
    <t>C0032H</t>
  </si>
  <si>
    <t>Refrigerante de cola</t>
  </si>
  <si>
    <t>Outros refrigerantes</t>
  </si>
  <si>
    <t>Bombom</t>
  </si>
  <si>
    <t>C0093K</t>
  </si>
  <si>
    <t>Chocolate em tablete</t>
  </si>
  <si>
    <t>C0046K</t>
  </si>
  <si>
    <t>Chocolate em pó</t>
  </si>
  <si>
    <t>C0094K</t>
  </si>
  <si>
    <t>Massas de pizza, de lasanha ou de pastel</t>
  </si>
  <si>
    <t>Massa</t>
  </si>
  <si>
    <t>C0192A</t>
  </si>
  <si>
    <t>Massa de lasanha</t>
  </si>
  <si>
    <t>C0121A</t>
  </si>
  <si>
    <t>Massa de pastel</t>
  </si>
  <si>
    <t>Refeições prontas</t>
  </si>
  <si>
    <t>C0080F</t>
  </si>
  <si>
    <t>Alimento congelado</t>
  </si>
  <si>
    <t>C0111A</t>
  </si>
  <si>
    <t>Batata frita</t>
  </si>
  <si>
    <t>C0118B</t>
  </si>
  <si>
    <t>Sanduíche</t>
  </si>
  <si>
    <t>C0267A</t>
  </si>
  <si>
    <t>Outros - Alimentos preparados</t>
  </si>
  <si>
    <t>Bebidas adoçadas não carbonatadas</t>
  </si>
  <si>
    <t>Suco de fruta em pó</t>
  </si>
  <si>
    <t>C0092R</t>
  </si>
  <si>
    <t>Suco de fruta envasado</t>
  </si>
  <si>
    <t>C0102C</t>
  </si>
  <si>
    <t>C0143H</t>
  </si>
  <si>
    <t>Outras - Bebidas não alcoólicas</t>
  </si>
  <si>
    <t>Bebidas lácteas</t>
  </si>
  <si>
    <t>Iogurte</t>
  </si>
  <si>
    <t>C0011G</t>
  </si>
  <si>
    <t>C0031G</t>
  </si>
  <si>
    <t>Sorvetes</t>
  </si>
  <si>
    <t>Sorvete</t>
  </si>
  <si>
    <t>C0141K</t>
  </si>
  <si>
    <t>Molhos prontos</t>
  </si>
  <si>
    <t>C0100B</t>
  </si>
  <si>
    <t>Maionese</t>
  </si>
  <si>
    <t>C0031D</t>
  </si>
  <si>
    <t>Bebidas alcoólicas destiladas</t>
  </si>
  <si>
    <t>Outras - Bebidas alcoólicas</t>
  </si>
  <si>
    <t>C0006H</t>
  </si>
  <si>
    <t>Outras aguardentes</t>
  </si>
  <si>
    <t>Aguardente de cana</t>
  </si>
  <si>
    <t>Hambúrguer e nuggets</t>
  </si>
  <si>
    <t>Frango empanado</t>
  </si>
  <si>
    <t>C0103F</t>
  </si>
  <si>
    <t>Carne de hambúrguer</t>
  </si>
  <si>
    <t>C0174F</t>
  </si>
  <si>
    <t>Tempero pronto</t>
  </si>
  <si>
    <t>Outros - Condimentos</t>
  </si>
  <si>
    <t>Tempero misto</t>
  </si>
  <si>
    <t>C0019L</t>
  </si>
  <si>
    <t>Caldo de carne em tablete</t>
  </si>
  <si>
    <t>C0047L</t>
  </si>
  <si>
    <t>Caldo de galinha em tablete</t>
  </si>
  <si>
    <t>C0002L</t>
  </si>
  <si>
    <t>Outros caldos em tablete</t>
  </si>
  <si>
    <t>Outros (creme de leite, leite de coco)</t>
  </si>
  <si>
    <t>C0161C</t>
  </si>
  <si>
    <t>C0010G</t>
  </si>
  <si>
    <t>Mistura para bolo, outros produtos, outras misturas industriais</t>
  </si>
  <si>
    <t>Mistura para bolo</t>
  </si>
  <si>
    <t>C0001R</t>
  </si>
  <si>
    <t>Outros produtos</t>
  </si>
  <si>
    <t>Outras - Misturas industriais</t>
  </si>
  <si>
    <t>C0066G</t>
  </si>
  <si>
    <t>Brand</t>
  </si>
  <si>
    <t>Model</t>
  </si>
  <si>
    <t>Energy (W)</t>
  </si>
  <si>
    <t>Eficiency</t>
  </si>
  <si>
    <t>Conervsion energy to CO2 eq</t>
  </si>
  <si>
    <t>consumption</t>
  </si>
  <si>
    <t>capacity (l)</t>
  </si>
  <si>
    <t>Microwave</t>
  </si>
  <si>
    <t>PHILCO</t>
  </si>
  <si>
    <t>096051144 - X U91: PMR28V</t>
  </si>
  <si>
    <t>Brasileiro de Etiquetagem (PBE) PBE Fornos de Micro-onda</t>
  </si>
  <si>
    <t>time*Energy*59.9/60</t>
  </si>
  <si>
    <t xml:space="preserve">air fryer </t>
  </si>
  <si>
    <t>Wap</t>
  </si>
  <si>
    <t>FW009537 REV02AGO23</t>
  </si>
  <si>
    <t>https://mais.conteudo.wap.ind.br/wap/produtos/cozinha/fritadeira_eletrica/air_fryer_grand_family_5l_wafg1_fw009535_fw009536/arquivos/manual/manual_air_fryer_grand_family_5l_wafg1.pdf</t>
  </si>
  <si>
    <t>time*Energy*59.9/61</t>
  </si>
  <si>
    <t>Blender</t>
  </si>
  <si>
    <t>Britania</t>
  </si>
  <si>
    <t>BLQ1100</t>
  </si>
  <si>
    <t>https://www.britania.com.br/liquidificador-britania-blq1100/p?srsltid=AfmBOorWsijXDa3A4E3WOAzy7kjO_JxApzk7eGz3XyNXXoxPNaUyR2c7</t>
  </si>
  <si>
    <t>time*Energy*59.9/62</t>
  </si>
  <si>
    <t>Mixer</t>
  </si>
  <si>
    <t>PHI-BAT-PAR-DM-T-P</t>
  </si>
  <si>
    <t>https://www.philco.com.br/batedeira-philco-500w-preta-paris-duo-mixer-turbo/p</t>
  </si>
  <si>
    <t>time*Energy*59.9/63</t>
  </si>
  <si>
    <t>Oven</t>
  </si>
  <si>
    <t>Eletrolux</t>
  </si>
  <si>
    <t>52EXR</t>
  </si>
  <si>
    <t>https://loja.electrolux.com.br/fogao-de-embutir-inox-4-bocas-com-timer-digital-electrolux-52exr/p</t>
  </si>
  <si>
    <t>Stove</t>
  </si>
  <si>
    <t>https://www.gov.br/inmetro/pt-br/assuntos/regulamentacao/avaliacao-da-conformidade/programa-brasileiro-de-etiquetagem/tabelas-de-eficiencia-energetica/fogoes-e-fornos-domesticos-a-gas/tabela-pbe-fogoes-2024.pdf</t>
  </si>
  <si>
    <t>Food name and description</t>
  </si>
  <si>
    <t>Density in g/ml (including mass and bulk density)</t>
  </si>
  <si>
    <t>Specific gravity</t>
  </si>
  <si>
    <t>BiblioID</t>
  </si>
  <si>
    <t>Update Version 2.0</t>
  </si>
  <si>
    <t>Beverages, non alcoholic (including soft drinks and juices)</t>
  </si>
  <si>
    <t>Apple juice, canned or bottled, unsweetened, with added ascorbic acid</t>
  </si>
  <si>
    <t>1,04</t>
  </si>
  <si>
    <t>1,05</t>
  </si>
  <si>
    <t>USDA</t>
  </si>
  <si>
    <t>x</t>
  </si>
  <si>
    <t>Apple juice, canned or bottled, unsweetened, without added ascorbic acid</t>
  </si>
  <si>
    <t>Beverages, fruit juice drink, reduced sugar, with vitamin E added</t>
  </si>
  <si>
    <t>Carbonated beverage, tonic water</t>
  </si>
  <si>
    <t>1,02</t>
  </si>
  <si>
    <t>Cranberry juice cocktail, bottled</t>
  </si>
  <si>
    <t>Cranberry-apple juice drink, bottled</t>
  </si>
  <si>
    <t>1,06</t>
  </si>
  <si>
    <t>1,07</t>
  </si>
  <si>
    <t>Fruit drinks, low calories, undiluted</t>
  </si>
  <si>
    <t>1.010-1.030</t>
  </si>
  <si>
    <t>UK 6th</t>
  </si>
  <si>
    <t>Fruit drinks, undiluted</t>
  </si>
  <si>
    <t>1.090-1.120</t>
  </si>
  <si>
    <t>Fruit juice</t>
  </si>
  <si>
    <t>FNDDS 4.1</t>
  </si>
  <si>
    <t>Fruit juice drinks</t>
  </si>
  <si>
    <t>1,040</t>
  </si>
  <si>
    <t>Fruit juice drinks, ready to drink</t>
  </si>
  <si>
    <t>1.030-1.040</t>
  </si>
  <si>
    <t>Grape juice</t>
  </si>
  <si>
    <t>1,054</t>
  </si>
  <si>
    <t>S&amp;W</t>
  </si>
  <si>
    <t>Grape juice, canned or bottled, unsweetened, with added ascorbic acid</t>
  </si>
  <si>
    <t>Grape juice, canned or bottled, unsweetened, without added ascorbic acid</t>
  </si>
  <si>
    <t>Guanabana nectar, canned</t>
  </si>
  <si>
    <t>Guava nectar, canned</t>
  </si>
  <si>
    <t>Ice, crushed</t>
  </si>
  <si>
    <t>0.56-0.72</t>
  </si>
  <si>
    <t>ASI</t>
  </si>
  <si>
    <t>Juice, apple and grape blend, with added ascorbic acid</t>
  </si>
  <si>
    <t>Juice, apple, grape and pear blend, with added ascorbic acid and calcium</t>
  </si>
  <si>
    <t>Lemonade, frozen concentrate, pink</t>
  </si>
  <si>
    <t>1,24</t>
  </si>
  <si>
    <t>Lemonade, frozen concentrate, white</t>
  </si>
  <si>
    <t>1,17</t>
  </si>
  <si>
    <t>Lime juice cordial, undiluted</t>
  </si>
  <si>
    <t>1,102</t>
  </si>
  <si>
    <t>Mango nectar, canned</t>
  </si>
  <si>
    <t>Meal supplement drink, NESTLE, SUPLIGEN, canned, peanut flavor</t>
  </si>
  <si>
    <t>Orange juice</t>
  </si>
  <si>
    <t>1,038</t>
  </si>
  <si>
    <t>Orange juice with calcium</t>
  </si>
  <si>
    <t>Orange juice, canned, unsweetened</t>
  </si>
  <si>
    <t>Orange soda (sweetened with sugar)</t>
  </si>
  <si>
    <t>1,029</t>
  </si>
  <si>
    <t>QUAKER OATS, PROPEL Fitness Water, fruit-flavored, non-carbonated</t>
  </si>
  <si>
    <t>Soft drinks, cola type</t>
  </si>
  <si>
    <t>Soft drinks, diet soda</t>
  </si>
  <si>
    <t>988</t>
  </si>
  <si>
    <t>Soft drinks, lemonade type</t>
  </si>
  <si>
    <t>1,020</t>
  </si>
  <si>
    <t>Soft drinks, lucozade type</t>
  </si>
  <si>
    <t>1,070</t>
  </si>
  <si>
    <t>Soy drink</t>
  </si>
  <si>
    <t>1,08</t>
  </si>
  <si>
    <t>Soya + milk + sugar</t>
  </si>
  <si>
    <t>KEN</t>
  </si>
  <si>
    <t>Soya + sugar</t>
  </si>
  <si>
    <t>Sports drink, COCA-COLA, POWERADE, lemon-lime flavored, ready-to-drink</t>
  </si>
  <si>
    <t>1,03</t>
  </si>
  <si>
    <t>Sports drink, PEPSICO QUAKER GATORADE, GATORADE, original, fruit-flavored, ready-to-drink</t>
  </si>
  <si>
    <t>Tamarind nectar, canned</t>
  </si>
  <si>
    <t>1,01</t>
  </si>
  <si>
    <t>1</t>
  </si>
  <si>
    <t>CG</t>
  </si>
  <si>
    <t>Water, ice, 0 °C</t>
  </si>
  <si>
    <t>916</t>
  </si>
  <si>
    <t>TB</t>
  </si>
  <si>
    <t>Water, ice, 4 °C</t>
  </si>
  <si>
    <t>999</t>
  </si>
  <si>
    <t>Water, liquid, 20 °C</t>
  </si>
  <si>
    <t>998</t>
  </si>
  <si>
    <t>Water, mineralwater</t>
  </si>
  <si>
    <t>1.035-1.04</t>
  </si>
  <si>
    <t>DK</t>
  </si>
  <si>
    <t>Tea, cacao, coffee and drinking powders</t>
  </si>
  <si>
    <t>Coffee, brewed</t>
  </si>
  <si>
    <t>Coffee, expresso</t>
  </si>
  <si>
    <t>Coffee, green (beans)</t>
  </si>
  <si>
    <t>0.59-0.62</t>
  </si>
  <si>
    <t>Coffee, powder (nescafé)</t>
  </si>
  <si>
    <t>0,25</t>
  </si>
  <si>
    <t>RC</t>
  </si>
  <si>
    <t>Coffee, roasted (beans)</t>
  </si>
  <si>
    <t>0.35-0.38</t>
  </si>
  <si>
    <t>Miso, broth, ready to drink</t>
  </si>
  <si>
    <t>Powder, chocolate drinking powder</t>
  </si>
  <si>
    <t>0.5-0.55</t>
  </si>
  <si>
    <t>Powders</t>
  </si>
  <si>
    <t>0.2-0.25</t>
  </si>
  <si>
    <t>Tea, black (tea leaves)</t>
  </si>
  <si>
    <t>0,48</t>
  </si>
  <si>
    <t>Tea, herbal, Ciakimora (leaves + water)</t>
  </si>
  <si>
    <t>Tea, herbal, Ciakimora leaves</t>
  </si>
  <si>
    <t>0,23</t>
  </si>
  <si>
    <t>Tea, flakes</t>
  </si>
  <si>
    <t>0,38</t>
  </si>
  <si>
    <t>Tea, powdered</t>
  </si>
  <si>
    <t>0,43</t>
  </si>
  <si>
    <t>Tea, liquid</t>
  </si>
  <si>
    <t>Tea, only (tea leaves + water)</t>
  </si>
  <si>
    <t>Tea, ready-to-drink, ARIZONA iced tea, with lemon flavor</t>
  </si>
  <si>
    <t>Tea, ready-to-drink, LIPTON BRISK iced tea, with lemon flavor</t>
  </si>
  <si>
    <t>Tea, ready-to-drink, NESTLE, COOL NESTEA ice tea lemon flavor</t>
  </si>
  <si>
    <t>Beverages, alcoholic</t>
  </si>
  <si>
    <t>Beer</t>
  </si>
  <si>
    <t>Beer, lager</t>
  </si>
  <si>
    <t>1,005</t>
  </si>
  <si>
    <t>Beer, light</t>
  </si>
  <si>
    <t>Beer, light, BUD LIGHT</t>
  </si>
  <si>
    <t>Beer, light, BUDWEISER SELECT</t>
  </si>
  <si>
    <t>Beer, light, MICHELOB ULTRA</t>
  </si>
  <si>
    <t>Beer, local (non specific)</t>
  </si>
  <si>
    <t>0,96</t>
  </si>
  <si>
    <t>Beer, pale ale</t>
  </si>
  <si>
    <t>1,003</t>
  </si>
  <si>
    <t>Beer, pilsner</t>
  </si>
  <si>
    <t>1,007</t>
  </si>
  <si>
    <t>Beer, pilsner, 4 °C</t>
  </si>
  <si>
    <t>1,008</t>
  </si>
  <si>
    <t>Beer, regular, all</t>
  </si>
  <si>
    <t>Beer, regular, BUDWEISER</t>
  </si>
  <si>
    <t>Beer, stout, bottled</t>
  </si>
  <si>
    <t>1,014</t>
  </si>
  <si>
    <t>Beer, stout, extra</t>
  </si>
  <si>
    <t>1,002</t>
  </si>
  <si>
    <t>Beer, strong ale</t>
  </si>
  <si>
    <t>1,018</t>
  </si>
  <si>
    <t>Beer, type bitter or brown ale</t>
  </si>
  <si>
    <t>Beer, type draught</t>
  </si>
  <si>
    <t>1,004</t>
  </si>
  <si>
    <t>Beer, type Keg</t>
  </si>
  <si>
    <t>1,001</t>
  </si>
  <si>
    <t>Beer, type mild, draught</t>
  </si>
  <si>
    <t>1,009</t>
  </si>
  <si>
    <t>Beer, commercial (white cap etc.)</t>
  </si>
  <si>
    <t>0,97</t>
  </si>
  <si>
    <t>Spirits and liqueurs</t>
  </si>
  <si>
    <t>Alcohol, ethyl</t>
  </si>
  <si>
    <t>789</t>
  </si>
  <si>
    <t>Amaretto</t>
  </si>
  <si>
    <t>1,1</t>
  </si>
  <si>
    <t>Amaretto di Saranno</t>
  </si>
  <si>
    <t>Anisette</t>
  </si>
  <si>
    <t>1,175</t>
  </si>
  <si>
    <t>Apricot brandy</t>
  </si>
  <si>
    <t>Apricot liquor</t>
  </si>
  <si>
    <t>1,09</t>
  </si>
  <si>
    <t>Bailey's irish cream</t>
  </si>
  <si>
    <t>Benedictine</t>
  </si>
  <si>
    <t>Benedictine D.O.M.</t>
  </si>
  <si>
    <t>Blackberry brandy</t>
  </si>
  <si>
    <t>Blackberry liquor</t>
  </si>
  <si>
    <t>Blue curacao</t>
  </si>
  <si>
    <t>1,11</t>
  </si>
  <si>
    <t>Brandy</t>
  </si>
  <si>
    <t>Campari</t>
  </si>
  <si>
    <t>Cherry brandy</t>
  </si>
  <si>
    <t>Cherry liqueur</t>
  </si>
  <si>
    <t>1,12</t>
  </si>
  <si>
    <t>Coffee liquor</t>
  </si>
  <si>
    <t>1,13</t>
  </si>
  <si>
    <t>Cointreau</t>
  </si>
  <si>
    <t>Crème de almond</t>
  </si>
  <si>
    <t>1,16</t>
  </si>
  <si>
    <t>Crème de banana</t>
  </si>
  <si>
    <t>1,14</t>
  </si>
  <si>
    <t>Crème de cacao</t>
  </si>
  <si>
    <t>Creme de cassis</t>
  </si>
  <si>
    <t>1,18</t>
  </si>
  <si>
    <t>Crème de noyaux</t>
  </si>
  <si>
    <t>1,165</t>
  </si>
  <si>
    <t>Drambuie</t>
  </si>
  <si>
    <t>Frangelico</t>
  </si>
  <si>
    <t>Galliano</t>
  </si>
  <si>
    <t>Green chartreuse</t>
  </si>
  <si>
    <t>Green crème de menthe</t>
  </si>
  <si>
    <t>Kummel</t>
  </si>
  <si>
    <t>Liqueur</t>
  </si>
  <si>
    <t>1.03-1.150</t>
  </si>
  <si>
    <t>Liqueur, type advocaat</t>
  </si>
  <si>
    <t>1,093</t>
  </si>
  <si>
    <t>Liqueur, type cherry brandy</t>
  </si>
  <si>
    <t>Liqueur, type curacao</t>
  </si>
  <si>
    <t>1,052</t>
  </si>
  <si>
    <t>Midori melon liquor</t>
  </si>
  <si>
    <t>Orange curacao</t>
  </si>
  <si>
    <t>Parfrait d'amour</t>
  </si>
  <si>
    <t>Peach brandy</t>
  </si>
  <si>
    <t>Peach liqueur</t>
  </si>
  <si>
    <t>Peppermint schnapps</t>
  </si>
  <si>
    <t>Port</t>
  </si>
  <si>
    <t>1,026</t>
  </si>
  <si>
    <t>Rock and Rye</t>
  </si>
  <si>
    <t>Sherry, dry</t>
  </si>
  <si>
    <t>Sherry, medium</t>
  </si>
  <si>
    <t>Sherry, sweet</t>
  </si>
  <si>
    <t>Sloe gin</t>
  </si>
  <si>
    <t>Southern comfort</t>
  </si>
  <si>
    <t>Spirits, 40% alcohol</t>
  </si>
  <si>
    <t>950</t>
  </si>
  <si>
    <t>Spirits, 45% alcohol (whiskey)</t>
  </si>
  <si>
    <t>939</t>
  </si>
  <si>
    <t>Spirits, 70% alcohol</t>
  </si>
  <si>
    <t>885</t>
  </si>
  <si>
    <t>Spirits, 75% alcohol</t>
  </si>
  <si>
    <t>873</t>
  </si>
  <si>
    <t>Strawberry liqueur</t>
  </si>
  <si>
    <t>Tia Maria</t>
  </si>
  <si>
    <t>Triple sec</t>
  </si>
  <si>
    <t>Tuaca</t>
  </si>
  <si>
    <t>0,98</t>
  </si>
  <si>
    <t>Vermouth, dry</t>
  </si>
  <si>
    <t>Vermouth, sweet</t>
  </si>
  <si>
    <t>1,046</t>
  </si>
  <si>
    <t>White crème de cacao</t>
  </si>
  <si>
    <t>White crème de menthe</t>
  </si>
  <si>
    <t>Yellow chartreuse</t>
  </si>
  <si>
    <t>Wine and Cider</t>
  </si>
  <si>
    <t>Cider, dry</t>
  </si>
  <si>
    <t>Cider, sweet</t>
  </si>
  <si>
    <t>1,012</t>
  </si>
  <si>
    <t>Cider, vintage</t>
  </si>
  <si>
    <t>1,017</t>
  </si>
  <si>
    <t>Wine, red</t>
  </si>
  <si>
    <t>Wine, rose, medium</t>
  </si>
  <si>
    <t>Wine, table, all</t>
  </si>
  <si>
    <t>0,99</t>
  </si>
  <si>
    <t>Wine, table, red</t>
  </si>
  <si>
    <t>Wine, table, red, Barbera</t>
  </si>
  <si>
    <t>Wine, table, red, Burgundy</t>
  </si>
  <si>
    <t>Wine, table, red, Cabernet Franc</t>
  </si>
  <si>
    <t>Wine, table, red, Cabernet Sauvignon</t>
  </si>
  <si>
    <t>Wine, table, red, Carignane</t>
  </si>
  <si>
    <t>Wine, table, red, Claret</t>
  </si>
  <si>
    <t>Wine, table, red, Gamay</t>
  </si>
  <si>
    <t>Wine, table, red, Lemberger</t>
  </si>
  <si>
    <t>Wine, table, red, Merlot</t>
  </si>
  <si>
    <t>Wine, table, red, Mouvedre</t>
  </si>
  <si>
    <t>Wine, table, red, Petite Sirah</t>
  </si>
  <si>
    <t>Wine, table, red, Pinot Noir</t>
  </si>
  <si>
    <t>Wine, table, red, Sangiovese</t>
  </si>
  <si>
    <t>Wine, table, red, Syrah</t>
  </si>
  <si>
    <t>Wine, table, red, Zinfandel</t>
  </si>
  <si>
    <t>Wine, table, white</t>
  </si>
  <si>
    <t>Wine, table, white, Chardonnay</t>
  </si>
  <si>
    <t>Wine, table, white, Chenin Blanc</t>
  </si>
  <si>
    <t>Wine, table, white, Fume Blanc</t>
  </si>
  <si>
    <t>Wine, table, white, Gewurztraminer</t>
  </si>
  <si>
    <t>Wine, table, white, late harvest</t>
  </si>
  <si>
    <t>Wine, table, white, late harvest, Gewurztraminer</t>
  </si>
  <si>
    <t>Wine, table, white, Muller Thurgau</t>
  </si>
  <si>
    <t>Wine, table, white, Muscat</t>
  </si>
  <si>
    <t>Wine, table, white, Pinot Blanc</t>
  </si>
  <si>
    <t>Wine, table, white, Pinot Gris (Grigio)</t>
  </si>
  <si>
    <t>Wine, table, white, Riesling</t>
  </si>
  <si>
    <t>Wine, table, white, Sauvignon Blanc</t>
  </si>
  <si>
    <t>Wine, table, white, Semillon</t>
  </si>
  <si>
    <t>Wine, white</t>
  </si>
  <si>
    <t>1-1.04</t>
  </si>
  <si>
    <t>Wine, white, dry or sparkling</t>
  </si>
  <si>
    <t>995</t>
  </si>
  <si>
    <t>Wine, white, medium</t>
  </si>
  <si>
    <t>Wine, white, sweet</t>
  </si>
  <si>
    <t>1,016</t>
  </si>
  <si>
    <t>Milk and dairy products</t>
  </si>
  <si>
    <t>Milk</t>
  </si>
  <si>
    <t>Milk (at 15.6 C)</t>
  </si>
  <si>
    <t>1.02-1.05</t>
  </si>
  <si>
    <t>CSG</t>
  </si>
  <si>
    <t>Milk (non-fat dry)</t>
  </si>
  <si>
    <t>0,56</t>
  </si>
  <si>
    <t>Milk (powdered whole)</t>
  </si>
  <si>
    <t>Milk (powdered)</t>
  </si>
  <si>
    <t>0,21</t>
  </si>
  <si>
    <t>Milk shake, fruit and other</t>
  </si>
  <si>
    <t>Milk, acidophilus cultured</t>
  </si>
  <si>
    <t>Milk, buttermilk</t>
  </si>
  <si>
    <t>1,022</t>
  </si>
  <si>
    <t>Milk, chocolate milk, skimmed</t>
  </si>
  <si>
    <t>1,056</t>
  </si>
  <si>
    <t>Milk, cow, whole</t>
  </si>
  <si>
    <t>Milk, evaporated</t>
  </si>
  <si>
    <t>Milk, goat, whole</t>
  </si>
  <si>
    <t>Milk, liquid (whole, semi-skimmed, skimmed)</t>
  </si>
  <si>
    <t>Milk, liquid, partially skimmed</t>
  </si>
  <si>
    <t>1,034</t>
  </si>
  <si>
    <t>Milk, liquid, skimmed</t>
  </si>
  <si>
    <t>1,033</t>
  </si>
  <si>
    <t>1,036</t>
  </si>
  <si>
    <t>Milk, liquid, whole</t>
  </si>
  <si>
    <t>1,030</t>
  </si>
  <si>
    <t>1,031</t>
  </si>
  <si>
    <t>Dairy products</t>
  </si>
  <si>
    <t>Butter</t>
  </si>
  <si>
    <t>911</t>
  </si>
  <si>
    <t>Butter, margarine</t>
  </si>
  <si>
    <t>Buttermilk, dried</t>
  </si>
  <si>
    <t>Casein</t>
  </si>
  <si>
    <t>0,58</t>
  </si>
  <si>
    <t>Cheese, emmentaler, grated</t>
  </si>
  <si>
    <t>0,34</t>
  </si>
  <si>
    <t>Cream, 13% fat</t>
  </si>
  <si>
    <t>1,013</t>
  </si>
  <si>
    <t>Cream, 38% fat</t>
  </si>
  <si>
    <t>984</t>
  </si>
  <si>
    <t>Cream, 9% fat</t>
  </si>
  <si>
    <t>Cream, double (about 40-50% fat)</t>
  </si>
  <si>
    <t>0,94</t>
  </si>
  <si>
    <t>Cream, heavy</t>
  </si>
  <si>
    <t>994</t>
  </si>
  <si>
    <t>Cream, light</t>
  </si>
  <si>
    <t>Cream, single (about 20% fat)</t>
  </si>
  <si>
    <t>Cream, sour (crème fraiche about 18% fat)</t>
  </si>
  <si>
    <t>Cream, sour (crème fraiche about 38% fat)</t>
  </si>
  <si>
    <t>978</t>
  </si>
  <si>
    <t>Cream, whipped</t>
  </si>
  <si>
    <t>496</t>
  </si>
  <si>
    <t>Cream, whipping (about 40% fat)</t>
  </si>
  <si>
    <t>Ice cream</t>
  </si>
  <si>
    <t>554</t>
  </si>
  <si>
    <t>Ice cream, dairy</t>
  </si>
  <si>
    <t>0,61</t>
  </si>
  <si>
    <t>Ice cream, light (formerly ice milk)</t>
  </si>
  <si>
    <t>Ice cream, light, no sugar added</t>
  </si>
  <si>
    <t>Ice cream, no sugar added</t>
  </si>
  <si>
    <t>0,54</t>
  </si>
  <si>
    <t>Ice cream, non dairy</t>
  </si>
  <si>
    <t>0,51</t>
  </si>
  <si>
    <t>Ice cream, regular</t>
  </si>
  <si>
    <t>Ice cream, rich</t>
  </si>
  <si>
    <t>0,62</t>
  </si>
  <si>
    <t>Sour milk, cow, whole</t>
  </si>
  <si>
    <t>Yoghurt, berry, low fat, artificially sweetened</t>
  </si>
  <si>
    <t>Yoghurt, fruits</t>
  </si>
  <si>
    <t>1.045-1.06</t>
  </si>
  <si>
    <t>Yoghurt, low fat, fruit</t>
  </si>
  <si>
    <t>Yoghurt, plain, unsweetened</t>
  </si>
  <si>
    <t>Yoghurt, strawberry, low fat</t>
  </si>
  <si>
    <t>Oils and fats</t>
  </si>
  <si>
    <t>Oils</t>
  </si>
  <si>
    <t>Cooking oil, elianto oil, salad, golden fry, rina</t>
  </si>
  <si>
    <t>0,88</t>
  </si>
  <si>
    <t>Cooking oil, sima</t>
  </si>
  <si>
    <t>Cooking oil, tily, chipo, pura</t>
  </si>
  <si>
    <t>Oil, cod (at 15.6 C)</t>
  </si>
  <si>
    <t>928</t>
  </si>
  <si>
    <t>Oil, corn (at 15.6 C)</t>
  </si>
  <si>
    <t>924</t>
  </si>
  <si>
    <t>Oil, cotton seed (at 15.6 C)</t>
  </si>
  <si>
    <t>0.88-0.93</t>
  </si>
  <si>
    <t>Oil, lard (at 15.6 C)</t>
  </si>
  <si>
    <t>0.91-0.93</t>
  </si>
  <si>
    <t>Oil, linseed (at 15.6 C)</t>
  </si>
  <si>
    <t>0.93-0.94</t>
  </si>
  <si>
    <t>Oil, olive (at 15.6 C)</t>
  </si>
  <si>
    <t>0.91-0.92</t>
  </si>
  <si>
    <t>Oil, other than palmoil</t>
  </si>
  <si>
    <t>0,92</t>
  </si>
  <si>
    <t>Oil, palm (at 15.6 C)</t>
  </si>
  <si>
    <t>Oil, palmoil</t>
  </si>
  <si>
    <t>0,89</t>
  </si>
  <si>
    <t>Oil, peanut (at 15.6 C)</t>
  </si>
  <si>
    <t>Oil, rapeseed (at 20 C)</t>
  </si>
  <si>
    <t>Oil, seasame seed (at 15.6 C)</t>
  </si>
  <si>
    <t>923</t>
  </si>
  <si>
    <t>Oil, sunflower</t>
  </si>
  <si>
    <t>Oil, vegetable, coconut</t>
  </si>
  <si>
    <t>Oil, vegetable, corn</t>
  </si>
  <si>
    <t>922</t>
  </si>
  <si>
    <t>Oil, vegetable, olive</t>
  </si>
  <si>
    <t>918</t>
  </si>
  <si>
    <t>Oil, vegetable, palm</t>
  </si>
  <si>
    <t>915</t>
  </si>
  <si>
    <t>Oil, vegetable, peanut</t>
  </si>
  <si>
    <t>914</t>
  </si>
  <si>
    <t>Oil, vegetable, soya</t>
  </si>
  <si>
    <t>927</t>
  </si>
  <si>
    <t>Oil, whale (at 15.6 C)</t>
  </si>
  <si>
    <t>925</t>
  </si>
  <si>
    <t>Fats and other</t>
  </si>
  <si>
    <t>Animal fat</t>
  </si>
  <si>
    <t>0,7</t>
  </si>
  <si>
    <t>Lard</t>
  </si>
  <si>
    <t>919</t>
  </si>
  <si>
    <t>Lard (at 15.6 C)</t>
  </si>
  <si>
    <t>Mayonnaise, light</t>
  </si>
  <si>
    <t>Mayonnaise, traditional</t>
  </si>
  <si>
    <t>0,91</t>
  </si>
  <si>
    <t>Solid vegetable fat kimbo</t>
  </si>
  <si>
    <t>0,6</t>
  </si>
  <si>
    <t>Solid vegetable fat rina</t>
  </si>
  <si>
    <t>0,67</t>
  </si>
  <si>
    <t>Cereal and cereal products</t>
  </si>
  <si>
    <t>Barley</t>
  </si>
  <si>
    <t>Barley malt, flour</t>
  </si>
  <si>
    <t>0,72</t>
  </si>
  <si>
    <t>Barley, fine ground</t>
  </si>
  <si>
    <t>0,74</t>
  </si>
  <si>
    <t>Barley, meal</t>
  </si>
  <si>
    <t>0,45</t>
  </si>
  <si>
    <t>Barley, flour</t>
  </si>
  <si>
    <t>Barley, flour, malted</t>
  </si>
  <si>
    <t>0,64</t>
  </si>
  <si>
    <t>Barley, ground</t>
  </si>
  <si>
    <t>0.38-0.42</t>
  </si>
  <si>
    <t>Barley, malted</t>
  </si>
  <si>
    <t>0,49</t>
  </si>
  <si>
    <t>Barley, rolled</t>
  </si>
  <si>
    <t>0.34-0.38</t>
  </si>
  <si>
    <t>Barley, scoured</t>
  </si>
  <si>
    <t>0,66</t>
  </si>
  <si>
    <t>Barley, whole</t>
  </si>
  <si>
    <t>0.61-0.69</t>
  </si>
  <si>
    <t>Biscuits</t>
  </si>
  <si>
    <t>0.41-0.53</t>
  </si>
  <si>
    <t>Bran</t>
  </si>
  <si>
    <t>Bread</t>
  </si>
  <si>
    <t>0,29</t>
  </si>
  <si>
    <t>Bread, cornbread</t>
  </si>
  <si>
    <t>433</t>
  </si>
  <si>
    <t>Bread, roll, soft</t>
  </si>
  <si>
    <t>0,18</t>
  </si>
  <si>
    <t>Bread, white</t>
  </si>
  <si>
    <t>0,42</t>
  </si>
  <si>
    <t>Bread, white, sliced, prepacked</t>
  </si>
  <si>
    <t>Breadcrumbs</t>
  </si>
  <si>
    <t>Breakfast cereal, cornflakes (dry cereal)</t>
  </si>
  <si>
    <t>117</t>
  </si>
  <si>
    <t>Breakfast cereal, muesli w/ fruits&amp;nuts</t>
  </si>
  <si>
    <t>0,37</t>
  </si>
  <si>
    <t>Breakfast cereal, raisin bran</t>
  </si>
  <si>
    <t>0,26</t>
  </si>
  <si>
    <t>Breakfast cereal, type Cheerios</t>
  </si>
  <si>
    <t>0,13</t>
  </si>
  <si>
    <t>Breakfast cereal, type Corn flakes</t>
  </si>
  <si>
    <t>0,1</t>
  </si>
  <si>
    <t>Breakfast cereal, type Crispix</t>
  </si>
  <si>
    <t>Breakfast cereal, type frosted flakes</t>
  </si>
  <si>
    <t>Breakfast cereal, type Just Right</t>
  </si>
  <si>
    <t>0,24</t>
  </si>
  <si>
    <t>Breakfast cereal, type rice krispies</t>
  </si>
  <si>
    <t>0,12</t>
  </si>
  <si>
    <t>Buckwheat, bran</t>
  </si>
  <si>
    <t>Buckwheat, flour</t>
  </si>
  <si>
    <t>Buckwheat, whole</t>
  </si>
  <si>
    <t>0.59-0.66</t>
  </si>
  <si>
    <t>Bulrush mille, fermented flour</t>
  </si>
  <si>
    <t>Cake</t>
  </si>
  <si>
    <t>415</t>
  </si>
  <si>
    <t>Cake mix</t>
  </si>
  <si>
    <t>Corn/maize flour, white</t>
  </si>
  <si>
    <t>0,55</t>
  </si>
  <si>
    <t>Corn/maize starch, loosely packed</t>
  </si>
  <si>
    <t>Corn/maize sugar</t>
  </si>
  <si>
    <t>0,33</t>
  </si>
  <si>
    <t>Corn/maize, boiled</t>
  </si>
  <si>
    <t>0,90</t>
  </si>
  <si>
    <t>Corn/maize, boiled with fat</t>
  </si>
  <si>
    <t>Corn/maize, bran</t>
  </si>
  <si>
    <t>Corn/maize, chops (coarse)</t>
  </si>
  <si>
    <t>0.64-0.70</t>
  </si>
  <si>
    <t>Corn/maize, chops (fine)</t>
  </si>
  <si>
    <t>0.58-0.62</t>
  </si>
  <si>
    <t>Corn/maize, chops (medium)</t>
  </si>
  <si>
    <t>0.61-0.67</t>
  </si>
  <si>
    <t>Corn/maize, cobs</t>
  </si>
  <si>
    <t>0,27</t>
  </si>
  <si>
    <t>Corn/maize, cracked (coarse)</t>
  </si>
  <si>
    <t>Corn/maize, ear</t>
  </si>
  <si>
    <t>Corn/maize, fermented flour</t>
  </si>
  <si>
    <t>Corn/maize, flour</t>
  </si>
  <si>
    <t>0,82</t>
  </si>
  <si>
    <t>Corn/maize, meal</t>
  </si>
  <si>
    <t>Corn/maize, germ flour</t>
  </si>
  <si>
    <t>Corn/maize, gluten flour</t>
  </si>
  <si>
    <t>0.51-0.69</t>
  </si>
  <si>
    <t>Corn/maize, grits</t>
  </si>
  <si>
    <t>0.64-0.69</t>
  </si>
  <si>
    <t>Corn/maize, ground</t>
  </si>
  <si>
    <t>0.54-0.58</t>
  </si>
  <si>
    <t>Corn/maize, kibbled</t>
  </si>
  <si>
    <t>0.32-0.35</t>
  </si>
  <si>
    <t>Corn/maize, mash</t>
  </si>
  <si>
    <t>Corn/maize, shelled</t>
  </si>
  <si>
    <t>Corn/maize, starch</t>
  </si>
  <si>
    <t>Corn/maize, starch, tightly packed</t>
  </si>
  <si>
    <t>0,63</t>
  </si>
  <si>
    <t>Corn/maize, white, boiled</t>
  </si>
  <si>
    <t>0,85</t>
  </si>
  <si>
    <t>Corn/maize, white, dry</t>
  </si>
  <si>
    <t>0,81</t>
  </si>
  <si>
    <t>Corn/maize, whole kernel, dried, cracked (Njenga)</t>
  </si>
  <si>
    <t>Corn/maize, whole kernel, dried, cracked, boiled (Njenga)</t>
  </si>
  <si>
    <t>Corn/maize, whole shelled</t>
  </si>
  <si>
    <t>Donut mix</t>
  </si>
  <si>
    <t>Dough mix</t>
  </si>
  <si>
    <t>0,59</t>
  </si>
  <si>
    <t>Finger millet, fermented flour</t>
  </si>
  <si>
    <t>Millet</t>
  </si>
  <si>
    <t>Millet flour, bulrush</t>
  </si>
  <si>
    <t>Millet flour, finger</t>
  </si>
  <si>
    <t>Millet, bulrush</t>
  </si>
  <si>
    <t>Millet, finger</t>
  </si>
  <si>
    <t>Oat Flour</t>
  </si>
  <si>
    <t>0,53</t>
  </si>
  <si>
    <t>Oat middlings</t>
  </si>
  <si>
    <t>Oats</t>
  </si>
  <si>
    <t>0,41</t>
  </si>
  <si>
    <t>Oats groats, whole</t>
  </si>
  <si>
    <t>Oats, ground</t>
  </si>
  <si>
    <t>0,46</t>
  </si>
  <si>
    <t>Oats, hulls</t>
  </si>
  <si>
    <t>Oats, rolled</t>
  </si>
  <si>
    <t>0.30-0.38</t>
  </si>
  <si>
    <t>Pasta, short macaroni style, boiled</t>
  </si>
  <si>
    <t>Pasta, short macaroni style, raw</t>
  </si>
  <si>
    <t>0,39</t>
  </si>
  <si>
    <t>Pasta/ noodles, boiled</t>
  </si>
  <si>
    <t>Porridge flour bonavist, boiled</t>
  </si>
  <si>
    <t>0,73</t>
  </si>
  <si>
    <t>Porridge flour bonavist, raw</t>
  </si>
  <si>
    <t>0,84</t>
  </si>
  <si>
    <t>Porridge flour ken-uji + lemon extract</t>
  </si>
  <si>
    <t>Porridge flour ken-uji:F.mill, bul, sorg, wheat</t>
  </si>
  <si>
    <t>0,60</t>
  </si>
  <si>
    <t>Porridge, maize, flour + water</t>
  </si>
  <si>
    <t>Rice</t>
  </si>
  <si>
    <t>Rice, boiled</t>
  </si>
  <si>
    <t>Rice, boiled with fat</t>
  </si>
  <si>
    <t>0,70</t>
  </si>
  <si>
    <t>Rice, bran</t>
  </si>
  <si>
    <t>Rice, hulled</t>
  </si>
  <si>
    <t>0,75</t>
  </si>
  <si>
    <t>Rice, puffed</t>
  </si>
  <si>
    <t>Rice, raw</t>
  </si>
  <si>
    <t>Rice, rough</t>
  </si>
  <si>
    <t>Rice, white, boiled</t>
  </si>
  <si>
    <t>Rice, white, raw</t>
  </si>
  <si>
    <t>Rye</t>
  </si>
  <si>
    <t>Rye, bran</t>
  </si>
  <si>
    <t>0.24-0.32</t>
  </si>
  <si>
    <t>Rye, flour</t>
  </si>
  <si>
    <t>Rye, malted</t>
  </si>
  <si>
    <t>Rye, middlings</t>
  </si>
  <si>
    <t>Rye, shorts</t>
  </si>
  <si>
    <t>Rye, whole</t>
  </si>
  <si>
    <t>0.69-0.72</t>
  </si>
  <si>
    <t>Semolina, raw</t>
  </si>
  <si>
    <t>0,78</t>
  </si>
  <si>
    <t>Sorghum, fermented flour</t>
  </si>
  <si>
    <t>Sorghum, flour</t>
  </si>
  <si>
    <t>Sorghum, seed</t>
  </si>
  <si>
    <t>0.51-0.56</t>
  </si>
  <si>
    <t>Soy, flour</t>
  </si>
  <si>
    <t>Soya, flour</t>
  </si>
  <si>
    <t>Wheat</t>
  </si>
  <si>
    <t>0,77</t>
  </si>
  <si>
    <t>Wheat, bran</t>
  </si>
  <si>
    <t>0.18-0.26</t>
  </si>
  <si>
    <t>Wheat, cracked</t>
  </si>
  <si>
    <t>Wheat, cut</t>
  </si>
  <si>
    <t>Wheat, flour</t>
  </si>
  <si>
    <t>521</t>
  </si>
  <si>
    <t>Wheat, flour, malted</t>
  </si>
  <si>
    <t>Wheat, flour, white</t>
  </si>
  <si>
    <t>Wheat, flour, wholemeal</t>
  </si>
  <si>
    <t>Wheat, gluten</t>
  </si>
  <si>
    <t>0,69</t>
  </si>
  <si>
    <t>Wheat, hulls</t>
  </si>
  <si>
    <t>Wheat, middlings</t>
  </si>
  <si>
    <t>Wheat, shaved</t>
  </si>
  <si>
    <t>Wheat, whole</t>
  </si>
  <si>
    <t>0.72-0.83</t>
  </si>
  <si>
    <t>Whey</t>
  </si>
  <si>
    <t>Tubers and products</t>
  </si>
  <si>
    <t>Arrowroot/cocoyam, boiled</t>
  </si>
  <si>
    <t>Arrowroot/cocoyam, raw</t>
  </si>
  <si>
    <t>0,52</t>
  </si>
  <si>
    <t>Cassava,flour</t>
  </si>
  <si>
    <t>Cassava, boiled</t>
  </si>
  <si>
    <t>Cassava, raw</t>
  </si>
  <si>
    <t>Potato, english, boiled</t>
  </si>
  <si>
    <t>Potato, english, raw</t>
  </si>
  <si>
    <t>Potatoes, flakes</t>
  </si>
  <si>
    <t>Potatoes, powdered</t>
  </si>
  <si>
    <t>Sweet potato, boiled</t>
  </si>
  <si>
    <t>0,65</t>
  </si>
  <si>
    <t>Sweet potato, raw</t>
  </si>
  <si>
    <t>0,44</t>
  </si>
  <si>
    <t>Yam, boiled</t>
  </si>
  <si>
    <t>0,79</t>
  </si>
  <si>
    <t>Yam, raw</t>
  </si>
  <si>
    <t>Nuts and seeds</t>
  </si>
  <si>
    <t>Almonds</t>
  </si>
  <si>
    <t>Cashews</t>
  </si>
  <si>
    <t>Coconut Chips</t>
  </si>
  <si>
    <t>Flaxseed</t>
  </si>
  <si>
    <t>Nuts</t>
  </si>
  <si>
    <t>Peanuts</t>
  </si>
  <si>
    <t>Peanuts, shelled</t>
  </si>
  <si>
    <t>Peanuts, unshelled</t>
  </si>
  <si>
    <t>0.27-0.38</t>
  </si>
  <si>
    <t>Pistachio, raw, with shell</t>
  </si>
  <si>
    <t>Pistachio, raw, without shell</t>
  </si>
  <si>
    <t>646</t>
  </si>
  <si>
    <t>Rapeseed</t>
  </si>
  <si>
    <t>Sunflower, seed</t>
  </si>
  <si>
    <t>Fruits</t>
  </si>
  <si>
    <t>Apple slices, dried</t>
  </si>
  <si>
    <t>Loquat</t>
  </si>
  <si>
    <t>Paw Paw, unripe</t>
  </si>
  <si>
    <t>Vegetables</t>
  </si>
  <si>
    <t>Alfalfa, leaf, meal</t>
  </si>
  <si>
    <t>Alfalfa,meal, dehydrated 13%</t>
  </si>
  <si>
    <t>0.26-0.29</t>
  </si>
  <si>
    <t>Alfalfa, meal, dehydrated 17%</t>
  </si>
  <si>
    <t>0.29-0.35</t>
  </si>
  <si>
    <t>Alfalfa, meal, fine ground</t>
  </si>
  <si>
    <t>0.24-0.35</t>
  </si>
  <si>
    <t>Alfalfa, meal, suncured 13%</t>
  </si>
  <si>
    <t>0,22</t>
  </si>
  <si>
    <t>Alfalfa, seed</t>
  </si>
  <si>
    <t>0.72-0.77</t>
  </si>
  <si>
    <t>Alfalfa, stem meal</t>
  </si>
  <si>
    <t>0,19</t>
  </si>
  <si>
    <t>Carrot, raw, chopped</t>
  </si>
  <si>
    <t>Carrot, raw, grated</t>
  </si>
  <si>
    <t>0,71</t>
  </si>
  <si>
    <t>Cauliflower, boiled</t>
  </si>
  <si>
    <t>Chili, green</t>
  </si>
  <si>
    <t>Chili, red</t>
  </si>
  <si>
    <t>French green beans</t>
  </si>
  <si>
    <t>Fresh green peas (minji)</t>
  </si>
  <si>
    <t>Leaves, managu, raw (black night shade)</t>
  </si>
  <si>
    <t>0,2</t>
  </si>
  <si>
    <t>Leaves, onion, spring onion, raw</t>
  </si>
  <si>
    <t>Corn/maize, green, sweet corn, boiled</t>
  </si>
  <si>
    <t>Corn/maize, green, sweet corn, raw</t>
  </si>
  <si>
    <t>Olives, green, with stone</t>
  </si>
  <si>
    <t>Onions, chopped</t>
  </si>
  <si>
    <t>Onions, minced</t>
  </si>
  <si>
    <t>Onions, powdered</t>
  </si>
  <si>
    <t>0,4</t>
  </si>
  <si>
    <t>Onions, fried, cubed</t>
  </si>
  <si>
    <t>Onions, raw, cubed</t>
  </si>
  <si>
    <t>Salad, green, leaves, raw</t>
  </si>
  <si>
    <t>0,06</t>
  </si>
  <si>
    <t>Spinach, frozen, cooked</t>
  </si>
  <si>
    <t>Spinach, leaves, raw</t>
  </si>
  <si>
    <t>0,08</t>
  </si>
  <si>
    <t>Sweet pepper, raw, cubes</t>
  </si>
  <si>
    <t>Sweet pepper, raw, half rings</t>
  </si>
  <si>
    <t>Legumes</t>
  </si>
  <si>
    <t>Beans, white</t>
  </si>
  <si>
    <t>0.69-0.77</t>
  </si>
  <si>
    <t>Cowpeas</t>
  </si>
  <si>
    <t>Cowpeas, dried, boiled</t>
  </si>
  <si>
    <t>Cowpeas, dried, raw</t>
  </si>
  <si>
    <t>Greengram, boiled</t>
  </si>
  <si>
    <t>0,76</t>
  </si>
  <si>
    <t>Greengram, raw</t>
  </si>
  <si>
    <t>Kidney beans, dry, boiled</t>
  </si>
  <si>
    <t>Kidney beans, dry, raw</t>
  </si>
  <si>
    <t>Kidney beans, green, boiled</t>
  </si>
  <si>
    <t>Kidney beans, green, raw</t>
  </si>
  <si>
    <t>0,68</t>
  </si>
  <si>
    <t>Lentils, green, small, boiled</t>
  </si>
  <si>
    <t>Lentils, green, small, raw</t>
  </si>
  <si>
    <t>Pigeon peas, boiled</t>
  </si>
  <si>
    <t>Pigeon peas, raw</t>
  </si>
  <si>
    <t>Soybean</t>
  </si>
  <si>
    <t>Soybean, flakes</t>
  </si>
  <si>
    <t>Soybean, hulls</t>
  </si>
  <si>
    <t>Soybean, meal</t>
  </si>
  <si>
    <t>Soybean, boiled</t>
  </si>
  <si>
    <t>Soybean, boiled with fat</t>
  </si>
  <si>
    <t>Herbes and spices</t>
  </si>
  <si>
    <t>Cinnamon, powder</t>
  </si>
  <si>
    <t>Clover, seed</t>
  </si>
  <si>
    <t>Dry flavoring mix Roiko and other flavorings</t>
  </si>
  <si>
    <t>Garlic, flakes</t>
  </si>
  <si>
    <t>0,35</t>
  </si>
  <si>
    <t>Garlic, powder</t>
  </si>
  <si>
    <t>0,32</t>
  </si>
  <si>
    <t>Sage, leaves</t>
  </si>
  <si>
    <t>Spice, barbecue</t>
  </si>
  <si>
    <t>Spice, blend</t>
  </si>
  <si>
    <t>Fish and fish products</t>
  </si>
  <si>
    <t>Prawns, whole, boiled, with shell</t>
  </si>
  <si>
    <t>Prawns, whole, boiled, without shell</t>
  </si>
  <si>
    <t>Egg and egg products</t>
  </si>
  <si>
    <t>Egg, yoke, powder</t>
  </si>
  <si>
    <t>Egg, chicken, boiled/poached</t>
  </si>
  <si>
    <t>Eggs, powdered</t>
  </si>
  <si>
    <t>Meat and meat products</t>
  </si>
  <si>
    <t>Blood, flour</t>
  </si>
  <si>
    <t>Blood, meal</t>
  </si>
  <si>
    <t>Bone and meat meal, loose</t>
  </si>
  <si>
    <t>Bone meal, loose</t>
  </si>
  <si>
    <t>0.80-0.96</t>
  </si>
  <si>
    <t>Cow intestine, boiled</t>
  </si>
  <si>
    <t>Cow, lean, no bone, raw</t>
  </si>
  <si>
    <t>Cow, intestine, raw</t>
  </si>
  <si>
    <t>0,93</t>
  </si>
  <si>
    <t>Goat, intestine, boiled</t>
  </si>
  <si>
    <t>Goat, intestine, raw</t>
  </si>
  <si>
    <t>0,83</t>
  </si>
  <si>
    <t>Pork, fatty, with bone, boiled</t>
  </si>
  <si>
    <t>Pork, fatty, with bone, raw</t>
  </si>
  <si>
    <t>Pork, medium, with bone, boiled</t>
  </si>
  <si>
    <t>Pork, medium, with bone, raw</t>
  </si>
  <si>
    <t>Potato chips</t>
  </si>
  <si>
    <t>0,09</t>
  </si>
  <si>
    <t>Potato chips, pringles</t>
  </si>
  <si>
    <t>Snacks, puffed, lowfat</t>
  </si>
  <si>
    <t>0,11</t>
  </si>
  <si>
    <t>Sweets</t>
  </si>
  <si>
    <t>Glucolin, glucose</t>
  </si>
  <si>
    <t>Glucose (at 15.6 C)</t>
  </si>
  <si>
    <t>1.35-1.44</t>
  </si>
  <si>
    <t>Jam</t>
  </si>
  <si>
    <t>1,333</t>
  </si>
  <si>
    <t>Jam, sweetened</t>
  </si>
  <si>
    <t>1,43</t>
  </si>
  <si>
    <t>Jelly</t>
  </si>
  <si>
    <t>1,245</t>
  </si>
  <si>
    <t>Nutella</t>
  </si>
  <si>
    <t>1,26</t>
  </si>
  <si>
    <t>Sucrose</t>
  </si>
  <si>
    <t>Sucrose Octoacetate</t>
  </si>
  <si>
    <t>Sugar</t>
  </si>
  <si>
    <t>0,95</t>
  </si>
  <si>
    <t>Sugar, dextrose</t>
  </si>
  <si>
    <t>Sugar, granulated</t>
  </si>
  <si>
    <t>Sugar, powdered</t>
  </si>
  <si>
    <t>Sugar, white</t>
  </si>
  <si>
    <t>Syrup, blackcurrant, undiluted</t>
  </si>
  <si>
    <t>1,280</t>
  </si>
  <si>
    <t>Syrup, corn</t>
  </si>
  <si>
    <t>1,38</t>
  </si>
  <si>
    <t>Syrup, corn, light</t>
  </si>
  <si>
    <t>1,40</t>
  </si>
  <si>
    <t>1,41</t>
  </si>
  <si>
    <t>Syrup, fruit, blackberry</t>
  </si>
  <si>
    <t>1,34</t>
  </si>
  <si>
    <t>Syrup, grenadine</t>
  </si>
  <si>
    <t>Syrup, maple</t>
  </si>
  <si>
    <t>1,32</t>
  </si>
  <si>
    <t>Syrup, pancake</t>
  </si>
  <si>
    <t>1,312</t>
  </si>
  <si>
    <t>Miscellaneous foods</t>
  </si>
  <si>
    <t>Baking powder</t>
  </si>
  <si>
    <t>Gelatin</t>
  </si>
  <si>
    <t>Monosodium glutamate</t>
  </si>
  <si>
    <t>1,62</t>
  </si>
  <si>
    <t>Mustard powdered</t>
  </si>
  <si>
    <t>Protein supplement</t>
  </si>
  <si>
    <t>Salad dressing</t>
  </si>
  <si>
    <t>Salt, sodium chloride</t>
  </si>
  <si>
    <t>2,165</t>
  </si>
  <si>
    <t>Salt, fine table</t>
  </si>
  <si>
    <t>Salt, granulated</t>
  </si>
  <si>
    <t>1,28</t>
  </si>
  <si>
    <t>Salt, table</t>
  </si>
  <si>
    <t>1,217</t>
  </si>
  <si>
    <t>Sauce, soy</t>
  </si>
  <si>
    <t>Sodium bicarbonate</t>
  </si>
  <si>
    <t>Vitamin additive</t>
  </si>
  <si>
    <t>Vitamin compound</t>
  </si>
  <si>
    <t>Vitamin enrichment</t>
  </si>
  <si>
    <t>Vitamin mix</t>
  </si>
  <si>
    <t>Vitamin powder</t>
  </si>
  <si>
    <t>Yeast</t>
  </si>
  <si>
    <t>Soups</t>
  </si>
  <si>
    <t>Bean soup</t>
  </si>
  <si>
    <t>Cheddar cheese soup</t>
  </si>
  <si>
    <t>Chicken noodle soup</t>
  </si>
  <si>
    <t>Egg drop soup</t>
  </si>
  <si>
    <t>Mushroom soup</t>
  </si>
  <si>
    <t>Soup, meat</t>
  </si>
  <si>
    <t>Soup, mixed</t>
  </si>
  <si>
    <t>Soup, thick (squash, potato)</t>
  </si>
  <si>
    <t>Soup, vegetable</t>
  </si>
  <si>
    <t>Tomato soup</t>
  </si>
  <si>
    <t>Mixed dishes</t>
  </si>
  <si>
    <t>Beef and noodles (no sauce)</t>
  </si>
  <si>
    <t>Beef and noodles in gravy (mixture)</t>
  </si>
  <si>
    <t>Beef stew, canned</t>
  </si>
  <si>
    <t>Beef, noodles and vegetables (no sauce)</t>
  </si>
  <si>
    <t>Broccoli casserole</t>
  </si>
  <si>
    <t>Cheese tortellini</t>
  </si>
  <si>
    <t>Chicken and dumplings (mixture)</t>
  </si>
  <si>
    <t>Eggplant parmesan</t>
  </si>
  <si>
    <t>Githeri (muthugo + beans) + meat</t>
  </si>
  <si>
    <t>Githeri (muthugo + beans) + meat + vegetable + potato/banana</t>
  </si>
  <si>
    <t>Githeri (muthugo + beans) + onion, boiled with fat</t>
  </si>
  <si>
    <t>Githeri (muthugo + beans) + potato/banana</t>
  </si>
  <si>
    <t>Githeri (muthugo + beans) + vegetable</t>
  </si>
  <si>
    <t>Githeri (muthugo + beans) + vegetable + meat</t>
  </si>
  <si>
    <t>Githeri + meat</t>
  </si>
  <si>
    <t>Githeri + meat + vegetable + potato/banana</t>
  </si>
  <si>
    <t>Githeri + onion, boiled with fat</t>
  </si>
  <si>
    <t>Githeri + peas</t>
  </si>
  <si>
    <t>Githeri + potato/banana</t>
  </si>
  <si>
    <t>1,10</t>
  </si>
  <si>
    <t>Githeri + roots + vegetable</t>
  </si>
  <si>
    <t>Githeri + vegetable</t>
  </si>
  <si>
    <t>1,30</t>
  </si>
  <si>
    <t>Githeri + vegetable + meat</t>
  </si>
  <si>
    <t>Githeri + vegetable + potato/banana</t>
  </si>
  <si>
    <t>Githeri plain (muthugo + beans + water)</t>
  </si>
  <si>
    <t>Githeri, beans + vegetable + potatoes</t>
  </si>
  <si>
    <t>Githeri, maize + peas</t>
  </si>
  <si>
    <t>Githeri, plain (maize + beans + water)</t>
  </si>
  <si>
    <t>Gitwero, banana + beans</t>
  </si>
  <si>
    <t>1,20</t>
  </si>
  <si>
    <t>Gitwero, banana + beans + vegetable</t>
  </si>
  <si>
    <t>Gitwero, banana + potato + beans</t>
  </si>
  <si>
    <t>Gitwero, banana + vegetable</t>
  </si>
  <si>
    <t>Gitwero, banana, boiled with fat</t>
  </si>
  <si>
    <t>1,19</t>
  </si>
  <si>
    <t>Gitwero, banana/potato</t>
  </si>
  <si>
    <t>Gitwero, banana/potato + meat</t>
  </si>
  <si>
    <t>Gitwero, banana/potato + vegetable</t>
  </si>
  <si>
    <t>1,22</t>
  </si>
  <si>
    <t>Gitwero, root (yam, arrowroot, etc.)</t>
  </si>
  <si>
    <t>Gitwero, roots + banana</t>
  </si>
  <si>
    <t>Green bean casserole</t>
  </si>
  <si>
    <t>Lasagna</t>
  </si>
  <si>
    <t>Macaroni and cheese, canned</t>
  </si>
  <si>
    <t>Mataha (Maize stew) (Maize stew), maize + peas</t>
  </si>
  <si>
    <t>0,86</t>
  </si>
  <si>
    <t>Mataha (maize stew), beans + banana</t>
  </si>
  <si>
    <t>Mataha (maize stew), beans + banana + potato</t>
  </si>
  <si>
    <t>1,25</t>
  </si>
  <si>
    <t>Mataha (maize stew), beans + banana + potato + vegetable</t>
  </si>
  <si>
    <t>1,15</t>
  </si>
  <si>
    <t>Mataha (maize stew), beans + potato/banana + vegetable</t>
  </si>
  <si>
    <t>Mataha (maize stew), beans + vegetable</t>
  </si>
  <si>
    <t>Mataha (maize stew), beans + vegetable + banana</t>
  </si>
  <si>
    <t>Mataha (maize stew), maize + banana</t>
  </si>
  <si>
    <t>Mataha (maize stew), maize + banana/potato + vegetable</t>
  </si>
  <si>
    <t>Mataha (maize stew), maize + beans + potato</t>
  </si>
  <si>
    <t>Mataha (maize stew), maize + beans + potato + vegetable</t>
  </si>
  <si>
    <t>Mataha (maize stew), maize + beans + potato, boiled with fat</t>
  </si>
  <si>
    <t>Mataha (maize stew), maize + beans + vegetable + banana</t>
  </si>
  <si>
    <t>Mataha (maize stew), maize + vegetable</t>
  </si>
  <si>
    <t>Mataha (maize stew), paw paw</t>
  </si>
  <si>
    <t>1,33</t>
  </si>
  <si>
    <t>Mexican casserole w/beef, beans, cheese, chips</t>
  </si>
  <si>
    <t>Mini ravioli, canned</t>
  </si>
  <si>
    <t>Moussaka</t>
  </si>
  <si>
    <t>Muthugo (maize without germ and cover) only</t>
  </si>
  <si>
    <t>Noodles/pasta with fat</t>
  </si>
  <si>
    <t>0,80</t>
  </si>
  <si>
    <t>Rice + beans</t>
  </si>
  <si>
    <t>Rice + beans + potato/banana</t>
  </si>
  <si>
    <t>Rice + meat</t>
  </si>
  <si>
    <t>Rice + meat + vegetable</t>
  </si>
  <si>
    <t>Rice + potato/banana</t>
  </si>
  <si>
    <t>Rice + roots (yam, arrowroot etc.)</t>
  </si>
  <si>
    <t>Rice + vegetable</t>
  </si>
  <si>
    <t>Rice + vegetable + potato/banana</t>
  </si>
  <si>
    <t>Rice, plain (rice + water)</t>
  </si>
  <si>
    <t>Spaghetti and meat balls, canned</t>
  </si>
  <si>
    <t>Stew, banana</t>
  </si>
  <si>
    <t>Stew, banana + potato + vegetable</t>
  </si>
  <si>
    <t>Stew, beans</t>
  </si>
  <si>
    <t>Stew, beans/ peas + meat + vegetables</t>
  </si>
  <si>
    <t>Stew, beans/ peas + vegetables</t>
  </si>
  <si>
    <t>Stew, meat</t>
  </si>
  <si>
    <t>Stew, pea + potato/banana</t>
  </si>
  <si>
    <t>Stew, pea + potato/banana + vegetable</t>
  </si>
  <si>
    <t>Stew, potato</t>
  </si>
  <si>
    <t>Stew, potato + beans + vegetable</t>
  </si>
  <si>
    <t>Stew, vegetable</t>
  </si>
  <si>
    <t>Stew, vegetable + meat</t>
  </si>
  <si>
    <t>Stew, vegetable + potato</t>
  </si>
  <si>
    <t>Stew, vegetable + potato + meat</t>
  </si>
  <si>
    <t>Stew: eggs + veg</t>
  </si>
  <si>
    <t>Tuna noodle casserole</t>
  </si>
  <si>
    <t>Ugali + beans</t>
  </si>
  <si>
    <t>Ugali + beans + vegetable</t>
  </si>
  <si>
    <t>Ugali + vegetable, crumbed</t>
  </si>
  <si>
    <t>Ugali + vegetables, boiled with fat</t>
  </si>
  <si>
    <t>Ugali, plain (flour + water), crumbed</t>
  </si>
  <si>
    <t>Wieners and sauerkraut (mixture)</t>
  </si>
  <si>
    <t>Zesty Italian ‘‘hamburger helper’’</t>
  </si>
  <si>
    <t>total 83</t>
  </si>
  <si>
    <t>Total weight</t>
  </si>
  <si>
    <t>CF per 100 grams</t>
  </si>
  <si>
    <t>CF per 100g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</si>
</sst>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0"/>
    <numFmt numFmtId="165" formatCode="m/d"/>
    <numFmt numFmtId="166" formatCode="m\-d"/>
    <numFmt numFmtId="167" formatCode="#,##0.0000000000"/>
    <numFmt numFmtId="168" formatCode="0.00000"/>
    <numFmt numFmtId="169" formatCode="yyyy\,\ m"/>
    <numFmt numFmtId="170" formatCode="m\,\ d"/>
  </numFmts>
  <fonts count="46">
    <font>
      <sz val="10"/>
      <color rgb="FF000000"/>
      <name val="Arial"/>
      <scheme val="minor"/>
    </font>
    <font>
      <sz val="11"/>
      <color rgb="FF000000"/>
      <name val="Calibri"/>
      <family val="2"/>
    </font>
    <font>
      <b/>
      <sz val="11"/>
      <color theme="1"/>
      <name val="Calibri"/>
      <family val="2"/>
    </font>
    <font>
      <u/>
      <sz val="11"/>
      <color rgb="FF000000"/>
      <name val="Calibri"/>
      <family val="2"/>
    </font>
    <font>
      <sz val="10"/>
      <color theme="1"/>
      <name val="Arial"/>
      <family val="2"/>
      <scheme val="minor"/>
    </font>
    <font>
      <b/>
      <sz val="11"/>
      <color rgb="FF000000"/>
      <name val="Calibri"/>
      <family val="2"/>
    </font>
    <font>
      <sz val="11"/>
      <color theme="1"/>
      <name val="Calibri"/>
      <family val="2"/>
    </font>
    <font>
      <u/>
      <sz val="11"/>
      <color rgb="FF000000"/>
      <name val="Calibri"/>
      <family val="2"/>
    </font>
    <font>
      <b/>
      <sz val="10"/>
      <color theme="1"/>
      <name val="Arial"/>
      <family val="2"/>
      <scheme val="minor"/>
    </font>
    <font>
      <sz val="10"/>
      <color rgb="FF000000"/>
      <name val="Arial"/>
      <family val="2"/>
    </font>
    <font>
      <b/>
      <sz val="20"/>
      <color theme="1"/>
      <name val="Arial"/>
      <family val="2"/>
    </font>
    <font>
      <b/>
      <sz val="20"/>
      <color theme="1"/>
      <name val="Arial"/>
      <family val="2"/>
      <scheme val="minor"/>
    </font>
    <font>
      <sz val="10"/>
      <color theme="1"/>
      <name val="Arial"/>
      <family val="2"/>
    </font>
    <font>
      <sz val="20"/>
      <color theme="1"/>
      <name val="Arial"/>
      <family val="2"/>
      <scheme val="minor"/>
    </font>
    <font>
      <b/>
      <sz val="10"/>
      <color theme="1"/>
      <name val="Arial"/>
      <family val="2"/>
    </font>
    <font>
      <sz val="10"/>
      <color theme="1"/>
      <name val="Arial"/>
      <family val="2"/>
      <scheme val="minor"/>
    </font>
    <font>
      <b/>
      <sz val="10"/>
      <color theme="1"/>
      <name val="Arial"/>
      <family val="2"/>
      <scheme val="minor"/>
    </font>
    <font>
      <u/>
      <sz val="10"/>
      <color rgb="FF0000FF"/>
      <name val="Arial"/>
      <family val="2"/>
    </font>
    <font>
      <u/>
      <sz val="10"/>
      <color rgb="FF1155CC"/>
      <name val="Arial"/>
      <family val="2"/>
    </font>
    <font>
      <u/>
      <sz val="10"/>
      <color rgb="FF1155CC"/>
      <name val="Arial"/>
      <family val="2"/>
    </font>
    <font>
      <u/>
      <sz val="10"/>
      <color rgb="FF0000FF"/>
      <name val="Arial"/>
      <family val="2"/>
    </font>
    <font>
      <u/>
      <sz val="10"/>
      <color rgb="FF1155CC"/>
      <name val="Arial"/>
      <family val="2"/>
    </font>
    <font>
      <u/>
      <sz val="10"/>
      <color rgb="FF0000FF"/>
      <name val="Arial"/>
      <family val="2"/>
    </font>
    <font>
      <u/>
      <sz val="10"/>
      <color rgb="FF1155CC"/>
      <name val="Arial"/>
      <family val="2"/>
    </font>
    <font>
      <sz val="10"/>
      <color rgb="FF000000"/>
      <name val="Arial"/>
      <family val="2"/>
      <scheme val="minor"/>
    </font>
    <font>
      <u/>
      <sz val="11"/>
      <color rgb="FF0000FF"/>
      <name val="Calibri"/>
      <family val="2"/>
    </font>
    <font>
      <sz val="11"/>
      <color rgb="FF1F1F1F"/>
      <name val="Calibri"/>
      <family val="2"/>
    </font>
    <font>
      <b/>
      <sz val="12"/>
      <color rgb="FF000000"/>
      <name val="&quot;Times New Roman&quot;"/>
    </font>
    <font>
      <b/>
      <sz val="11"/>
      <color rgb="FF000000"/>
      <name val="&quot;Times New Roman&quot;"/>
    </font>
    <font>
      <b/>
      <sz val="8"/>
      <color rgb="FF000000"/>
      <name val="&quot;Times New Roman&quot;"/>
    </font>
    <font>
      <sz val="8"/>
      <color rgb="FF000000"/>
      <name val="&quot;Times New Roman&quot;"/>
    </font>
    <font>
      <u/>
      <sz val="10"/>
      <color rgb="FF0000FF"/>
      <name val="Arial"/>
      <family val="2"/>
    </font>
    <font>
      <sz val="10"/>
      <color rgb="FF000000"/>
      <name val="Myriad-Pro"/>
    </font>
    <font>
      <u/>
      <sz val="10"/>
      <color rgb="FF0000FF"/>
      <name val="Arial"/>
      <family val="2"/>
    </font>
    <font>
      <b/>
      <sz val="12"/>
      <color theme="1"/>
      <name val="Calibri"/>
      <family val="2"/>
    </font>
    <font>
      <sz val="12"/>
      <color theme="1"/>
      <name val="Calibri"/>
      <family val="2"/>
    </font>
    <font>
      <sz val="10"/>
      <color theme="1"/>
      <name val="Calibri"/>
      <family val="2"/>
    </font>
    <font>
      <sz val="10"/>
      <color rgb="FF000000"/>
      <name val="Calibri"/>
      <family val="2"/>
    </font>
    <font>
      <b/>
      <sz val="10"/>
      <color theme="1"/>
      <name val="Calibri"/>
      <family val="2"/>
    </font>
    <font>
      <sz val="10"/>
      <color rgb="FFFF0000"/>
      <name val="Calibri"/>
      <family val="2"/>
    </font>
    <font>
      <b/>
      <sz val="10"/>
      <color rgb="FF000000"/>
      <name val="Calibri"/>
      <family val="2"/>
    </font>
    <font>
      <b/>
      <sz val="12"/>
      <color rgb="FF000000"/>
      <name val="Calibri"/>
      <family val="2"/>
    </font>
    <font>
      <sz val="12"/>
      <color rgb="FF000000"/>
      <name val="Calibri"/>
      <family val="2"/>
    </font>
    <font>
      <b/>
      <sz val="10"/>
      <color theme="1"/>
      <name val="Arial"/>
      <scheme val="minor"/>
    </font>
    <font>
      <sz val="10"/>
      <color theme="1"/>
      <name val="Arial"/>
      <scheme val="minor"/>
    </font>
    <font>
      <sz val="10"/>
      <color theme="1"/>
      <name val="Arial"/>
    </font>
  </fonts>
  <fills count="9">
    <fill>
      <patternFill patternType="none"/>
    </fill>
    <fill>
      <patternFill patternType="gray125"/>
    </fill>
    <fill>
      <patternFill patternType="solid">
        <fgColor rgb="FFFFFFFF"/>
        <bgColor rgb="FFFFFFFF"/>
      </patternFill>
    </fill>
    <fill>
      <patternFill patternType="solid">
        <fgColor rgb="FFFFFF00"/>
        <bgColor rgb="FFFFFF00"/>
      </patternFill>
    </fill>
    <fill>
      <patternFill patternType="solid">
        <fgColor rgb="FFFFF2CC"/>
        <bgColor rgb="FFFFF2CC"/>
      </patternFill>
    </fill>
    <fill>
      <patternFill patternType="solid">
        <fgColor rgb="FFFBE4D5"/>
        <bgColor rgb="FFFBE4D5"/>
      </patternFill>
    </fill>
    <fill>
      <patternFill patternType="solid">
        <fgColor rgb="FFFEF2CB"/>
        <bgColor rgb="FFFEF2CB"/>
      </patternFill>
    </fill>
    <fill>
      <patternFill patternType="solid">
        <fgColor rgb="FFA6A6A6"/>
        <bgColor rgb="FFA6A6A6"/>
      </patternFill>
    </fill>
    <fill>
      <patternFill patternType="solid">
        <fgColor rgb="FFD9D9D9"/>
        <bgColor rgb="FFD9D9D9"/>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diagonal/>
    </border>
    <border>
      <left/>
      <right/>
      <top style="thin">
        <color rgb="FF000000"/>
      </top>
      <bottom style="thin">
        <color rgb="FF000000"/>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94">
    <xf numFmtId="0" fontId="0" fillId="0" borderId="0" xfId="0"/>
    <xf numFmtId="0" fontId="1" fillId="0" borderId="0" xfId="0" applyFont="1"/>
    <xf numFmtId="0" fontId="2" fillId="0" borderId="1" xfId="0" applyFont="1" applyBorder="1" applyAlignment="1">
      <alignment horizontal="center" vertical="top"/>
    </xf>
    <xf numFmtId="0" fontId="3" fillId="0" borderId="0" xfId="0" applyFont="1"/>
    <xf numFmtId="0" fontId="1" fillId="0" borderId="0" xfId="0" applyFont="1" applyAlignment="1">
      <alignment horizontal="right"/>
    </xf>
    <xf numFmtId="0" fontId="5" fillId="0" borderId="0" xfId="0" applyFont="1"/>
    <xf numFmtId="0" fontId="6" fillId="0" borderId="1" xfId="0" applyFont="1" applyBorder="1" applyAlignment="1">
      <alignment horizontal="center" vertical="top"/>
    </xf>
    <xf numFmtId="0" fontId="7" fillId="0" borderId="1" xfId="0" applyFont="1" applyBorder="1" applyAlignment="1">
      <alignment wrapText="1"/>
    </xf>
    <xf numFmtId="0" fontId="8" fillId="0" borderId="2" xfId="0" applyFont="1" applyBorder="1" applyAlignment="1">
      <alignment horizontal="center" vertical="center" wrapText="1"/>
    </xf>
    <xf numFmtId="0" fontId="4" fillId="0" borderId="2" xfId="0" applyFont="1" applyBorder="1" applyAlignment="1">
      <alignment horizontal="center" vertical="center" wrapText="1"/>
    </xf>
    <xf numFmtId="0" fontId="4" fillId="0" borderId="0" xfId="0" applyFont="1"/>
    <xf numFmtId="0" fontId="9" fillId="0" borderId="3" xfId="0" applyFont="1" applyBorder="1"/>
    <xf numFmtId="0" fontId="1" fillId="0" borderId="3" xfId="0" applyFont="1" applyBorder="1" applyAlignment="1">
      <alignment horizontal="right"/>
    </xf>
    <xf numFmtId="0" fontId="9" fillId="0" borderId="0" xfId="0" applyFont="1"/>
    <xf numFmtId="0" fontId="9" fillId="0" borderId="0" xfId="0" applyFont="1" applyAlignment="1">
      <alignment horizontal="left" wrapText="1"/>
    </xf>
    <xf numFmtId="10" fontId="4" fillId="0" borderId="0" xfId="0" applyNumberFormat="1" applyFont="1"/>
    <xf numFmtId="164" fontId="4" fillId="0" borderId="0" xfId="0" applyNumberFormat="1" applyFont="1"/>
    <xf numFmtId="165" fontId="4" fillId="0" borderId="0" xfId="0" applyNumberFormat="1" applyFont="1"/>
    <xf numFmtId="0" fontId="4" fillId="2" borderId="0" xfId="0" applyFont="1" applyFill="1"/>
    <xf numFmtId="0" fontId="12" fillId="3" borderId="0" xfId="0" applyFont="1" applyFill="1"/>
    <xf numFmtId="0" fontId="12" fillId="0" borderId="0" xfId="0" applyFont="1"/>
    <xf numFmtId="0" fontId="8" fillId="0" borderId="0" xfId="0" applyFont="1"/>
    <xf numFmtId="0" fontId="8" fillId="0" borderId="0" xfId="0" applyFont="1" applyAlignment="1">
      <alignment horizontal="center"/>
    </xf>
    <xf numFmtId="166" fontId="4" fillId="0" borderId="0" xfId="0" applyNumberFormat="1" applyFont="1"/>
    <xf numFmtId="0" fontId="4" fillId="0" borderId="0" xfId="0" applyFont="1" applyAlignment="1">
      <alignment horizontal="left"/>
    </xf>
    <xf numFmtId="4" fontId="4" fillId="0" borderId="0" xfId="0" applyNumberFormat="1" applyFont="1"/>
    <xf numFmtId="0" fontId="13" fillId="0" borderId="0" xfId="0" applyFont="1"/>
    <xf numFmtId="0" fontId="4" fillId="3" borderId="0" xfId="0" applyFont="1" applyFill="1"/>
    <xf numFmtId="0" fontId="14" fillId="0" borderId="0" xfId="0" applyFont="1"/>
    <xf numFmtId="0" fontId="8" fillId="4" borderId="0" xfId="0" applyFont="1" applyFill="1"/>
    <xf numFmtId="0" fontId="4" fillId="4" borderId="0" xfId="0" applyFont="1" applyFill="1"/>
    <xf numFmtId="166" fontId="4" fillId="4" borderId="0" xfId="0" applyNumberFormat="1" applyFont="1" applyFill="1"/>
    <xf numFmtId="0" fontId="8" fillId="2" borderId="0" xfId="0" applyFont="1" applyFill="1"/>
    <xf numFmtId="0" fontId="14" fillId="4" borderId="0" xfId="0" applyFont="1" applyFill="1"/>
    <xf numFmtId="0" fontId="12" fillId="4" borderId="0" xfId="0" applyFont="1" applyFill="1"/>
    <xf numFmtId="0" fontId="12" fillId="4" borderId="0" xfId="0" applyFont="1" applyFill="1" applyAlignment="1">
      <alignment horizontal="right"/>
    </xf>
    <xf numFmtId="0" fontId="12" fillId="0" borderId="0" xfId="0" applyFont="1" applyAlignment="1">
      <alignment horizontal="center"/>
    </xf>
    <xf numFmtId="0" fontId="12" fillId="0" borderId="0" xfId="0" applyFont="1" applyAlignment="1">
      <alignment horizontal="right"/>
    </xf>
    <xf numFmtId="166" fontId="4" fillId="2" borderId="0" xfId="0" applyNumberFormat="1" applyFont="1" applyFill="1"/>
    <xf numFmtId="4" fontId="4" fillId="2" borderId="0" xfId="0" applyNumberFormat="1" applyFont="1" applyFill="1"/>
    <xf numFmtId="167" fontId="1" fillId="2" borderId="0" xfId="0" applyNumberFormat="1" applyFont="1" applyFill="1" applyAlignment="1">
      <alignment horizontal="right"/>
    </xf>
    <xf numFmtId="0" fontId="0" fillId="2" borderId="0" xfId="0" applyFill="1" applyAlignment="1">
      <alignment horizontal="center"/>
    </xf>
    <xf numFmtId="168" fontId="1" fillId="2" borderId="0" xfId="0" applyNumberFormat="1" applyFont="1" applyFill="1" applyAlignment="1">
      <alignment horizontal="right"/>
    </xf>
    <xf numFmtId="168" fontId="4" fillId="0" borderId="0" xfId="0" applyNumberFormat="1" applyFont="1"/>
    <xf numFmtId="168" fontId="6" fillId="2" borderId="0" xfId="0" applyNumberFormat="1" applyFont="1" applyFill="1" applyAlignment="1">
      <alignment horizontal="right"/>
    </xf>
    <xf numFmtId="0" fontId="15" fillId="0" borderId="0" xfId="0" applyFont="1"/>
    <xf numFmtId="0" fontId="2" fillId="0" borderId="1" xfId="0" applyFont="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16" fillId="0" borderId="1" xfId="0" applyFont="1" applyBorder="1" applyAlignment="1">
      <alignment horizontal="center" vertical="center" wrapText="1"/>
    </xf>
    <xf numFmtId="0" fontId="1" fillId="0" borderId="1" xfId="0" applyFont="1" applyBorder="1"/>
    <xf numFmtId="0" fontId="1" fillId="0" borderId="1" xfId="0" applyFont="1" applyBorder="1" applyAlignment="1">
      <alignment horizontal="right"/>
    </xf>
    <xf numFmtId="0" fontId="1" fillId="0" borderId="1" xfId="0" applyFont="1" applyBorder="1" applyAlignment="1">
      <alignment wrapText="1"/>
    </xf>
    <xf numFmtId="0" fontId="4" fillId="0" borderId="1" xfId="0" applyFont="1" applyBorder="1"/>
    <xf numFmtId="0" fontId="0" fillId="2" borderId="1" xfId="0" applyFill="1" applyBorder="1" applyAlignment="1">
      <alignment horizontal="center"/>
    </xf>
    <xf numFmtId="0" fontId="17" fillId="0" borderId="1" xfId="0" applyFont="1" applyBorder="1"/>
    <xf numFmtId="168" fontId="1" fillId="2" borderId="1" xfId="0" applyNumberFormat="1" applyFont="1" applyFill="1" applyBorder="1" applyAlignment="1">
      <alignment horizontal="right"/>
    </xf>
    <xf numFmtId="169" fontId="1" fillId="0" borderId="1" xfId="0" applyNumberFormat="1" applyFont="1" applyBorder="1" applyAlignment="1">
      <alignment horizontal="right"/>
    </xf>
    <xf numFmtId="168" fontId="6" fillId="2" borderId="1" xfId="0" applyNumberFormat="1" applyFont="1" applyFill="1" applyBorder="1" applyAlignment="1">
      <alignment horizontal="right"/>
    </xf>
    <xf numFmtId="0" fontId="6" fillId="0" borderId="1" xfId="0" applyFont="1" applyBorder="1"/>
    <xf numFmtId="0" fontId="6" fillId="0" borderId="1" xfId="0" applyFont="1" applyBorder="1" applyAlignment="1">
      <alignment horizontal="right"/>
    </xf>
    <xf numFmtId="0" fontId="6" fillId="0" borderId="1" xfId="0" applyFont="1" applyBorder="1" applyAlignment="1">
      <alignment wrapText="1"/>
    </xf>
    <xf numFmtId="0" fontId="12" fillId="0" borderId="1" xfId="0" applyFont="1" applyBorder="1" applyAlignment="1">
      <alignment horizontal="right"/>
    </xf>
    <xf numFmtId="0" fontId="12" fillId="0" borderId="1" xfId="0" applyFont="1" applyBorder="1"/>
    <xf numFmtId="0" fontId="15" fillId="3" borderId="1" xfId="0" applyFont="1" applyFill="1" applyBorder="1"/>
    <xf numFmtId="0" fontId="18" fillId="0" borderId="1" xfId="0" applyFont="1" applyBorder="1"/>
    <xf numFmtId="0" fontId="15" fillId="2" borderId="1" xfId="0" applyFont="1" applyFill="1" applyBorder="1" applyAlignment="1">
      <alignment horizontal="center"/>
    </xf>
    <xf numFmtId="170" fontId="1" fillId="0" borderId="1" xfId="0" applyNumberFormat="1" applyFont="1" applyBorder="1" applyAlignment="1">
      <alignment wrapText="1"/>
    </xf>
    <xf numFmtId="0" fontId="15" fillId="0" borderId="1" xfId="0" applyFont="1" applyBorder="1"/>
    <xf numFmtId="0" fontId="6" fillId="2" borderId="1" xfId="0" applyFont="1" applyFill="1" applyBorder="1"/>
    <xf numFmtId="0" fontId="6" fillId="2" borderId="1" xfId="0" applyFont="1" applyFill="1" applyBorder="1" applyAlignment="1">
      <alignment horizontal="right"/>
    </xf>
    <xf numFmtId="0" fontId="6" fillId="2" borderId="1" xfId="0" applyFont="1" applyFill="1" applyBorder="1" applyAlignment="1">
      <alignment wrapText="1"/>
    </xf>
    <xf numFmtId="0" fontId="12" fillId="2" borderId="1" xfId="0" applyFont="1" applyFill="1" applyBorder="1"/>
    <xf numFmtId="0" fontId="12" fillId="2" borderId="1" xfId="0" applyFont="1" applyFill="1" applyBorder="1" applyAlignment="1">
      <alignment horizontal="right"/>
    </xf>
    <xf numFmtId="0" fontId="19" fillId="2" borderId="1" xfId="0" applyFont="1" applyFill="1" applyBorder="1"/>
    <xf numFmtId="0" fontId="1" fillId="2" borderId="1" xfId="0" applyFont="1" applyFill="1" applyBorder="1"/>
    <xf numFmtId="0" fontId="1" fillId="2" borderId="1" xfId="0" applyFont="1" applyFill="1" applyBorder="1" applyAlignment="1">
      <alignment horizontal="right"/>
    </xf>
    <xf numFmtId="0" fontId="1" fillId="2" borderId="1" xfId="0" applyFont="1" applyFill="1" applyBorder="1" applyAlignment="1">
      <alignment wrapText="1"/>
    </xf>
    <xf numFmtId="0" fontId="0" fillId="3" borderId="1" xfId="0" applyFill="1" applyBorder="1" applyAlignment="1">
      <alignment horizontal="center"/>
    </xf>
    <xf numFmtId="0" fontId="1" fillId="3" borderId="1" xfId="0" applyFont="1" applyFill="1" applyBorder="1"/>
    <xf numFmtId="0" fontId="4" fillId="3" borderId="1" xfId="0" applyFont="1" applyFill="1" applyBorder="1"/>
    <xf numFmtId="0" fontId="4" fillId="2" borderId="1" xfId="0" applyFont="1" applyFill="1" applyBorder="1"/>
    <xf numFmtId="0" fontId="20" fillId="2" borderId="1" xfId="0" applyFont="1" applyFill="1" applyBorder="1"/>
    <xf numFmtId="0" fontId="21" fillId="0" borderId="1" xfId="0" applyFont="1" applyBorder="1"/>
    <xf numFmtId="170" fontId="6" fillId="0" borderId="1" xfId="0" applyNumberFormat="1" applyFont="1" applyBorder="1" applyAlignment="1">
      <alignment horizontal="right" wrapText="1"/>
    </xf>
    <xf numFmtId="168" fontId="12" fillId="0" borderId="1" xfId="0" applyNumberFormat="1" applyFont="1" applyBorder="1" applyAlignment="1">
      <alignment horizontal="right"/>
    </xf>
    <xf numFmtId="0" fontId="12" fillId="3" borderId="1" xfId="0" applyFont="1" applyFill="1" applyBorder="1"/>
    <xf numFmtId="0" fontId="22" fillId="0" borderId="1" xfId="0" applyFont="1" applyBorder="1"/>
    <xf numFmtId="165" fontId="1" fillId="0" borderId="1" xfId="0" applyNumberFormat="1" applyFont="1" applyBorder="1" applyAlignment="1">
      <alignment horizontal="right"/>
    </xf>
    <xf numFmtId="0" fontId="23" fillId="0" borderId="1" xfId="0" applyFont="1" applyBorder="1"/>
    <xf numFmtId="0" fontId="24" fillId="0" borderId="1" xfId="0" applyFont="1" applyBorder="1"/>
    <xf numFmtId="0" fontId="25" fillId="0" borderId="1" xfId="0" applyFont="1" applyBorder="1"/>
    <xf numFmtId="168" fontId="6" fillId="0" borderId="1" xfId="0" applyNumberFormat="1" applyFont="1" applyBorder="1" applyAlignment="1">
      <alignment horizontal="right"/>
    </xf>
    <xf numFmtId="170" fontId="1" fillId="2" borderId="1" xfId="0" applyNumberFormat="1" applyFont="1" applyFill="1" applyBorder="1" applyAlignment="1">
      <alignment wrapText="1"/>
    </xf>
    <xf numFmtId="0" fontId="0" fillId="2" borderId="1" xfId="0" applyFill="1" applyBorder="1" applyAlignment="1">
      <alignment horizontal="right"/>
    </xf>
    <xf numFmtId="0" fontId="26" fillId="0" borderId="1" xfId="0" applyFont="1" applyBorder="1"/>
    <xf numFmtId="4" fontId="6" fillId="0" borderId="1" xfId="0" applyNumberFormat="1" applyFont="1" applyBorder="1" applyAlignment="1">
      <alignment horizontal="right"/>
    </xf>
    <xf numFmtId="0" fontId="12" fillId="2" borderId="1" xfId="0" applyFont="1" applyFill="1" applyBorder="1" applyAlignment="1">
      <alignment horizontal="center"/>
    </xf>
    <xf numFmtId="0" fontId="2" fillId="0" borderId="0" xfId="0" applyFont="1" applyAlignment="1">
      <alignment horizontal="center" vertical="top"/>
    </xf>
    <xf numFmtId="0" fontId="6" fillId="0" borderId="0" xfId="0" applyFont="1"/>
    <xf numFmtId="0" fontId="6" fillId="0" borderId="0" xfId="0" applyFont="1" applyAlignment="1">
      <alignment horizontal="right"/>
    </xf>
    <xf numFmtId="4" fontId="1" fillId="0" borderId="1" xfId="0" applyNumberFormat="1" applyFont="1" applyBorder="1"/>
    <xf numFmtId="0" fontId="6" fillId="0" borderId="1" xfId="0" applyFont="1" applyBorder="1" applyAlignment="1">
      <alignment horizontal="right" wrapText="1"/>
    </xf>
    <xf numFmtId="0" fontId="8" fillId="0" borderId="1" xfId="0" applyFont="1" applyBorder="1" applyAlignment="1">
      <alignment horizontal="center"/>
    </xf>
    <xf numFmtId="0" fontId="1" fillId="0" borderId="0" xfId="0" applyFont="1" applyAlignment="1">
      <alignment wrapText="1"/>
    </xf>
    <xf numFmtId="0" fontId="6" fillId="0" borderId="0" xfId="0" applyFont="1" applyAlignment="1">
      <alignment wrapText="1"/>
    </xf>
    <xf numFmtId="170" fontId="1" fillId="0" borderId="0" xfId="0" applyNumberFormat="1" applyFont="1" applyAlignment="1">
      <alignment wrapText="1"/>
    </xf>
    <xf numFmtId="165" fontId="1" fillId="0" borderId="0" xfId="0" applyNumberFormat="1" applyFont="1" applyAlignment="1">
      <alignment horizontal="right"/>
    </xf>
    <xf numFmtId="0" fontId="28" fillId="2" borderId="0" xfId="0" applyFont="1" applyFill="1" applyAlignment="1">
      <alignment horizontal="center"/>
    </xf>
    <xf numFmtId="0" fontId="28" fillId="2" borderId="0" xfId="0" applyFont="1" applyFill="1"/>
    <xf numFmtId="0" fontId="1" fillId="2" borderId="0" xfId="0" applyFont="1" applyFill="1" applyAlignment="1">
      <alignment horizontal="center"/>
    </xf>
    <xf numFmtId="0" fontId="1" fillId="2" borderId="0" xfId="0" applyFont="1" applyFill="1"/>
    <xf numFmtId="0" fontId="29" fillId="2" borderId="3" xfId="0" applyFont="1" applyFill="1" applyBorder="1" applyAlignment="1">
      <alignment horizontal="center"/>
    </xf>
    <xf numFmtId="0" fontId="1" fillId="2" borderId="2" xfId="0" applyFont="1" applyFill="1" applyBorder="1" applyAlignment="1">
      <alignment horizontal="center"/>
    </xf>
    <xf numFmtId="0" fontId="1" fillId="2" borderId="2" xfId="0" applyFont="1" applyFill="1" applyBorder="1"/>
    <xf numFmtId="0" fontId="29" fillId="2" borderId="2" xfId="0" applyFont="1" applyFill="1" applyBorder="1" applyAlignment="1">
      <alignment horizontal="center"/>
    </xf>
    <xf numFmtId="0" fontId="30" fillId="2" borderId="0" xfId="0" applyFont="1" applyFill="1" applyAlignment="1">
      <alignment horizontal="center"/>
    </xf>
    <xf numFmtId="0" fontId="30" fillId="2" borderId="0" xfId="0" applyFont="1" applyFill="1"/>
    <xf numFmtId="0" fontId="30" fillId="2" borderId="2" xfId="0" applyFont="1" applyFill="1" applyBorder="1" applyAlignment="1">
      <alignment horizontal="center"/>
    </xf>
    <xf numFmtId="0" fontId="30" fillId="2" borderId="2" xfId="0" applyFont="1" applyFill="1" applyBorder="1"/>
    <xf numFmtId="0" fontId="6" fillId="0" borderId="2" xfId="0" applyFont="1" applyBorder="1"/>
    <xf numFmtId="0" fontId="5" fillId="2" borderId="2" xfId="0" applyFont="1" applyFill="1" applyBorder="1" applyAlignment="1">
      <alignment horizontal="center"/>
    </xf>
    <xf numFmtId="0" fontId="5" fillId="2" borderId="2" xfId="0" applyFont="1" applyFill="1" applyBorder="1"/>
    <xf numFmtId="0" fontId="2" fillId="2" borderId="4" xfId="0" applyFont="1" applyFill="1" applyBorder="1" applyAlignment="1">
      <alignment horizontal="center"/>
    </xf>
    <xf numFmtId="0" fontId="2" fillId="2" borderId="4" xfId="0" applyFont="1" applyFill="1" applyBorder="1"/>
    <xf numFmtId="0" fontId="5" fillId="2" borderId="0" xfId="0" applyFont="1" applyFill="1"/>
    <xf numFmtId="0" fontId="6" fillId="2" borderId="0" xfId="0" applyFont="1" applyFill="1" applyAlignment="1">
      <alignment horizontal="right"/>
    </xf>
    <xf numFmtId="0" fontId="6" fillId="2" borderId="0" xfId="0" applyFont="1" applyFill="1"/>
    <xf numFmtId="0" fontId="1" fillId="2" borderId="0" xfId="0" applyFont="1" applyFill="1" applyAlignment="1">
      <alignment horizontal="left"/>
    </xf>
    <xf numFmtId="0" fontId="1" fillId="5" borderId="0" xfId="0" applyFont="1" applyFill="1" applyAlignment="1">
      <alignment horizontal="center"/>
    </xf>
    <xf numFmtId="0" fontId="1" fillId="5" borderId="0" xfId="0" applyFont="1" applyFill="1" applyAlignment="1">
      <alignment horizontal="left"/>
    </xf>
    <xf numFmtId="0" fontId="1" fillId="2" borderId="0" xfId="0" applyFont="1" applyFill="1" applyAlignment="1">
      <alignment horizontal="right"/>
    </xf>
    <xf numFmtId="168" fontId="6" fillId="2" borderId="0" xfId="0" applyNumberFormat="1" applyFont="1" applyFill="1"/>
    <xf numFmtId="168" fontId="1" fillId="2" borderId="0" xfId="0" applyNumberFormat="1" applyFont="1" applyFill="1"/>
    <xf numFmtId="3" fontId="1" fillId="2" borderId="0" xfId="0" applyNumberFormat="1" applyFont="1" applyFill="1" applyAlignment="1">
      <alignment horizontal="right"/>
    </xf>
    <xf numFmtId="3" fontId="6" fillId="2" borderId="0" xfId="0" applyNumberFormat="1" applyFont="1" applyFill="1" applyAlignment="1">
      <alignment horizontal="right"/>
    </xf>
    <xf numFmtId="0" fontId="1" fillId="6" borderId="0" xfId="0" applyFont="1" applyFill="1" applyAlignment="1">
      <alignment horizontal="center"/>
    </xf>
    <xf numFmtId="0" fontId="1" fillId="6" borderId="0" xfId="0" applyFont="1" applyFill="1" applyAlignment="1">
      <alignment horizontal="left"/>
    </xf>
    <xf numFmtId="168" fontId="1" fillId="6" borderId="0" xfId="0" applyNumberFormat="1" applyFont="1" applyFill="1" applyAlignment="1">
      <alignment horizontal="center"/>
    </xf>
    <xf numFmtId="0" fontId="1" fillId="0" borderId="0" xfId="0" applyFont="1" applyAlignment="1">
      <alignment horizontal="left"/>
    </xf>
    <xf numFmtId="168" fontId="6" fillId="0" borderId="0" xfId="0" applyNumberFormat="1" applyFont="1" applyAlignment="1">
      <alignment horizontal="right"/>
    </xf>
    <xf numFmtId="3" fontId="6" fillId="0" borderId="0" xfId="0" applyNumberFormat="1" applyFont="1" applyAlignment="1">
      <alignment horizontal="right"/>
    </xf>
    <xf numFmtId="0" fontId="5" fillId="2" borderId="0" xfId="0" applyFont="1" applyFill="1" applyAlignment="1">
      <alignment horizontal="left"/>
    </xf>
    <xf numFmtId="0" fontId="1" fillId="5" borderId="2" xfId="0" applyFont="1" applyFill="1" applyBorder="1" applyAlignment="1">
      <alignment horizontal="center"/>
    </xf>
    <xf numFmtId="0" fontId="1" fillId="5" borderId="2" xfId="0" applyFont="1" applyFill="1" applyBorder="1" applyAlignment="1">
      <alignment horizontal="left"/>
    </xf>
    <xf numFmtId="0" fontId="6" fillId="2" borderId="2" xfId="0" applyFont="1" applyFill="1" applyBorder="1" applyAlignment="1">
      <alignment horizontal="right"/>
    </xf>
    <xf numFmtId="168" fontId="6" fillId="2" borderId="2" xfId="0" applyNumberFormat="1" applyFont="1" applyFill="1" applyBorder="1" applyAlignment="1">
      <alignment horizontal="right"/>
    </xf>
    <xf numFmtId="0" fontId="31" fillId="0" borderId="0" xfId="0" applyFont="1"/>
    <xf numFmtId="0" fontId="32" fillId="2" borderId="0" xfId="0" applyFont="1" applyFill="1"/>
    <xf numFmtId="0" fontId="9" fillId="2" borderId="0" xfId="0" applyFont="1" applyFill="1"/>
    <xf numFmtId="0" fontId="33" fillId="0" borderId="0" xfId="0" applyFont="1"/>
    <xf numFmtId="0" fontId="34" fillId="7" borderId="0" xfId="0" applyFont="1" applyFill="1" applyAlignment="1">
      <alignment horizontal="left" vertical="top"/>
    </xf>
    <xf numFmtId="0" fontId="34" fillId="7" borderId="0" xfId="0" applyFont="1" applyFill="1" applyAlignment="1">
      <alignment horizontal="center" vertical="top"/>
    </xf>
    <xf numFmtId="0" fontId="34" fillId="8" borderId="0" xfId="0" applyFont="1" applyFill="1" applyAlignment="1">
      <alignment horizontal="left" vertical="top"/>
    </xf>
    <xf numFmtId="49" fontId="35" fillId="8" borderId="0" xfId="0" applyNumberFormat="1" applyFont="1" applyFill="1" applyAlignment="1">
      <alignment horizontal="left" vertical="top"/>
    </xf>
    <xf numFmtId="0" fontId="35" fillId="8" borderId="0" xfId="0" applyFont="1" applyFill="1" applyAlignment="1">
      <alignment horizontal="left" vertical="top"/>
    </xf>
    <xf numFmtId="0" fontId="35" fillId="8" borderId="0" xfId="0" applyFont="1" applyFill="1" applyAlignment="1">
      <alignment horizontal="center" vertical="top"/>
    </xf>
    <xf numFmtId="0" fontId="36" fillId="0" borderId="0" xfId="0" applyFont="1" applyAlignment="1">
      <alignment horizontal="left" vertical="top"/>
    </xf>
    <xf numFmtId="49" fontId="36" fillId="0" borderId="0" xfId="0" applyNumberFormat="1" applyFont="1" applyAlignment="1">
      <alignment horizontal="left" vertical="top"/>
    </xf>
    <xf numFmtId="0" fontId="36" fillId="0" borderId="0" xfId="0" applyFont="1" applyAlignment="1">
      <alignment horizontal="center" vertical="top"/>
    </xf>
    <xf numFmtId="0" fontId="37" fillId="0" borderId="0" xfId="0" applyFont="1" applyAlignment="1">
      <alignment horizontal="left" vertical="top"/>
    </xf>
    <xf numFmtId="49" fontId="37" fillId="0" borderId="0" xfId="0" applyNumberFormat="1" applyFont="1" applyAlignment="1">
      <alignment horizontal="left" vertical="top"/>
    </xf>
    <xf numFmtId="49" fontId="34" fillId="8" borderId="0" xfId="0" applyNumberFormat="1" applyFont="1" applyFill="1" applyAlignment="1">
      <alignment horizontal="left" vertical="top"/>
    </xf>
    <xf numFmtId="0" fontId="34" fillId="8" borderId="0" xfId="0" applyFont="1" applyFill="1" applyAlignment="1">
      <alignment horizontal="center" vertical="top"/>
    </xf>
    <xf numFmtId="0" fontId="38" fillId="0" borderId="0" xfId="0" applyFont="1" applyAlignment="1">
      <alignment horizontal="left" vertical="top"/>
    </xf>
    <xf numFmtId="49" fontId="35" fillId="0" borderId="0" xfId="0" applyNumberFormat="1" applyFont="1" applyAlignment="1">
      <alignment horizontal="left" vertical="top"/>
    </xf>
    <xf numFmtId="0" fontId="35" fillId="0" borderId="0" xfId="0" applyFont="1" applyAlignment="1">
      <alignment horizontal="left" vertical="top"/>
    </xf>
    <xf numFmtId="0" fontId="35" fillId="0" borderId="0" xfId="0" applyFont="1" applyAlignment="1">
      <alignment horizontal="center" vertical="top"/>
    </xf>
    <xf numFmtId="0" fontId="39" fillId="0" borderId="0" xfId="0" applyFont="1" applyAlignment="1">
      <alignment horizontal="center" vertical="top"/>
    </xf>
    <xf numFmtId="49" fontId="38" fillId="0" borderId="0" xfId="0" applyNumberFormat="1" applyFont="1" applyAlignment="1">
      <alignment horizontal="left" vertical="top"/>
    </xf>
    <xf numFmtId="0" fontId="38" fillId="0" borderId="0" xfId="0" applyFont="1" applyAlignment="1">
      <alignment horizontal="center" vertical="top"/>
    </xf>
    <xf numFmtId="0" fontId="40" fillId="0" borderId="0" xfId="0" applyFont="1" applyAlignment="1">
      <alignment horizontal="left" vertical="top"/>
    </xf>
    <xf numFmtId="0" fontId="41" fillId="8" borderId="0" xfId="0" applyFont="1" applyFill="1" applyAlignment="1">
      <alignment horizontal="left" vertical="top"/>
    </xf>
    <xf numFmtId="49" fontId="42" fillId="8" borderId="0" xfId="0" applyNumberFormat="1" applyFont="1" applyFill="1" applyAlignment="1">
      <alignment horizontal="left" vertical="top"/>
    </xf>
    <xf numFmtId="0" fontId="43" fillId="0" borderId="0" xfId="0" applyFont="1"/>
    <xf numFmtId="0" fontId="44" fillId="0" borderId="0" xfId="0" applyFont="1"/>
    <xf numFmtId="0" fontId="44" fillId="4" borderId="0" xfId="0" applyFont="1" applyFill="1"/>
    <xf numFmtId="0" fontId="44" fillId="2" borderId="0" xfId="0" applyFont="1" applyFill="1"/>
    <xf numFmtId="0" fontId="45" fillId="4" borderId="0" xfId="0" applyFont="1" applyFill="1" applyAlignment="1">
      <alignment horizontal="right"/>
    </xf>
    <xf numFmtId="0" fontId="4" fillId="0" borderId="0" xfId="0" applyFont="1" applyAlignment="1">
      <alignment horizontal="center"/>
    </xf>
    <xf numFmtId="0" fontId="0" fillId="0" borderId="0" xfId="0"/>
    <xf numFmtId="0" fontId="10" fillId="0" borderId="0" xfId="0" applyFont="1"/>
    <xf numFmtId="0" fontId="11" fillId="0" borderId="0" xfId="0" applyFont="1"/>
    <xf numFmtId="0" fontId="8" fillId="0" borderId="0" xfId="0" applyFont="1" applyAlignment="1">
      <alignment horizontal="center"/>
    </xf>
    <xf numFmtId="0" fontId="4" fillId="0" borderId="0" xfId="0" applyFont="1"/>
    <xf numFmtId="0" fontId="4" fillId="2" borderId="0" xfId="0" applyFont="1" applyFill="1"/>
    <xf numFmtId="0" fontId="4" fillId="0" borderId="0" xfId="0" applyFont="1" applyAlignment="1">
      <alignment horizontal="left"/>
    </xf>
    <xf numFmtId="0" fontId="4" fillId="3" borderId="0" xfId="0" applyFont="1" applyFill="1"/>
    <xf numFmtId="0" fontId="27" fillId="2" borderId="0" xfId="0" applyFont="1" applyFill="1" applyAlignment="1">
      <alignment horizontal="left" wrapText="1"/>
    </xf>
    <xf numFmtId="0" fontId="27" fillId="2" borderId="0" xfId="0" applyFont="1" applyFill="1" applyAlignment="1">
      <alignment horizontal="left"/>
    </xf>
    <xf numFmtId="0" fontId="1" fillId="0" borderId="0" xfId="0" applyFont="1" applyAlignment="1">
      <alignment wrapText="1"/>
    </xf>
    <xf numFmtId="0" fontId="5" fillId="0" borderId="0" xfId="0" applyFont="1" applyAlignment="1">
      <alignment wrapText="1"/>
    </xf>
    <xf numFmtId="0" fontId="1" fillId="0" borderId="0" xfId="0" applyFont="1"/>
    <xf numFmtId="0" fontId="24" fillId="0" borderId="5" xfId="0" applyFont="1" applyBorder="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7.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8.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9.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0.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b="1">
                <a:solidFill>
                  <a:srgbClr val="000000"/>
                </a:solidFill>
                <a:latin typeface="+mn-lt"/>
              </a:defRPr>
            </a:pPr>
            <a:r>
              <a:rPr lang="pt-BR" b="1">
                <a:solidFill>
                  <a:srgbClr val="000000"/>
                </a:solidFill>
                <a:latin typeface="+mn-lt"/>
              </a:rPr>
              <a:t>Total unique ingredients (Top 50 vs Top 100 most rated recipes) </a:t>
            </a:r>
          </a:p>
        </c:rich>
      </c:tx>
      <c:overlay val="0"/>
    </c:title>
    <c:autoTitleDeleted val="0"/>
    <c:plotArea>
      <c:layout/>
      <c:barChart>
        <c:barDir val="bar"/>
        <c:grouping val="clustered"/>
        <c:varyColors val="1"/>
        <c:ser>
          <c:idx val="0"/>
          <c:order val="0"/>
          <c:tx>
            <c:strRef>
              <c:f>'Ingredient analysis'!$K$1</c:f>
              <c:strCache>
                <c:ptCount val="1"/>
                <c:pt idx="0">
                  <c:v>Total unique ingredients</c:v>
                </c:pt>
              </c:strCache>
            </c:strRef>
          </c:tx>
          <c:spPr>
            <a:solidFill>
              <a:srgbClr val="4285F4"/>
            </a:solidFill>
            <a:ln cmpd="sng">
              <a:solidFill>
                <a:srgbClr val="000000"/>
              </a:solidFill>
            </a:ln>
          </c:spPr>
          <c:invertIfNegative val="1"/>
          <c:dLbls>
            <c:spPr>
              <a:noFill/>
              <a:ln>
                <a:noFill/>
              </a:ln>
              <a:effectLst/>
            </c:spPr>
            <c:txPr>
              <a:bodyPr/>
              <a:lstStyle/>
              <a:p>
                <a:pPr lvl="0">
                  <a:defRPr b="1"/>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'Ingredient analysis'!$J$2:$J$3</c:f>
              <c:strCache>
                <c:ptCount val="2"/>
                <c:pt idx="0">
                  <c:v>Top 50</c:v>
                </c:pt>
                <c:pt idx="1">
                  <c:v>Top 100</c:v>
                </c:pt>
              </c:strCache>
            </c:strRef>
          </c:cat>
          <c:val>
            <c:numRef>
              <c:f>'Ingredient analysis'!$K$2:$K$3</c:f>
              <c:numCache>
                <c:formatCode>General</c:formatCode>
                <c:ptCount val="2"/>
                <c:pt idx="0">
                  <c:v>58</c:v>
                </c:pt>
                <c:pt idx="1">
                  <c:v>79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065-4E6B-AA78-A1726C477DF6}"/>
            </c:ext>
          </c:extLst>
        </c:ser>
        <c:dLbls>
          <c:showLegendKey val="0"/>
          <c:showVal val="0"/>
          <c:showCatName val="0"/>
          <c:showSerName val="0"/>
          <c:showPercent val="0"/>
          <c:showBubbleSize val="0"/>
        </c:dLbls>
        <c:gapWidth val="150"/>
        <c:axId val="53280392"/>
        <c:axId val="869587256"/>
      </c:barChart>
      <c:catAx>
        <c:axId val="53280392"/>
        <c:scaling>
          <c:orientation val="maxMin"/>
        </c:scaling>
        <c:delete val="0"/>
        <c:axPos val="l"/>
        <c:title>
          <c:tx>
            <c:rich>
              <a:bodyPr/>
              <a:lstStyle/>
              <a:p>
                <a:pPr lvl="0">
                  <a:defRPr b="0">
                    <a:solidFill>
                      <a:srgbClr val="000000"/>
                    </a:solidFill>
                    <a:latin typeface="+mn-lt"/>
                  </a:defRPr>
                </a:pPr>
                <a:endParaRPr lang="pt-B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pt-BR"/>
          </a:p>
        </c:txPr>
        <c:crossAx val="869587256"/>
        <c:crosses val="autoZero"/>
        <c:auto val="1"/>
        <c:lblAlgn val="ctr"/>
        <c:lblOffset val="100"/>
        <c:noMultiLvlLbl val="1"/>
      </c:catAx>
      <c:valAx>
        <c:axId val="86958725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pt-BR" b="0">
                    <a:solidFill>
                      <a:srgbClr val="000000"/>
                    </a:solidFill>
                    <a:latin typeface="+mn-lt"/>
                  </a:rPr>
                  <a:t>number unique ingredients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pt-BR"/>
          </a:p>
        </c:txPr>
        <c:crossAx val="53280392"/>
        <c:crosses val="max"/>
        <c:crossBetween val="between"/>
      </c:valAx>
    </c:plotArea>
    <c:legend>
      <c:legendPos val="r"/>
      <c:overlay val="0"/>
      <c:txPr>
        <a:bodyPr/>
        <a:lstStyle/>
        <a:p>
          <a:pPr lvl="0">
            <a:defRPr b="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b="0">
                <a:solidFill>
                  <a:srgbClr val="757575"/>
                </a:solidFill>
                <a:latin typeface="+mn-lt"/>
              </a:defRPr>
            </a:pPr>
            <a:r>
              <a:rPr lang="pt-BR" b="0">
                <a:solidFill>
                  <a:srgbClr val="757575"/>
                </a:solidFill>
                <a:latin typeface="+mn-lt"/>
              </a:rPr>
              <a:t>Quantity vs. Ingridient</a:t>
            </a:r>
          </a:p>
        </c:rich>
      </c:tx>
      <c:overlay val="0"/>
    </c:title>
    <c:autoTitleDeleted val="0"/>
    <c:plotArea>
      <c:layout/>
      <c:barChart>
        <c:barDir val="bar"/>
        <c:grouping val="clustered"/>
        <c:varyColors val="1"/>
        <c:ser>
          <c:idx val="0"/>
          <c:order val="0"/>
          <c:spPr>
            <a:solidFill>
              <a:srgbClr val="4285F4"/>
            </a:solidFill>
            <a:ln cmpd="sng">
              <a:solidFill>
                <a:srgbClr val="000000"/>
              </a:solidFill>
            </a:ln>
          </c:spPr>
          <c:invertIfNegative val="1"/>
          <c:cat>
            <c:strRef>
              <c:f>'Ingredient analysis'!$F$3:$F$81</c:f>
              <c:strCache>
                <c:ptCount val="79"/>
                <c:pt idx="0">
                  <c:v>milk</c:v>
                </c:pt>
                <c:pt idx="1">
                  <c:v>sugar</c:v>
                </c:pt>
                <c:pt idx="2">
                  <c:v>egg</c:v>
                </c:pt>
                <c:pt idx="3">
                  <c:v>wheat flour</c:v>
                </c:pt>
                <c:pt idx="4">
                  <c:v>oil</c:v>
                </c:pt>
                <c:pt idx="5">
                  <c:v>yeast</c:v>
                </c:pt>
                <c:pt idx="6">
                  <c:v>salt</c:v>
                </c:pt>
                <c:pt idx="7">
                  <c:v>chocolate</c:v>
                </c:pt>
                <c:pt idx="8">
                  <c:v>Margarine</c:v>
                </c:pt>
                <c:pt idx="9">
                  <c:v>cheese</c:v>
                </c:pt>
                <c:pt idx="10">
                  <c:v>milk cream</c:v>
                </c:pt>
                <c:pt idx="11">
                  <c:v>condensed milk</c:v>
                </c:pt>
                <c:pt idx="12">
                  <c:v>onion</c:v>
                </c:pt>
                <c:pt idx="13">
                  <c:v>water</c:v>
                </c:pt>
                <c:pt idx="14">
                  <c:v>butter</c:v>
                </c:pt>
                <c:pt idx="15">
                  <c:v>garlic</c:v>
                </c:pt>
                <c:pt idx="16">
                  <c:v>tomato sauce</c:v>
                </c:pt>
                <c:pt idx="17">
                  <c:v>pepper</c:v>
                </c:pt>
                <c:pt idx="18">
                  <c:v>chicken</c:v>
                </c:pt>
                <c:pt idx="19">
                  <c:v>corn starch</c:v>
                </c:pt>
                <c:pt idx="20">
                  <c:v>corn</c:v>
                </c:pt>
                <c:pt idx="21">
                  <c:v>oregano</c:v>
                </c:pt>
                <c:pt idx="22">
                  <c:v>tomato</c:v>
                </c:pt>
                <c:pt idx="23">
                  <c:v>Corn meal</c:v>
                </c:pt>
                <c:pt idx="24">
                  <c:v>cinnamon</c:v>
                </c:pt>
                <c:pt idx="25">
                  <c:v>chicken broth</c:v>
                </c:pt>
                <c:pt idx="26">
                  <c:v>meat</c:v>
                </c:pt>
                <c:pt idx="27">
                  <c:v>coconut</c:v>
                </c:pt>
                <c:pt idx="28">
                  <c:v>lemon</c:v>
                </c:pt>
                <c:pt idx="29">
                  <c:v>ham</c:v>
                </c:pt>
                <c:pt idx="30">
                  <c:v>green scent</c:v>
                </c:pt>
                <c:pt idx="31">
                  <c:v>coconut milk</c:v>
                </c:pt>
                <c:pt idx="32">
                  <c:v>olive</c:v>
                </c:pt>
                <c:pt idx="33">
                  <c:v>potato</c:v>
                </c:pt>
                <c:pt idx="34">
                  <c:v>banana</c:v>
                </c:pt>
                <c:pt idx="35">
                  <c:v>carrot</c:v>
                </c:pt>
                <c:pt idx="36">
                  <c:v>shoestring potatoes</c:v>
                </c:pt>
                <c:pt idx="37">
                  <c:v>mushroom</c:v>
                </c:pt>
                <c:pt idx="38">
                  <c:v>rice</c:v>
                </c:pt>
                <c:pt idx="39">
                  <c:v>broth</c:v>
                </c:pt>
                <c:pt idx="40">
                  <c:v>pea</c:v>
                </c:pt>
                <c:pt idx="41">
                  <c:v>noodle</c:v>
                </c:pt>
                <c:pt idx="42">
                  <c:v>orange</c:v>
                </c:pt>
                <c:pt idx="43">
                  <c:v>passion fruit</c:v>
                </c:pt>
                <c:pt idx="44">
                  <c:v>mayonnaise</c:v>
                </c:pt>
                <c:pt idx="45">
                  <c:v>vanilla extract</c:v>
                </c:pt>
                <c:pt idx="46">
                  <c:v>gelatin</c:v>
                </c:pt>
                <c:pt idx="47">
                  <c:v>soy sauce</c:v>
                </c:pt>
                <c:pt idx="48">
                  <c:v>cornstarch</c:v>
                </c:pt>
                <c:pt idx="49">
                  <c:v>bread</c:v>
                </c:pt>
                <c:pt idx="50">
                  <c:v>cookie</c:v>
                </c:pt>
                <c:pt idx="51">
                  <c:v>starch</c:v>
                </c:pt>
                <c:pt idx="52">
                  <c:v>yogurt</c:v>
                </c:pt>
                <c:pt idx="53">
                  <c:v>powdered juice</c:v>
                </c:pt>
                <c:pt idx="54">
                  <c:v>popcorn</c:v>
                </c:pt>
                <c:pt idx="55">
                  <c:v>ketchup</c:v>
                </c:pt>
                <c:pt idx="56">
                  <c:v>mustard</c:v>
                </c:pt>
                <c:pt idx="57">
                  <c:v>palm heart</c:v>
                </c:pt>
                <c:pt idx="58">
                  <c:v>vegetable broth</c:v>
                </c:pt>
                <c:pt idx="59">
                  <c:v>corn flakes</c:v>
                </c:pt>
                <c:pt idx="60">
                  <c:v>pinga</c:v>
                </c:pt>
                <c:pt idx="61">
                  <c:v>breadcrumbs</c:v>
                </c:pt>
                <c:pt idx="62">
                  <c:v>kale</c:v>
                </c:pt>
                <c:pt idx="63">
                  <c:v>pork</c:v>
                </c:pt>
                <c:pt idx="64">
                  <c:v>apple</c:v>
                </c:pt>
                <c:pt idx="65">
                  <c:v>Guava paste</c:v>
                </c:pt>
                <c:pt idx="66">
                  <c:v>anise</c:v>
                </c:pt>
                <c:pt idx="67">
                  <c:v>peanut</c:v>
                </c:pt>
                <c:pt idx="68">
                  <c:v>brown sugar</c:v>
                </c:pt>
                <c:pt idx="69">
                  <c:v>shrimp</c:v>
                </c:pt>
                <c:pt idx="70">
                  <c:v>cassava</c:v>
                </c:pt>
                <c:pt idx="71">
                  <c:v>bay leaf</c:v>
                </c:pt>
                <c:pt idx="72">
                  <c:v>palm oil</c:v>
                </c:pt>
                <c:pt idx="73">
                  <c:v>tuna</c:v>
                </c:pt>
                <c:pt idx="74">
                  <c:v>vinegar</c:v>
                </c:pt>
                <c:pt idx="75">
                  <c:v>strawberry</c:v>
                </c:pt>
                <c:pt idx="76">
                  <c:v>broccoli</c:v>
                </c:pt>
                <c:pt idx="77">
                  <c:v>cauliflower</c:v>
                </c:pt>
                <c:pt idx="78">
                  <c:v>chard</c:v>
                </c:pt>
              </c:strCache>
            </c:strRef>
          </c:cat>
          <c:val>
            <c:numRef>
              <c:f>'Ingredient analysis'!$G$3:$G$81</c:f>
              <c:numCache>
                <c:formatCode>General</c:formatCode>
                <c:ptCount val="79"/>
                <c:pt idx="0">
                  <c:v>65</c:v>
                </c:pt>
                <c:pt idx="1">
                  <c:v>62</c:v>
                </c:pt>
                <c:pt idx="2">
                  <c:v>62</c:v>
                </c:pt>
                <c:pt idx="3">
                  <c:v>58</c:v>
                </c:pt>
                <c:pt idx="4">
                  <c:v>43</c:v>
                </c:pt>
                <c:pt idx="5">
                  <c:v>40</c:v>
                </c:pt>
                <c:pt idx="6">
                  <c:v>40</c:v>
                </c:pt>
                <c:pt idx="7">
                  <c:v>34</c:v>
                </c:pt>
                <c:pt idx="8">
                  <c:v>31</c:v>
                </c:pt>
                <c:pt idx="9">
                  <c:v>28</c:v>
                </c:pt>
                <c:pt idx="10">
                  <c:v>27</c:v>
                </c:pt>
                <c:pt idx="11">
                  <c:v>25</c:v>
                </c:pt>
                <c:pt idx="12">
                  <c:v>20</c:v>
                </c:pt>
                <c:pt idx="13">
                  <c:v>17</c:v>
                </c:pt>
                <c:pt idx="14">
                  <c:v>16</c:v>
                </c:pt>
                <c:pt idx="15">
                  <c:v>12</c:v>
                </c:pt>
                <c:pt idx="16">
                  <c:v>11</c:v>
                </c:pt>
                <c:pt idx="17">
                  <c:v>11</c:v>
                </c:pt>
                <c:pt idx="18">
                  <c:v>10</c:v>
                </c:pt>
                <c:pt idx="19">
                  <c:v>9</c:v>
                </c:pt>
                <c:pt idx="20">
                  <c:v>8</c:v>
                </c:pt>
                <c:pt idx="21">
                  <c:v>7</c:v>
                </c:pt>
                <c:pt idx="22">
                  <c:v>7</c:v>
                </c:pt>
                <c:pt idx="23">
                  <c:v>7</c:v>
                </c:pt>
                <c:pt idx="24">
                  <c:v>7</c:v>
                </c:pt>
                <c:pt idx="25">
                  <c:v>7</c:v>
                </c:pt>
                <c:pt idx="26">
                  <c:v>6</c:v>
                </c:pt>
                <c:pt idx="27">
                  <c:v>6</c:v>
                </c:pt>
                <c:pt idx="28">
                  <c:v>6</c:v>
                </c:pt>
                <c:pt idx="29">
                  <c:v>6</c:v>
                </c:pt>
                <c:pt idx="30">
                  <c:v>6</c:v>
                </c:pt>
                <c:pt idx="31">
                  <c:v>5</c:v>
                </c:pt>
                <c:pt idx="32">
                  <c:v>4</c:v>
                </c:pt>
                <c:pt idx="33">
                  <c:v>4</c:v>
                </c:pt>
                <c:pt idx="34">
                  <c:v>4</c:v>
                </c:pt>
                <c:pt idx="35">
                  <c:v>3</c:v>
                </c:pt>
                <c:pt idx="36">
                  <c:v>3</c:v>
                </c:pt>
                <c:pt idx="37">
                  <c:v>3</c:v>
                </c:pt>
                <c:pt idx="38">
                  <c:v>3</c:v>
                </c:pt>
                <c:pt idx="39">
                  <c:v>3</c:v>
                </c:pt>
                <c:pt idx="40">
                  <c:v>3</c:v>
                </c:pt>
                <c:pt idx="41">
                  <c:v>3</c:v>
                </c:pt>
                <c:pt idx="42">
                  <c:v>2</c:v>
                </c:pt>
                <c:pt idx="43">
                  <c:v>2</c:v>
                </c:pt>
                <c:pt idx="44">
                  <c:v>2</c:v>
                </c:pt>
                <c:pt idx="45">
                  <c:v>2</c:v>
                </c:pt>
                <c:pt idx="46">
                  <c:v>2</c:v>
                </c:pt>
                <c:pt idx="47">
                  <c:v>2</c:v>
                </c:pt>
                <c:pt idx="48">
                  <c:v>2</c:v>
                </c:pt>
                <c:pt idx="49">
                  <c:v>2</c:v>
                </c:pt>
                <c:pt idx="50">
                  <c:v>2</c:v>
                </c:pt>
                <c:pt idx="51">
                  <c:v>2</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A1E-4091-ADC4-C3C0116B0B25}"/>
            </c:ext>
          </c:extLst>
        </c:ser>
        <c:dLbls>
          <c:showLegendKey val="0"/>
          <c:showVal val="0"/>
          <c:showCatName val="0"/>
          <c:showSerName val="0"/>
          <c:showPercent val="0"/>
          <c:showBubbleSize val="0"/>
        </c:dLbls>
        <c:gapWidth val="150"/>
        <c:axId val="266506821"/>
        <c:axId val="1156473511"/>
      </c:barChart>
      <c:catAx>
        <c:axId val="266506821"/>
        <c:scaling>
          <c:orientation val="maxMin"/>
        </c:scaling>
        <c:delete val="0"/>
        <c:axPos val="l"/>
        <c:title>
          <c:tx>
            <c:rich>
              <a:bodyPr/>
              <a:lstStyle/>
              <a:p>
                <a:pPr lvl="0">
                  <a:defRPr b="0">
                    <a:solidFill>
                      <a:srgbClr val="000000"/>
                    </a:solidFill>
                    <a:latin typeface="+mn-lt"/>
                  </a:defRPr>
                </a:pPr>
                <a:r>
                  <a:rPr lang="pt-BR" b="0">
                    <a:solidFill>
                      <a:srgbClr val="000000"/>
                    </a:solidFill>
                    <a:latin typeface="+mn-lt"/>
                  </a:rPr>
                  <a:t>Ingridient</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pt-BR"/>
          </a:p>
        </c:txPr>
        <c:crossAx val="1156473511"/>
        <c:crosses val="autoZero"/>
        <c:auto val="1"/>
        <c:lblAlgn val="ctr"/>
        <c:lblOffset val="100"/>
        <c:noMultiLvlLbl val="1"/>
      </c:catAx>
      <c:valAx>
        <c:axId val="115647351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pt-BR" b="0">
                    <a:solidFill>
                      <a:srgbClr val="000000"/>
                    </a:solidFill>
                    <a:latin typeface="+mn-lt"/>
                  </a:rPr>
                  <a:t>Quantity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pt-BR"/>
          </a:p>
        </c:txPr>
        <c:crossAx val="266506821"/>
        <c:crosses val="max"/>
        <c:crossBetween val="between"/>
      </c:valAx>
    </c:plotArea>
    <c:legend>
      <c:legendPos val="r"/>
      <c:overlay val="0"/>
      <c:txPr>
        <a:bodyPr/>
        <a:lstStyle/>
        <a:p>
          <a:pPr lvl="0">
            <a:defRPr b="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b="0">
                <a:solidFill>
                  <a:srgbClr val="757575"/>
                </a:solidFill>
                <a:latin typeface="+mn-lt"/>
              </a:defRPr>
            </a:pPr>
            <a:r>
              <a:rPr lang="pt-BR" b="0">
                <a:solidFill>
                  <a:srgbClr val="757575"/>
                </a:solidFill>
                <a:latin typeface="+mn-lt"/>
              </a:rPr>
              <a:t>Quantity vs. Ingridient</a:t>
            </a:r>
          </a:p>
        </c:rich>
      </c:tx>
      <c:overlay val="0"/>
    </c:title>
    <c:autoTitleDeleted val="0"/>
    <c:plotArea>
      <c:layout/>
      <c:barChart>
        <c:barDir val="bar"/>
        <c:grouping val="clustered"/>
        <c:varyColors val="1"/>
        <c:ser>
          <c:idx val="0"/>
          <c:order val="0"/>
          <c:spPr>
            <a:solidFill>
              <a:srgbClr val="4285F4"/>
            </a:solidFill>
            <a:ln cmpd="sng">
              <a:solidFill>
                <a:srgbClr val="000000"/>
              </a:solidFill>
            </a:ln>
          </c:spPr>
          <c:invertIfNegative val="1"/>
          <c:dLbls>
            <c:spPr>
              <a:noFill/>
              <a:ln>
                <a:noFill/>
              </a:ln>
              <a:effectLst/>
            </c:spPr>
            <c:txPr>
              <a:bodyPr/>
              <a:lstStyle/>
              <a:p>
                <a:pPr lvl="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'Ingredient analysis'!$B$3:$B$60</c:f>
              <c:strCache>
                <c:ptCount val="58"/>
                <c:pt idx="0">
                  <c:v> </c:v>
                </c:pt>
                <c:pt idx="1">
                  <c:v>sugar</c:v>
                </c:pt>
                <c:pt idx="2">
                  <c:v>egg</c:v>
                </c:pt>
                <c:pt idx="3">
                  <c:v>wheat flour</c:v>
                </c:pt>
                <c:pt idx="4">
                  <c:v>yeast</c:v>
                </c:pt>
                <c:pt idx="5">
                  <c:v>oil</c:v>
                </c:pt>
                <c:pt idx="6">
                  <c:v>chocolate</c:v>
                </c:pt>
                <c:pt idx="7">
                  <c:v>salt</c:v>
                </c:pt>
                <c:pt idx="8">
                  <c:v>milk cream</c:v>
                </c:pt>
                <c:pt idx="9">
                  <c:v>Margarine</c:v>
                </c:pt>
                <c:pt idx="10">
                  <c:v>cheese</c:v>
                </c:pt>
                <c:pt idx="11">
                  <c:v>condensed milk</c:v>
                </c:pt>
                <c:pt idx="12">
                  <c:v>onion</c:v>
                </c:pt>
                <c:pt idx="13">
                  <c:v>butter</c:v>
                </c:pt>
                <c:pt idx="14">
                  <c:v>water</c:v>
                </c:pt>
                <c:pt idx="15">
                  <c:v>corn</c:v>
                </c:pt>
                <c:pt idx="16">
                  <c:v>chicken</c:v>
                </c:pt>
                <c:pt idx="17">
                  <c:v>tomato</c:v>
                </c:pt>
                <c:pt idx="18">
                  <c:v>garlic</c:v>
                </c:pt>
                <c:pt idx="19">
                  <c:v>grated coconut</c:v>
                </c:pt>
                <c:pt idx="20">
                  <c:v>oregano</c:v>
                </c:pt>
                <c:pt idx="21">
                  <c:v>corn starch</c:v>
                </c:pt>
                <c:pt idx="22">
                  <c:v>pepper</c:v>
                </c:pt>
                <c:pt idx="23">
                  <c:v>coconut milk</c:v>
                </c:pt>
                <c:pt idx="24">
                  <c:v>olive</c:v>
                </c:pt>
                <c:pt idx="25">
                  <c:v>cinnamon</c:v>
                </c:pt>
                <c:pt idx="26">
                  <c:v>Corn meal</c:v>
                </c:pt>
                <c:pt idx="27">
                  <c:v>tomato sauce</c:v>
                </c:pt>
                <c:pt idx="28">
                  <c:v>shoestring potatoes</c:v>
                </c:pt>
                <c:pt idx="29">
                  <c:v>meat</c:v>
                </c:pt>
                <c:pt idx="30">
                  <c:v>chicken broth</c:v>
                </c:pt>
                <c:pt idx="31">
                  <c:v>pea</c:v>
                </c:pt>
                <c:pt idx="32">
                  <c:v>lemon</c:v>
                </c:pt>
                <c:pt idx="33">
                  <c:v>banana</c:v>
                </c:pt>
                <c:pt idx="34">
                  <c:v>passion fruit</c:v>
                </c:pt>
                <c:pt idx="35">
                  <c:v>green scent</c:v>
                </c:pt>
                <c:pt idx="36">
                  <c:v>carrot</c:v>
                </c:pt>
                <c:pt idx="37">
                  <c:v>orange</c:v>
                </c:pt>
                <c:pt idx="38">
                  <c:v>tomato extract</c:v>
                </c:pt>
                <c:pt idx="39">
                  <c:v>yogurt</c:v>
                </c:pt>
                <c:pt idx="40">
                  <c:v>powdered juice</c:v>
                </c:pt>
                <c:pt idx="41">
                  <c:v>popcorn</c:v>
                </c:pt>
                <c:pt idx="42">
                  <c:v>mayonnaise</c:v>
                </c:pt>
                <c:pt idx="43">
                  <c:v>ketchup</c:v>
                </c:pt>
                <c:pt idx="44">
                  <c:v>mustard</c:v>
                </c:pt>
                <c:pt idx="45">
                  <c:v>mushroom</c:v>
                </c:pt>
                <c:pt idx="46">
                  <c:v>vanilla extract</c:v>
                </c:pt>
                <c:pt idx="47">
                  <c:v>palm heart</c:v>
                </c:pt>
                <c:pt idx="48">
                  <c:v>vegetable broth</c:v>
                </c:pt>
                <c:pt idx="49">
                  <c:v>rice</c:v>
                </c:pt>
                <c:pt idx="50">
                  <c:v>lasagna dough</c:v>
                </c:pt>
                <c:pt idx="51">
                  <c:v>ham</c:v>
                </c:pt>
                <c:pt idx="52">
                  <c:v>gelatin</c:v>
                </c:pt>
                <c:pt idx="53">
                  <c:v>corn flakes</c:v>
                </c:pt>
                <c:pt idx="54">
                  <c:v>pinga</c:v>
                </c:pt>
                <c:pt idx="55">
                  <c:v>broth</c:v>
                </c:pt>
                <c:pt idx="56">
                  <c:v>potato</c:v>
                </c:pt>
                <c:pt idx="57">
                  <c:v>breadcrumbs</c:v>
                </c:pt>
              </c:strCache>
            </c:strRef>
          </c:cat>
          <c:val>
            <c:numRef>
              <c:f>'Ingredient analysis'!$C$3:$C$60</c:f>
              <c:numCache>
                <c:formatCode>General</c:formatCode>
                <c:ptCount val="58"/>
                <c:pt idx="0">
                  <c:v>41</c:v>
                </c:pt>
                <c:pt idx="1">
                  <c:v>37</c:v>
                </c:pt>
                <c:pt idx="2">
                  <c:v>36</c:v>
                </c:pt>
                <c:pt idx="3">
                  <c:v>35</c:v>
                </c:pt>
                <c:pt idx="4">
                  <c:v>27</c:v>
                </c:pt>
                <c:pt idx="5">
                  <c:v>26</c:v>
                </c:pt>
                <c:pt idx="6">
                  <c:v>21</c:v>
                </c:pt>
                <c:pt idx="7">
                  <c:v>20</c:v>
                </c:pt>
                <c:pt idx="8">
                  <c:v>16</c:v>
                </c:pt>
                <c:pt idx="9">
                  <c:v>16</c:v>
                </c:pt>
                <c:pt idx="10">
                  <c:v>15</c:v>
                </c:pt>
                <c:pt idx="11">
                  <c:v>14</c:v>
                </c:pt>
                <c:pt idx="12">
                  <c:v>11</c:v>
                </c:pt>
                <c:pt idx="13">
                  <c:v>10</c:v>
                </c:pt>
                <c:pt idx="14">
                  <c:v>9</c:v>
                </c:pt>
                <c:pt idx="15">
                  <c:v>6</c:v>
                </c:pt>
                <c:pt idx="16">
                  <c:v>6</c:v>
                </c:pt>
                <c:pt idx="17">
                  <c:v>6</c:v>
                </c:pt>
                <c:pt idx="18">
                  <c:v>6</c:v>
                </c:pt>
                <c:pt idx="19">
                  <c:v>5</c:v>
                </c:pt>
                <c:pt idx="20">
                  <c:v>5</c:v>
                </c:pt>
                <c:pt idx="21">
                  <c:v>5</c:v>
                </c:pt>
                <c:pt idx="22">
                  <c:v>5</c:v>
                </c:pt>
                <c:pt idx="23">
                  <c:v>4</c:v>
                </c:pt>
                <c:pt idx="24">
                  <c:v>4</c:v>
                </c:pt>
                <c:pt idx="25">
                  <c:v>4</c:v>
                </c:pt>
                <c:pt idx="26">
                  <c:v>4</c:v>
                </c:pt>
                <c:pt idx="27">
                  <c:v>4</c:v>
                </c:pt>
                <c:pt idx="28">
                  <c:v>2</c:v>
                </c:pt>
                <c:pt idx="29">
                  <c:v>2</c:v>
                </c:pt>
                <c:pt idx="30">
                  <c:v>2</c:v>
                </c:pt>
                <c:pt idx="31">
                  <c:v>2</c:v>
                </c:pt>
                <c:pt idx="32">
                  <c:v>2</c:v>
                </c:pt>
                <c:pt idx="33">
                  <c:v>2</c:v>
                </c:pt>
                <c:pt idx="34">
                  <c:v>2</c:v>
                </c:pt>
                <c:pt idx="35">
                  <c:v>2</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FCD-4CCD-8F16-17FE0A34CAAF}"/>
            </c:ext>
          </c:extLst>
        </c:ser>
        <c:dLbls>
          <c:showLegendKey val="0"/>
          <c:showVal val="0"/>
          <c:showCatName val="0"/>
          <c:showSerName val="0"/>
          <c:showPercent val="0"/>
          <c:showBubbleSize val="0"/>
        </c:dLbls>
        <c:gapWidth val="150"/>
        <c:axId val="1270104599"/>
        <c:axId val="1643553386"/>
      </c:barChart>
      <c:catAx>
        <c:axId val="1270104599"/>
        <c:scaling>
          <c:orientation val="maxMin"/>
        </c:scaling>
        <c:delete val="0"/>
        <c:axPos val="l"/>
        <c:title>
          <c:tx>
            <c:rich>
              <a:bodyPr/>
              <a:lstStyle/>
              <a:p>
                <a:pPr lvl="0">
                  <a:defRPr b="0">
                    <a:solidFill>
                      <a:srgbClr val="000000"/>
                    </a:solidFill>
                    <a:latin typeface="+mn-lt"/>
                  </a:defRPr>
                </a:pPr>
                <a:r>
                  <a:rPr lang="pt-BR" b="0">
                    <a:solidFill>
                      <a:srgbClr val="000000"/>
                    </a:solidFill>
                    <a:latin typeface="+mn-lt"/>
                  </a:rPr>
                  <a:t>Ingridient</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pt-BR"/>
          </a:p>
        </c:txPr>
        <c:crossAx val="1643553386"/>
        <c:crosses val="autoZero"/>
        <c:auto val="1"/>
        <c:lblAlgn val="ctr"/>
        <c:lblOffset val="100"/>
        <c:noMultiLvlLbl val="1"/>
      </c:catAx>
      <c:valAx>
        <c:axId val="164355338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pt-BR" b="0">
                    <a:solidFill>
                      <a:srgbClr val="000000"/>
                    </a:solidFill>
                    <a:latin typeface="+mn-lt"/>
                  </a:rPr>
                  <a:t>Quantity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pt-BR"/>
          </a:p>
        </c:txPr>
        <c:crossAx val="1270104599"/>
        <c:crosses val="max"/>
        <c:crossBetween val="between"/>
      </c:valAx>
    </c:plotArea>
    <c:legend>
      <c:legendPos val="r"/>
      <c:overlay val="0"/>
      <c:txPr>
        <a:bodyPr/>
        <a:lstStyle/>
        <a:p>
          <a:pPr lvl="0">
            <a:defRPr b="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b="1">
                <a:solidFill>
                  <a:srgbClr val="000000"/>
                </a:solidFill>
                <a:latin typeface="+mn-lt"/>
              </a:defRPr>
            </a:pPr>
            <a:r>
              <a:rPr b="1">
                <a:solidFill>
                  <a:srgbClr val="000000"/>
                </a:solidFill>
                <a:latin typeface="+mn-lt"/>
              </a:rPr>
              <a:t>Subcategory division</a:t>
            </a:r>
          </a:p>
        </c:rich>
      </c:tx>
      <c:overlay val="0"/>
    </c:title>
    <c:autoTitleDeleted val="0"/>
    <c:plotArea>
      <c:layout/>
      <c:barChart>
        <c:barDir val="bar"/>
        <c:grouping val="stacked"/>
        <c:varyColors val="1"/>
        <c:ser>
          <c:idx val="0"/>
          <c:order val="0"/>
          <c:tx>
            <c:strRef>
              <c:f>TFCB!$B$93</c:f>
              <c:strCache>
                <c:ptCount val="1"/>
                <c:pt idx="0">
                  <c:v>Main</c:v>
                </c:pt>
              </c:strCache>
            </c:strRef>
          </c:tx>
          <c:spPr>
            <a:solidFill>
              <a:srgbClr val="D9EAD3"/>
            </a:solidFill>
            <a:ln cmpd="sng">
              <a:solidFill>
                <a:srgbClr val="000000"/>
              </a:solidFill>
            </a:ln>
          </c:spPr>
          <c:invertIfNegative val="1"/>
          <c:dLbls>
            <c:spPr>
              <a:noFill/>
              <a:ln>
                <a:noFill/>
              </a:ln>
              <a:effectLst/>
            </c:spPr>
            <c:txPr>
              <a:bodyPr/>
              <a:lstStyle/>
              <a:p>
                <a:pPr lvl="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TFCB!$A$94:$A$99</c:f>
              <c:strCache>
                <c:ptCount val="6"/>
                <c:pt idx="0">
                  <c:v>Pork</c:v>
                </c:pt>
                <c:pt idx="1">
                  <c:v>Beef</c:v>
                </c:pt>
                <c:pt idx="2">
                  <c:v>Poultry</c:v>
                </c:pt>
                <c:pt idx="3">
                  <c:v>Seafood</c:v>
                </c:pt>
                <c:pt idx="4">
                  <c:v>Vegan</c:v>
                </c:pt>
                <c:pt idx="5">
                  <c:v>Vegetarian</c:v>
                </c:pt>
              </c:strCache>
            </c:strRef>
          </c:cat>
          <c:val>
            <c:numRef>
              <c:f>TFCB!$B$94:$B$99</c:f>
              <c:numCache>
                <c:formatCode>General</c:formatCode>
                <c:ptCount val="6"/>
                <c:pt idx="0">
                  <c:v>2</c:v>
                </c:pt>
                <c:pt idx="1">
                  <c:v>7</c:v>
                </c:pt>
                <c:pt idx="2">
                  <c:v>2</c:v>
                </c:pt>
                <c:pt idx="3">
                  <c:v>5</c:v>
                </c:pt>
                <c:pt idx="4">
                  <c:v>0</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4B68-4ECF-913D-A3FBAB40870A}"/>
            </c:ext>
          </c:extLst>
        </c:ser>
        <c:ser>
          <c:idx val="1"/>
          <c:order val="1"/>
          <c:tx>
            <c:strRef>
              <c:f>TFCB!$C$93</c:f>
              <c:strCache>
                <c:ptCount val="1"/>
                <c:pt idx="0">
                  <c:v>Side</c:v>
                </c:pt>
              </c:strCache>
            </c:strRef>
          </c:tx>
          <c:spPr>
            <a:solidFill>
              <a:srgbClr val="EA9999"/>
            </a:solidFill>
            <a:ln cmpd="sng">
              <a:solidFill>
                <a:srgbClr val="000000"/>
              </a:solidFill>
            </a:ln>
          </c:spPr>
          <c:invertIfNegative val="1"/>
          <c:dLbls>
            <c:spPr>
              <a:noFill/>
              <a:ln>
                <a:noFill/>
              </a:ln>
              <a:effectLst/>
            </c:spPr>
            <c:txPr>
              <a:bodyPr/>
              <a:lstStyle/>
              <a:p>
                <a:pPr lvl="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TFCB!$A$94:$A$99</c:f>
              <c:strCache>
                <c:ptCount val="6"/>
                <c:pt idx="0">
                  <c:v>Pork</c:v>
                </c:pt>
                <c:pt idx="1">
                  <c:v>Beef</c:v>
                </c:pt>
                <c:pt idx="2">
                  <c:v>Poultry</c:v>
                </c:pt>
                <c:pt idx="3">
                  <c:v>Seafood</c:v>
                </c:pt>
                <c:pt idx="4">
                  <c:v>Vegan</c:v>
                </c:pt>
                <c:pt idx="5">
                  <c:v>Vegetarian</c:v>
                </c:pt>
              </c:strCache>
            </c:strRef>
          </c:cat>
          <c:val>
            <c:numRef>
              <c:f>TFCB!$C$94:$C$99</c:f>
              <c:numCache>
                <c:formatCode>General</c:formatCode>
                <c:ptCount val="6"/>
                <c:pt idx="0">
                  <c:v>2</c:v>
                </c:pt>
                <c:pt idx="1">
                  <c:v>3</c:v>
                </c:pt>
                <c:pt idx="2">
                  <c:v>1</c:v>
                </c:pt>
                <c:pt idx="3">
                  <c:v>4</c:v>
                </c:pt>
                <c:pt idx="4">
                  <c:v>14</c:v>
                </c:pt>
                <c:pt idx="5">
                  <c:v>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4B68-4ECF-913D-A3FBAB40870A}"/>
            </c:ext>
          </c:extLst>
        </c:ser>
        <c:ser>
          <c:idx val="2"/>
          <c:order val="2"/>
          <c:tx>
            <c:strRef>
              <c:f>TFCB!$D$93</c:f>
              <c:strCache>
                <c:ptCount val="1"/>
                <c:pt idx="0">
                  <c:v>Dessert</c:v>
                </c:pt>
              </c:strCache>
            </c:strRef>
          </c:tx>
          <c:spPr>
            <a:solidFill>
              <a:srgbClr val="C9DAF8"/>
            </a:solidFill>
            <a:ln cmpd="sng">
              <a:solidFill>
                <a:srgbClr val="000000"/>
              </a:solidFill>
            </a:ln>
          </c:spPr>
          <c:invertIfNegative val="1"/>
          <c:dLbls>
            <c:spPr>
              <a:noFill/>
              <a:ln>
                <a:noFill/>
              </a:ln>
              <a:effectLst/>
            </c:spPr>
            <c:txPr>
              <a:bodyPr/>
              <a:lstStyle/>
              <a:p>
                <a:pPr lvl="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TFCB!$A$94:$A$99</c:f>
              <c:strCache>
                <c:ptCount val="6"/>
                <c:pt idx="0">
                  <c:v>Pork</c:v>
                </c:pt>
                <c:pt idx="1">
                  <c:v>Beef</c:v>
                </c:pt>
                <c:pt idx="2">
                  <c:v>Poultry</c:v>
                </c:pt>
                <c:pt idx="3">
                  <c:v>Seafood</c:v>
                </c:pt>
                <c:pt idx="4">
                  <c:v>Vegan</c:v>
                </c:pt>
                <c:pt idx="5">
                  <c:v>Vegetarian</c:v>
                </c:pt>
              </c:strCache>
            </c:strRef>
          </c:cat>
          <c:val>
            <c:numRef>
              <c:f>TFCB!$D$94:$D$99</c:f>
              <c:numCache>
                <c:formatCode>General</c:formatCode>
                <c:ptCount val="6"/>
                <c:pt idx="0">
                  <c:v>0</c:v>
                </c:pt>
                <c:pt idx="1">
                  <c:v>0</c:v>
                </c:pt>
                <c:pt idx="2">
                  <c:v>0</c:v>
                </c:pt>
                <c:pt idx="3">
                  <c:v>0</c:v>
                </c:pt>
                <c:pt idx="4">
                  <c:v>0</c:v>
                </c:pt>
                <c:pt idx="5">
                  <c:v>17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4B68-4ECF-913D-A3FBAB40870A}"/>
            </c:ext>
          </c:extLst>
        </c:ser>
        <c:dLbls>
          <c:showLegendKey val="0"/>
          <c:showVal val="0"/>
          <c:showCatName val="0"/>
          <c:showSerName val="0"/>
          <c:showPercent val="0"/>
          <c:showBubbleSize val="0"/>
        </c:dLbls>
        <c:gapWidth val="150"/>
        <c:overlap val="100"/>
        <c:axId val="1473860667"/>
        <c:axId val="991895654"/>
      </c:barChart>
      <c:catAx>
        <c:axId val="147386066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Type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pt-BR"/>
          </a:p>
        </c:txPr>
        <c:crossAx val="991895654"/>
        <c:crosses val="autoZero"/>
        <c:auto val="1"/>
        <c:lblAlgn val="ctr"/>
        <c:lblOffset val="100"/>
        <c:noMultiLvlLbl val="1"/>
      </c:catAx>
      <c:valAx>
        <c:axId val="99189565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pt-BR"/>
          </a:p>
        </c:txPr>
        <c:crossAx val="1473860667"/>
        <c:crosses val="max"/>
        <c:crossBetween val="between"/>
      </c:valAx>
    </c:plotArea>
    <c:legend>
      <c:legendPos val="r"/>
      <c:overlay val="0"/>
      <c:txPr>
        <a:bodyPr/>
        <a:lstStyle/>
        <a:p>
          <a:pPr lvl="0">
            <a:defRPr b="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b="1">
                <a:solidFill>
                  <a:srgbClr val="000000"/>
                </a:solidFill>
                <a:latin typeface="+mn-lt"/>
              </a:defRPr>
            </a:pPr>
            <a:r>
              <a:rPr b="1">
                <a:solidFill>
                  <a:srgbClr val="000000"/>
                </a:solidFill>
                <a:latin typeface="+mn-lt"/>
              </a:rPr>
              <a:t>Subcategory division</a:t>
            </a:r>
          </a:p>
        </c:rich>
      </c:tx>
      <c:overlay val="0"/>
    </c:title>
    <c:autoTitleDeleted val="0"/>
    <c:plotArea>
      <c:layout/>
      <c:barChart>
        <c:barDir val="bar"/>
        <c:grouping val="stacked"/>
        <c:varyColors val="1"/>
        <c:ser>
          <c:idx val="0"/>
          <c:order val="0"/>
          <c:tx>
            <c:strRef>
              <c:f>ABHC!$B$145</c:f>
              <c:strCache>
                <c:ptCount val="1"/>
                <c:pt idx="0">
                  <c:v>Main</c:v>
                </c:pt>
              </c:strCache>
            </c:strRef>
          </c:tx>
          <c:spPr>
            <a:solidFill>
              <a:srgbClr val="D9EAD3"/>
            </a:solidFill>
            <a:ln cmpd="sng">
              <a:solidFill>
                <a:srgbClr val="000000"/>
              </a:solidFill>
            </a:ln>
          </c:spPr>
          <c:invertIfNegative val="1"/>
          <c:dLbls>
            <c:spPr>
              <a:noFill/>
              <a:ln>
                <a:noFill/>
              </a:ln>
              <a:effectLst/>
            </c:spPr>
            <c:txPr>
              <a:bodyPr/>
              <a:lstStyle/>
              <a:p>
                <a:pPr lvl="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ABHC!$A$146:$A$151</c:f>
              <c:strCache>
                <c:ptCount val="6"/>
                <c:pt idx="0">
                  <c:v>Pork</c:v>
                </c:pt>
                <c:pt idx="1">
                  <c:v>Beef</c:v>
                </c:pt>
                <c:pt idx="2">
                  <c:v>Poultry</c:v>
                </c:pt>
                <c:pt idx="3">
                  <c:v>Seafood</c:v>
                </c:pt>
                <c:pt idx="4">
                  <c:v>Vegan</c:v>
                </c:pt>
                <c:pt idx="5">
                  <c:v>Vegetarian</c:v>
                </c:pt>
              </c:strCache>
            </c:strRef>
          </c:cat>
          <c:val>
            <c:numRef>
              <c:f>ABHC!$B$146:$B$151</c:f>
              <c:numCache>
                <c:formatCode>General</c:formatCode>
                <c:ptCount val="6"/>
                <c:pt idx="0">
                  <c:v>6</c:v>
                </c:pt>
                <c:pt idx="1">
                  <c:v>12</c:v>
                </c:pt>
                <c:pt idx="2">
                  <c:v>5</c:v>
                </c:pt>
                <c:pt idx="3">
                  <c:v>6</c:v>
                </c:pt>
                <c:pt idx="4">
                  <c:v>1</c:v>
                </c:pt>
                <c:pt idx="5">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24C-48AB-A84B-D7805FF86697}"/>
            </c:ext>
          </c:extLst>
        </c:ser>
        <c:ser>
          <c:idx val="1"/>
          <c:order val="1"/>
          <c:tx>
            <c:strRef>
              <c:f>ABHC!$C$145</c:f>
              <c:strCache>
                <c:ptCount val="1"/>
                <c:pt idx="0">
                  <c:v>Side</c:v>
                </c:pt>
              </c:strCache>
            </c:strRef>
          </c:tx>
          <c:spPr>
            <a:solidFill>
              <a:srgbClr val="EA9999"/>
            </a:solidFill>
            <a:ln cmpd="sng">
              <a:solidFill>
                <a:srgbClr val="000000"/>
              </a:solidFill>
            </a:ln>
          </c:spPr>
          <c:invertIfNegative val="1"/>
          <c:dLbls>
            <c:spPr>
              <a:noFill/>
              <a:ln>
                <a:noFill/>
              </a:ln>
              <a:effectLst/>
            </c:spPr>
            <c:txPr>
              <a:bodyPr/>
              <a:lstStyle/>
              <a:p>
                <a:pPr lvl="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ABHC!$A$146:$A$151</c:f>
              <c:strCache>
                <c:ptCount val="6"/>
                <c:pt idx="0">
                  <c:v>Pork</c:v>
                </c:pt>
                <c:pt idx="1">
                  <c:v>Beef</c:v>
                </c:pt>
                <c:pt idx="2">
                  <c:v>Poultry</c:v>
                </c:pt>
                <c:pt idx="3">
                  <c:v>Seafood</c:v>
                </c:pt>
                <c:pt idx="4">
                  <c:v>Vegan</c:v>
                </c:pt>
                <c:pt idx="5">
                  <c:v>Vegetarian</c:v>
                </c:pt>
              </c:strCache>
            </c:strRef>
          </c:cat>
          <c:val>
            <c:numRef>
              <c:f>ABHC!$C$146:$C$151</c:f>
              <c:numCache>
                <c:formatCode>General</c:formatCode>
                <c:ptCount val="6"/>
                <c:pt idx="0">
                  <c:v>6</c:v>
                </c:pt>
                <c:pt idx="1">
                  <c:v>0</c:v>
                </c:pt>
                <c:pt idx="2">
                  <c:v>1</c:v>
                </c:pt>
                <c:pt idx="3">
                  <c:v>1</c:v>
                </c:pt>
                <c:pt idx="4">
                  <c:v>3</c:v>
                </c:pt>
                <c:pt idx="5">
                  <c:v>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24C-48AB-A84B-D7805FF86697}"/>
            </c:ext>
          </c:extLst>
        </c:ser>
        <c:ser>
          <c:idx val="2"/>
          <c:order val="2"/>
          <c:tx>
            <c:strRef>
              <c:f>ABHC!$D$145</c:f>
              <c:strCache>
                <c:ptCount val="1"/>
                <c:pt idx="0">
                  <c:v>Dessert</c:v>
                </c:pt>
              </c:strCache>
            </c:strRef>
          </c:tx>
          <c:spPr>
            <a:solidFill>
              <a:srgbClr val="9FC5E8"/>
            </a:solidFill>
            <a:ln cmpd="sng">
              <a:solidFill>
                <a:srgbClr val="000000"/>
              </a:solidFill>
            </a:ln>
          </c:spPr>
          <c:invertIfNegative val="1"/>
          <c:dLbls>
            <c:spPr>
              <a:noFill/>
              <a:ln>
                <a:noFill/>
              </a:ln>
              <a:effectLst/>
            </c:spPr>
            <c:txPr>
              <a:bodyPr/>
              <a:lstStyle/>
              <a:p>
                <a:pPr lvl="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ABHC!$A$146:$A$151</c:f>
              <c:strCache>
                <c:ptCount val="6"/>
                <c:pt idx="0">
                  <c:v>Pork</c:v>
                </c:pt>
                <c:pt idx="1">
                  <c:v>Beef</c:v>
                </c:pt>
                <c:pt idx="2">
                  <c:v>Poultry</c:v>
                </c:pt>
                <c:pt idx="3">
                  <c:v>Seafood</c:v>
                </c:pt>
                <c:pt idx="4">
                  <c:v>Vegan</c:v>
                </c:pt>
                <c:pt idx="5">
                  <c:v>Vegetarian</c:v>
                </c:pt>
              </c:strCache>
            </c:strRef>
          </c:cat>
          <c:val>
            <c:numRef>
              <c:f>ABHC!$D$146:$D$151</c:f>
              <c:numCache>
                <c:formatCode>General</c:formatCode>
                <c:ptCount val="6"/>
                <c:pt idx="0">
                  <c:v>0</c:v>
                </c:pt>
                <c:pt idx="1">
                  <c:v>0</c:v>
                </c:pt>
                <c:pt idx="2">
                  <c:v>0</c:v>
                </c:pt>
                <c:pt idx="3">
                  <c:v>0</c:v>
                </c:pt>
                <c:pt idx="4">
                  <c:v>0</c:v>
                </c:pt>
                <c:pt idx="5">
                  <c:v>11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C24C-48AB-A84B-D7805FF86697}"/>
            </c:ext>
          </c:extLst>
        </c:ser>
        <c:dLbls>
          <c:showLegendKey val="0"/>
          <c:showVal val="0"/>
          <c:showCatName val="0"/>
          <c:showSerName val="0"/>
          <c:showPercent val="0"/>
          <c:showBubbleSize val="0"/>
        </c:dLbls>
        <c:gapWidth val="150"/>
        <c:overlap val="100"/>
        <c:axId val="821653735"/>
        <c:axId val="167558160"/>
      </c:barChart>
      <c:catAx>
        <c:axId val="82165373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Type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pt-BR"/>
          </a:p>
        </c:txPr>
        <c:crossAx val="167558160"/>
        <c:crosses val="autoZero"/>
        <c:auto val="1"/>
        <c:lblAlgn val="ctr"/>
        <c:lblOffset val="100"/>
        <c:noMultiLvlLbl val="1"/>
      </c:catAx>
      <c:valAx>
        <c:axId val="16755816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pt-BR"/>
          </a:p>
        </c:txPr>
        <c:crossAx val="821653735"/>
        <c:crosses val="max"/>
        <c:crossBetween val="between"/>
      </c:valAx>
    </c:plotArea>
    <c:legend>
      <c:legendPos val="r"/>
      <c:overlay val="0"/>
      <c:txPr>
        <a:bodyPr/>
        <a:lstStyle/>
        <a:p>
          <a:pPr lvl="0">
            <a:defRPr b="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b="0">
                <a:solidFill>
                  <a:srgbClr val="757575"/>
                </a:solidFill>
                <a:latin typeface="+mn-lt"/>
              </a:defRPr>
            </a:pPr>
            <a:r>
              <a:rPr lang="pt-BR" b="0">
                <a:solidFill>
                  <a:srgbClr val="757575"/>
                </a:solidFill>
                <a:latin typeface="+mn-lt"/>
              </a:rPr>
              <a:t>Main and Side</a:t>
            </a:r>
          </a:p>
        </c:rich>
      </c:tx>
      <c:overlay val="0"/>
    </c:title>
    <c:autoTitleDeleted val="0"/>
    <c:plotArea>
      <c:layout/>
      <c:barChart>
        <c:barDir val="bar"/>
        <c:grouping val="stacked"/>
        <c:varyColors val="1"/>
        <c:ser>
          <c:idx val="0"/>
          <c:order val="0"/>
          <c:tx>
            <c:strRef>
              <c:f>'Books combined'!$B$106</c:f>
              <c:strCache>
                <c:ptCount val="1"/>
                <c:pt idx="0">
                  <c:v>Main</c:v>
                </c:pt>
              </c:strCache>
            </c:strRef>
          </c:tx>
          <c:spPr>
            <a:solidFill>
              <a:srgbClr val="A4C2F4"/>
            </a:solidFill>
            <a:ln cmpd="sng">
              <a:solidFill>
                <a:srgbClr val="000000"/>
              </a:solidFill>
            </a:ln>
          </c:spPr>
          <c:invertIfNegative val="1"/>
          <c:dLbls>
            <c:spPr>
              <a:noFill/>
              <a:ln>
                <a:noFill/>
              </a:ln>
              <a:effectLst/>
            </c:spPr>
            <c:txPr>
              <a:bodyPr/>
              <a:lstStyle/>
              <a:p>
                <a:pPr lvl="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'Books combined'!$A$107:$A$112</c:f>
              <c:strCache>
                <c:ptCount val="6"/>
                <c:pt idx="0">
                  <c:v>Pork</c:v>
                </c:pt>
                <c:pt idx="1">
                  <c:v>Beef</c:v>
                </c:pt>
                <c:pt idx="2">
                  <c:v>Poultry</c:v>
                </c:pt>
                <c:pt idx="3">
                  <c:v>Seafood</c:v>
                </c:pt>
                <c:pt idx="4">
                  <c:v>Vegan</c:v>
                </c:pt>
                <c:pt idx="5">
                  <c:v>Vegetarian</c:v>
                </c:pt>
              </c:strCache>
            </c:strRef>
          </c:cat>
          <c:val>
            <c:numRef>
              <c:f>'Books combined'!$B$107:$B$112</c:f>
              <c:numCache>
                <c:formatCode>General</c:formatCode>
                <c:ptCount val="6"/>
                <c:pt idx="0">
                  <c:v>6</c:v>
                </c:pt>
                <c:pt idx="1">
                  <c:v>16</c:v>
                </c:pt>
                <c:pt idx="2">
                  <c:v>7</c:v>
                </c:pt>
                <c:pt idx="3">
                  <c:v>11</c:v>
                </c:pt>
                <c:pt idx="4">
                  <c:v>1</c:v>
                </c:pt>
                <c:pt idx="5">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C8E-40D4-BB3D-42AA35F95318}"/>
            </c:ext>
          </c:extLst>
        </c:ser>
        <c:ser>
          <c:idx val="1"/>
          <c:order val="1"/>
          <c:tx>
            <c:strRef>
              <c:f>'Books combined'!$C$106</c:f>
              <c:strCache>
                <c:ptCount val="1"/>
                <c:pt idx="0">
                  <c:v>Side</c:v>
                </c:pt>
              </c:strCache>
            </c:strRef>
          </c:tx>
          <c:spPr>
            <a:solidFill>
              <a:srgbClr val="EA9999"/>
            </a:solidFill>
            <a:ln cmpd="sng">
              <a:solidFill>
                <a:srgbClr val="000000"/>
              </a:solidFill>
            </a:ln>
          </c:spPr>
          <c:invertIfNegative val="1"/>
          <c:dLbls>
            <c:spPr>
              <a:noFill/>
              <a:ln>
                <a:noFill/>
              </a:ln>
              <a:effectLst/>
            </c:spPr>
            <c:txPr>
              <a:bodyPr/>
              <a:lstStyle/>
              <a:p>
                <a:pPr lvl="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'Books combined'!$A$107:$A$112</c:f>
              <c:strCache>
                <c:ptCount val="6"/>
                <c:pt idx="0">
                  <c:v>Pork</c:v>
                </c:pt>
                <c:pt idx="1">
                  <c:v>Beef</c:v>
                </c:pt>
                <c:pt idx="2">
                  <c:v>Poultry</c:v>
                </c:pt>
                <c:pt idx="3">
                  <c:v>Seafood</c:v>
                </c:pt>
                <c:pt idx="4">
                  <c:v>Vegan</c:v>
                </c:pt>
                <c:pt idx="5">
                  <c:v>Vegetarian</c:v>
                </c:pt>
              </c:strCache>
            </c:strRef>
          </c:cat>
          <c:val>
            <c:numRef>
              <c:f>'Books combined'!$C$107:$C$112</c:f>
              <c:numCache>
                <c:formatCode>General</c:formatCode>
                <c:ptCount val="6"/>
                <c:pt idx="0">
                  <c:v>8</c:v>
                </c:pt>
                <c:pt idx="1">
                  <c:v>3</c:v>
                </c:pt>
                <c:pt idx="2">
                  <c:v>2</c:v>
                </c:pt>
                <c:pt idx="3">
                  <c:v>5</c:v>
                </c:pt>
                <c:pt idx="4">
                  <c:v>12</c:v>
                </c:pt>
                <c:pt idx="5">
                  <c:v>12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AC8E-40D4-BB3D-42AA35F95318}"/>
            </c:ext>
          </c:extLst>
        </c:ser>
        <c:dLbls>
          <c:showLegendKey val="0"/>
          <c:showVal val="0"/>
          <c:showCatName val="0"/>
          <c:showSerName val="0"/>
          <c:showPercent val="0"/>
          <c:showBubbleSize val="0"/>
        </c:dLbls>
        <c:gapWidth val="150"/>
        <c:overlap val="100"/>
        <c:axId val="1345500724"/>
        <c:axId val="1209383092"/>
      </c:barChart>
      <c:catAx>
        <c:axId val="1345500724"/>
        <c:scaling>
          <c:orientation val="maxMin"/>
        </c:scaling>
        <c:delete val="0"/>
        <c:axPos val="l"/>
        <c:title>
          <c:tx>
            <c:rich>
              <a:bodyPr/>
              <a:lstStyle/>
              <a:p>
                <a:pPr lvl="0">
                  <a:defRPr b="0">
                    <a:solidFill>
                      <a:srgbClr val="000000"/>
                    </a:solidFill>
                    <a:latin typeface="+mn-lt"/>
                  </a:defRPr>
                </a:pPr>
                <a:r>
                  <a:rPr lang="pt-BR" b="0">
                    <a:solidFill>
                      <a:srgbClr val="000000"/>
                    </a:solidFill>
                    <a:latin typeface="+mn-lt"/>
                  </a:rPr>
                  <a:t>Type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pt-BR"/>
          </a:p>
        </c:txPr>
        <c:crossAx val="1209383092"/>
        <c:crosses val="autoZero"/>
        <c:auto val="1"/>
        <c:lblAlgn val="ctr"/>
        <c:lblOffset val="100"/>
        <c:noMultiLvlLbl val="1"/>
      </c:catAx>
      <c:valAx>
        <c:axId val="120938309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pt-B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pt-BR"/>
          </a:p>
        </c:txPr>
        <c:crossAx val="1345500724"/>
        <c:crosses val="max"/>
        <c:crossBetween val="between"/>
      </c:valAx>
    </c:plotArea>
    <c:legend>
      <c:legendPos val="r"/>
      <c:overlay val="0"/>
      <c:txPr>
        <a:bodyPr/>
        <a:lstStyle/>
        <a:p>
          <a:pPr lvl="0">
            <a:defRPr b="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Mín,</a:t>
            </a:r>
            <a:r>
              <a:rPr lang="pt-BR" baseline="0"/>
              <a:t> Max and Average recipes</a:t>
            </a:r>
            <a:endParaRPr lang="pt-BR"/>
          </a:p>
        </c:rich>
      </c:tx>
      <c:layout>
        <c:manualLayout>
          <c:xMode val="edge"/>
          <c:yMode val="edge"/>
          <c:x val="0.27880899254078256"/>
          <c:y val="4.47658402203856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tx>
            <c:strRef>
              <c:f>'Books combined'!$A$165</c:f>
              <c:strCache>
                <c:ptCount val="1"/>
                <c:pt idx="0">
                  <c:v>Average</c:v>
                </c:pt>
              </c:strCache>
            </c:strRef>
          </c:tx>
          <c:spPr>
            <a:ln w="28575" cap="rnd">
              <a:noFill/>
              <a:round/>
            </a:ln>
            <a:effectLst/>
          </c:spPr>
          <c:marker>
            <c:symbol val="square"/>
            <c:size val="8"/>
            <c:spPr>
              <a:solidFill>
                <a:schemeClr val="accent1">
                  <a:lumMod val="40000"/>
                  <a:lumOff val="60000"/>
                </a:schemeClr>
              </a:solidFill>
              <a:ln w="9525">
                <a:solidFill>
                  <a:schemeClr val="accent1">
                    <a:lumMod val="40000"/>
                    <a:lumOff val="60000"/>
                  </a:schemeClr>
                </a:solidFill>
              </a:ln>
              <a:effectLst/>
            </c:spPr>
          </c:marker>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'Books combined'!$B$164:$G$164</c:f>
              <c:strCache>
                <c:ptCount val="6"/>
                <c:pt idx="0">
                  <c:v>Meat</c:v>
                </c:pt>
                <c:pt idx="1">
                  <c:v>Pork</c:v>
                </c:pt>
                <c:pt idx="2">
                  <c:v>Poultry</c:v>
                </c:pt>
                <c:pt idx="3">
                  <c:v>Sea food</c:v>
                </c:pt>
                <c:pt idx="4">
                  <c:v>Vegan</c:v>
                </c:pt>
                <c:pt idx="5">
                  <c:v>Vegetarian</c:v>
                </c:pt>
              </c:strCache>
            </c:strRef>
          </c:cat>
          <c:val>
            <c:numRef>
              <c:f>'Books combined'!$B$165:$G$165</c:f>
              <c:numCache>
                <c:formatCode>General</c:formatCode>
                <c:ptCount val="6"/>
                <c:pt idx="0">
                  <c:v>11835.931719633028</c:v>
                </c:pt>
                <c:pt idx="1">
                  <c:v>6656.8799834126585</c:v>
                </c:pt>
                <c:pt idx="2">
                  <c:v>3606.7480893822076</c:v>
                </c:pt>
                <c:pt idx="3">
                  <c:v>4280.5248306134245</c:v>
                </c:pt>
                <c:pt idx="4">
                  <c:v>775.41037670376693</c:v>
                </c:pt>
                <c:pt idx="5">
                  <c:v>1728.0907685930763</c:v>
                </c:pt>
              </c:numCache>
            </c:numRef>
          </c:val>
          <c:smooth val="0"/>
          <c:extLst>
            <c:ext xmlns:c16="http://schemas.microsoft.com/office/drawing/2014/chart" uri="{C3380CC4-5D6E-409C-BE32-E72D297353CC}">
              <c16:uniqueId val="{00000000-0634-4C3D-A185-8253A18CF9FF}"/>
            </c:ext>
          </c:extLst>
        </c:ser>
        <c:ser>
          <c:idx val="1"/>
          <c:order val="1"/>
          <c:tx>
            <c:strRef>
              <c:f>'Books combined'!$A$166</c:f>
              <c:strCache>
                <c:ptCount val="1"/>
                <c:pt idx="0">
                  <c:v>Min</c:v>
                </c:pt>
              </c:strCache>
            </c:strRef>
          </c:tx>
          <c:spPr>
            <a:ln w="28575" cap="rnd">
              <a:noFill/>
              <a:round/>
            </a:ln>
            <a:effectLst/>
          </c:spPr>
          <c:marker>
            <c:symbol val="diamond"/>
            <c:size val="5"/>
            <c:spPr>
              <a:solidFill>
                <a:schemeClr val="accent2"/>
              </a:solidFill>
              <a:ln w="9525">
                <a:solidFill>
                  <a:schemeClr val="accent2"/>
                </a:solidFill>
              </a:ln>
              <a:effectLst/>
            </c:spPr>
          </c:marker>
          <c:dLbls>
            <c:dLbl>
              <c:idx val="4"/>
              <c:layout>
                <c:manualLayout>
                  <c:x val="-1.6651336555448491E-16"/>
                  <c:y val="1.72176308539943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628-4A8B-B62D-90EC15182C05}"/>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'Books combined'!$B$164:$G$164</c:f>
              <c:strCache>
                <c:ptCount val="6"/>
                <c:pt idx="0">
                  <c:v>Meat</c:v>
                </c:pt>
                <c:pt idx="1">
                  <c:v>Pork</c:v>
                </c:pt>
                <c:pt idx="2">
                  <c:v>Poultry</c:v>
                </c:pt>
                <c:pt idx="3">
                  <c:v>Sea food</c:v>
                </c:pt>
                <c:pt idx="4">
                  <c:v>Vegan</c:v>
                </c:pt>
                <c:pt idx="5">
                  <c:v>Vegetarian</c:v>
                </c:pt>
              </c:strCache>
            </c:strRef>
          </c:cat>
          <c:val>
            <c:numRef>
              <c:f>'Books combined'!$B$166:$G$166</c:f>
              <c:numCache>
                <c:formatCode>General</c:formatCode>
                <c:ptCount val="6"/>
                <c:pt idx="0">
                  <c:v>494.44170534606457</c:v>
                </c:pt>
                <c:pt idx="1">
                  <c:v>648.37367121687237</c:v>
                </c:pt>
                <c:pt idx="2">
                  <c:v>585.94644347982194</c:v>
                </c:pt>
                <c:pt idx="3">
                  <c:v>1229.9275914471762</c:v>
                </c:pt>
                <c:pt idx="4">
                  <c:v>171.09509819355003</c:v>
                </c:pt>
                <c:pt idx="5">
                  <c:v>226.05483333333331</c:v>
                </c:pt>
              </c:numCache>
            </c:numRef>
          </c:val>
          <c:smooth val="0"/>
          <c:extLst>
            <c:ext xmlns:c16="http://schemas.microsoft.com/office/drawing/2014/chart" uri="{C3380CC4-5D6E-409C-BE32-E72D297353CC}">
              <c16:uniqueId val="{00000001-0634-4C3D-A185-8253A18CF9FF}"/>
            </c:ext>
          </c:extLst>
        </c:ser>
        <c:ser>
          <c:idx val="2"/>
          <c:order val="2"/>
          <c:tx>
            <c:strRef>
              <c:f>'Books combined'!$A$167</c:f>
              <c:strCache>
                <c:ptCount val="1"/>
                <c:pt idx="0">
                  <c:v>Max</c:v>
                </c:pt>
              </c:strCache>
            </c:strRef>
          </c:tx>
          <c:spPr>
            <a:ln w="28575" cap="rnd">
              <a:noFill/>
              <a:round/>
            </a:ln>
            <a:effectLst/>
          </c:spPr>
          <c:marker>
            <c:symbol val="diamond"/>
            <c:size val="5"/>
            <c:spPr>
              <a:solidFill>
                <a:schemeClr val="accent4">
                  <a:lumMod val="50000"/>
                </a:schemeClr>
              </a:solidFill>
              <a:ln w="9525">
                <a:solidFill>
                  <a:schemeClr val="tx1"/>
                </a:solidFill>
              </a:ln>
              <a:effectLst/>
            </c:spPr>
          </c:marker>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'Books combined'!$B$164:$G$164</c:f>
              <c:strCache>
                <c:ptCount val="6"/>
                <c:pt idx="0">
                  <c:v>Meat</c:v>
                </c:pt>
                <c:pt idx="1">
                  <c:v>Pork</c:v>
                </c:pt>
                <c:pt idx="2">
                  <c:v>Poultry</c:v>
                </c:pt>
                <c:pt idx="3">
                  <c:v>Sea food</c:v>
                </c:pt>
                <c:pt idx="4">
                  <c:v>Vegan</c:v>
                </c:pt>
                <c:pt idx="5">
                  <c:v>Vegetarian</c:v>
                </c:pt>
              </c:strCache>
            </c:strRef>
          </c:cat>
          <c:val>
            <c:numRef>
              <c:f>'Books combined'!$B$167:$G$167</c:f>
              <c:numCache>
                <c:formatCode>General</c:formatCode>
                <c:ptCount val="6"/>
                <c:pt idx="0">
                  <c:v>33893.223495175684</c:v>
                </c:pt>
                <c:pt idx="1">
                  <c:v>16820.930903543278</c:v>
                </c:pt>
                <c:pt idx="2">
                  <c:v>7282.2071089503124</c:v>
                </c:pt>
                <c:pt idx="3">
                  <c:v>7992.0897075355588</c:v>
                </c:pt>
                <c:pt idx="4">
                  <c:v>2872.5811643159213</c:v>
                </c:pt>
                <c:pt idx="5">
                  <c:v>6646.7026547696014</c:v>
                </c:pt>
              </c:numCache>
            </c:numRef>
          </c:val>
          <c:smooth val="0"/>
          <c:extLst>
            <c:ext xmlns:c16="http://schemas.microsoft.com/office/drawing/2014/chart" uri="{C3380CC4-5D6E-409C-BE32-E72D297353CC}">
              <c16:uniqueId val="{00000002-0634-4C3D-A185-8253A18CF9FF}"/>
            </c:ext>
          </c:extLst>
        </c:ser>
        <c:dLbls>
          <c:dLblPos val="r"/>
          <c:showLegendKey val="0"/>
          <c:showVal val="1"/>
          <c:showCatName val="0"/>
          <c:showSerName val="0"/>
          <c:showPercent val="0"/>
          <c:showBubbleSize val="0"/>
        </c:dLbls>
        <c:hiLowLines>
          <c:spPr>
            <a:ln w="9525" cap="flat" cmpd="sng" algn="ctr">
              <a:solidFill>
                <a:schemeClr val="tx1">
                  <a:lumMod val="75000"/>
                  <a:lumOff val="25000"/>
                </a:schemeClr>
              </a:solidFill>
              <a:round/>
            </a:ln>
            <a:effectLst/>
          </c:spPr>
        </c:hiLowLines>
        <c:marker val="1"/>
        <c:smooth val="0"/>
        <c:axId val="1369136240"/>
        <c:axId val="1369142480"/>
      </c:lineChart>
      <c:catAx>
        <c:axId val="1369136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369142480"/>
        <c:crosses val="autoZero"/>
        <c:auto val="1"/>
        <c:lblAlgn val="ctr"/>
        <c:lblOffset val="100"/>
        <c:noMultiLvlLbl val="0"/>
      </c:catAx>
      <c:valAx>
        <c:axId val="1369142480"/>
        <c:scaling>
          <c:orientation val="minMax"/>
        </c:scaling>
        <c:delete val="1"/>
        <c:axPos val="l"/>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rgbClr val="000000">
                        <a:lumMod val="65000"/>
                        <a:lumOff val="35000"/>
                      </a:srgbClr>
                    </a:solidFill>
                    <a:latin typeface="+mn-lt"/>
                    <a:ea typeface="+mn-ea"/>
                    <a:cs typeface="+mn-cs"/>
                  </a:defRPr>
                </a:pPr>
                <a:r>
                  <a:rPr lang="pt-BR"/>
                  <a:t>Total Carbon</a:t>
                </a:r>
                <a:r>
                  <a:rPr lang="pt-BR" baseline="0"/>
                  <a:t> footprint (</a:t>
                </a:r>
                <a:r>
                  <a:rPr lang="pt-BR" b="0">
                    <a:effectLst/>
                  </a:rPr>
                  <a:t>gCO2e)</a:t>
                </a:r>
              </a:p>
              <a:p>
                <a:pPr marL="0" marR="0" lvl="0" indent="0" algn="ctr" defTabSz="914400" rtl="0" eaLnBrk="1" fontAlgn="auto" latinLnBrk="0" hangingPunct="1">
                  <a:lnSpc>
                    <a:spcPct val="100000"/>
                  </a:lnSpc>
                  <a:spcBef>
                    <a:spcPts val="0"/>
                  </a:spcBef>
                  <a:spcAft>
                    <a:spcPts val="0"/>
                  </a:spcAft>
                  <a:buClrTx/>
                  <a:buSzTx/>
                  <a:buFontTx/>
                  <a:buNone/>
                  <a:tabLst/>
                  <a:defRPr>
                    <a:solidFill>
                      <a:srgbClr val="000000">
                        <a:lumMod val="65000"/>
                        <a:lumOff val="35000"/>
                      </a:srgbClr>
                    </a:solidFill>
                  </a:defRPr>
                </a:pPr>
                <a:endParaRPr lang="pt-B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rgbClr val="000000">
                      <a:lumMod val="65000"/>
                      <a:lumOff val="35000"/>
                    </a:srgbClr>
                  </a:solidFill>
                  <a:latin typeface="+mn-lt"/>
                  <a:ea typeface="+mn-ea"/>
                  <a:cs typeface="+mn-cs"/>
                </a:defRPr>
              </a:pPr>
              <a:endParaRPr lang="pt-BR"/>
            </a:p>
          </c:txPr>
        </c:title>
        <c:numFmt formatCode="General" sourceLinked="1"/>
        <c:majorTickMark val="none"/>
        <c:minorTickMark val="none"/>
        <c:tickLblPos val="nextTo"/>
        <c:crossAx val="1369136240"/>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400" b="0" i="0" baseline="0">
                <a:effectLst/>
              </a:rPr>
              <a:t>Mín, Max and Average per serving</a:t>
            </a:r>
            <a:endParaRPr lang="pt-BR" sz="14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tx>
            <c:strRef>
              <c:f>'Books combined'!$I$165</c:f>
              <c:strCache>
                <c:ptCount val="1"/>
                <c:pt idx="0">
                  <c:v>Average</c:v>
                </c:pt>
              </c:strCache>
            </c:strRef>
          </c:tx>
          <c:spPr>
            <a:ln w="28575" cap="rnd">
              <a:noFill/>
              <a:round/>
            </a:ln>
            <a:effectLst/>
          </c:spPr>
          <c:marker>
            <c:symbol val="square"/>
            <c:size val="7"/>
            <c:spPr>
              <a:solidFill>
                <a:schemeClr val="accent1"/>
              </a:solidFill>
              <a:ln w="9525">
                <a:solidFill>
                  <a:schemeClr val="accent1"/>
                </a:solidFill>
              </a:ln>
              <a:effectLst/>
            </c:spPr>
          </c:marker>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'Books combined'!$J$164:$O$164</c:f>
              <c:strCache>
                <c:ptCount val="6"/>
                <c:pt idx="0">
                  <c:v>Meat</c:v>
                </c:pt>
                <c:pt idx="1">
                  <c:v>Pork</c:v>
                </c:pt>
                <c:pt idx="2">
                  <c:v>Poultry</c:v>
                </c:pt>
                <c:pt idx="3">
                  <c:v>Sea food</c:v>
                </c:pt>
                <c:pt idx="4">
                  <c:v>Vegan</c:v>
                </c:pt>
                <c:pt idx="5">
                  <c:v>Vegetarian</c:v>
                </c:pt>
              </c:strCache>
            </c:strRef>
          </c:cat>
          <c:val>
            <c:numRef>
              <c:f>'Books combined'!$J$165:$O$165</c:f>
              <c:numCache>
                <c:formatCode>General</c:formatCode>
                <c:ptCount val="6"/>
                <c:pt idx="0">
                  <c:v>2101.838510229657</c:v>
                </c:pt>
                <c:pt idx="1">
                  <c:v>856.86733371024945</c:v>
                </c:pt>
                <c:pt idx="2">
                  <c:v>711.1972321189387</c:v>
                </c:pt>
                <c:pt idx="3">
                  <c:v>640.36779257789499</c:v>
                </c:pt>
                <c:pt idx="4">
                  <c:v>170.4992383075849</c:v>
                </c:pt>
                <c:pt idx="5">
                  <c:v>202.67296562997078</c:v>
                </c:pt>
              </c:numCache>
            </c:numRef>
          </c:val>
          <c:smooth val="0"/>
          <c:extLst>
            <c:ext xmlns:c16="http://schemas.microsoft.com/office/drawing/2014/chart" uri="{C3380CC4-5D6E-409C-BE32-E72D297353CC}">
              <c16:uniqueId val="{00000000-EDEA-4AC0-B860-7D49488A94AF}"/>
            </c:ext>
          </c:extLst>
        </c:ser>
        <c:ser>
          <c:idx val="1"/>
          <c:order val="1"/>
          <c:tx>
            <c:strRef>
              <c:f>'Books combined'!$I$166</c:f>
              <c:strCache>
                <c:ptCount val="1"/>
                <c:pt idx="0">
                  <c:v>Min</c:v>
                </c:pt>
              </c:strCache>
            </c:strRef>
          </c:tx>
          <c:spPr>
            <a:ln w="28575" cap="rnd">
              <a:noFill/>
              <a:round/>
            </a:ln>
            <a:effectLst/>
          </c:spPr>
          <c:marker>
            <c:symbol val="diamond"/>
            <c:size val="5"/>
            <c:spPr>
              <a:solidFill>
                <a:schemeClr val="accent2"/>
              </a:solidFill>
              <a:ln w="9525">
                <a:solidFill>
                  <a:schemeClr val="accent2"/>
                </a:solidFill>
              </a:ln>
              <a:effectLst/>
            </c:spPr>
          </c:marker>
          <c:dLbls>
            <c:dLbl>
              <c:idx val="4"/>
              <c:layout>
                <c:manualLayout>
                  <c:x val="0"/>
                  <c:y val="1.333333333333333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6A5-4181-9128-8970CF082052}"/>
                </c:ext>
              </c:extLst>
            </c:dLbl>
            <c:dLbl>
              <c:idx val="5"/>
              <c:layout>
                <c:manualLayout>
                  <c:x val="-2.0885547201336674E-3"/>
                  <c:y val="0.0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6A5-4181-9128-8970CF082052}"/>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'Books combined'!$J$164:$O$164</c:f>
              <c:strCache>
                <c:ptCount val="6"/>
                <c:pt idx="0">
                  <c:v>Meat</c:v>
                </c:pt>
                <c:pt idx="1">
                  <c:v>Pork</c:v>
                </c:pt>
                <c:pt idx="2">
                  <c:v>Poultry</c:v>
                </c:pt>
                <c:pt idx="3">
                  <c:v>Sea food</c:v>
                </c:pt>
                <c:pt idx="4">
                  <c:v>Vegan</c:v>
                </c:pt>
                <c:pt idx="5">
                  <c:v>Vegetarian</c:v>
                </c:pt>
              </c:strCache>
            </c:strRef>
          </c:cat>
          <c:val>
            <c:numRef>
              <c:f>'Books combined'!$J$166:$O$166</c:f>
              <c:numCache>
                <c:formatCode>General</c:formatCode>
                <c:ptCount val="6"/>
                <c:pt idx="0">
                  <c:v>239.02466360803518</c:v>
                </c:pt>
                <c:pt idx="1">
                  <c:v>188.53282274208826</c:v>
                </c:pt>
                <c:pt idx="2">
                  <c:v>97.657740579970323</c:v>
                </c:pt>
                <c:pt idx="3">
                  <c:v>61.496379572358805</c:v>
                </c:pt>
                <c:pt idx="4">
                  <c:v>28.515849698925006</c:v>
                </c:pt>
                <c:pt idx="5">
                  <c:v>5.8945303787742649</c:v>
                </c:pt>
              </c:numCache>
            </c:numRef>
          </c:val>
          <c:smooth val="0"/>
          <c:extLst>
            <c:ext xmlns:c16="http://schemas.microsoft.com/office/drawing/2014/chart" uri="{C3380CC4-5D6E-409C-BE32-E72D297353CC}">
              <c16:uniqueId val="{00000001-EDEA-4AC0-B860-7D49488A94AF}"/>
            </c:ext>
          </c:extLst>
        </c:ser>
        <c:ser>
          <c:idx val="2"/>
          <c:order val="2"/>
          <c:tx>
            <c:strRef>
              <c:f>'Books combined'!$I$167</c:f>
              <c:strCache>
                <c:ptCount val="1"/>
                <c:pt idx="0">
                  <c:v>Max</c:v>
                </c:pt>
              </c:strCache>
            </c:strRef>
          </c:tx>
          <c:spPr>
            <a:ln w="28575" cap="rnd">
              <a:noFill/>
              <a:round/>
            </a:ln>
            <a:effectLst/>
          </c:spPr>
          <c:marker>
            <c:symbol val="diamond"/>
            <c:size val="5"/>
            <c:spPr>
              <a:solidFill>
                <a:schemeClr val="accent4"/>
              </a:solidFill>
              <a:ln w="9525">
                <a:solidFill>
                  <a:schemeClr val="tx1"/>
                </a:solidFill>
              </a:ln>
              <a:effectLst/>
            </c:spPr>
          </c:marker>
          <c:dLbls>
            <c:dLbl>
              <c:idx val="0"/>
              <c:layout>
                <c:manualLayout>
                  <c:x val="-2.5062574415040225E-2"/>
                  <c:y val="1.3123359580052494E-7"/>
                </c:manualLayout>
              </c:layout>
              <c:dLblPos val="r"/>
              <c:showLegendKey val="0"/>
              <c:showVal val="1"/>
              <c:showCatName val="0"/>
              <c:showSerName val="0"/>
              <c:showPercent val="0"/>
              <c:showBubbleSize val="0"/>
              <c:extLst>
                <c:ext xmlns:c15="http://schemas.microsoft.com/office/drawing/2012/chart" uri="{CE6537A1-D6FC-4f65-9D91-7224C49458BB}">
                  <c15:layout>
                    <c:manualLayout>
                      <c:w val="0.14740684793554884"/>
                      <c:h val="5.5053792780852887E-2"/>
                    </c:manualLayout>
                  </c15:layout>
                </c:ext>
                <c:ext xmlns:c16="http://schemas.microsoft.com/office/drawing/2014/chart" uri="{C3380CC4-5D6E-409C-BE32-E72D297353CC}">
                  <c16:uniqueId val="{00000003-EDEA-4AC0-B860-7D49488A94AF}"/>
                </c:ext>
              </c:extLst>
            </c:dLbl>
            <c:dLbl>
              <c:idx val="1"/>
              <c:layout>
                <c:manualLayout>
                  <c:x val="-2.7151129135173931E-2"/>
                  <c:y val="1.3123359580052494E-7"/>
                </c:manualLayout>
              </c:layout>
              <c:dLblPos val="r"/>
              <c:showLegendKey val="0"/>
              <c:showVal val="1"/>
              <c:showCatName val="0"/>
              <c:showSerName val="0"/>
              <c:showPercent val="0"/>
              <c:showBubbleSize val="0"/>
              <c:extLst>
                <c:ext xmlns:c15="http://schemas.microsoft.com/office/drawing/2012/chart" uri="{CE6537A1-D6FC-4f65-9D91-7224C49458BB}">
                  <c15:layout>
                    <c:manualLayout>
                      <c:w val="0.14740684793554884"/>
                      <c:h val="5.5053792780852887E-2"/>
                    </c:manualLayout>
                  </c15:layout>
                </c:ext>
                <c:ext xmlns:c16="http://schemas.microsoft.com/office/drawing/2014/chart" uri="{C3380CC4-5D6E-409C-BE32-E72D297353CC}">
                  <c16:uniqueId val="{00000004-EDEA-4AC0-B860-7D49488A94AF}"/>
                </c:ext>
              </c:extLst>
            </c:dLbl>
            <c:dLbl>
              <c:idx val="2"/>
              <c:layout>
                <c:manualLayout>
                  <c:x val="-3.7593902735842233E-2"/>
                  <c:y val="-1.3333202099737654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0.14740684793554884"/>
                      <c:h val="5.5053792780852887E-2"/>
                    </c:manualLayout>
                  </c15:layout>
                </c:ext>
                <c:ext xmlns:c16="http://schemas.microsoft.com/office/drawing/2014/chart" uri="{C3380CC4-5D6E-409C-BE32-E72D297353CC}">
                  <c16:uniqueId val="{00000005-EDEA-4AC0-B860-7D49488A94AF}"/>
                </c:ext>
              </c:extLst>
            </c:dLbl>
            <c:dLbl>
              <c:idx val="3"/>
              <c:layout>
                <c:manualLayout>
                  <c:x val="-3.5505348015708565E-2"/>
                  <c:y val="1.3123359567830413E-7"/>
                </c:manualLayout>
              </c:layout>
              <c:dLblPos val="r"/>
              <c:showLegendKey val="0"/>
              <c:showVal val="1"/>
              <c:showCatName val="0"/>
              <c:showSerName val="0"/>
              <c:showPercent val="0"/>
              <c:showBubbleSize val="0"/>
              <c:extLst>
                <c:ext xmlns:c15="http://schemas.microsoft.com/office/drawing/2012/chart" uri="{CE6537A1-D6FC-4f65-9D91-7224C49458BB}">
                  <c15:layout>
                    <c:manualLayout>
                      <c:w val="0.14740684793554884"/>
                      <c:h val="5.5053792780852887E-2"/>
                    </c:manualLayout>
                  </c15:layout>
                </c:ext>
                <c:ext xmlns:c16="http://schemas.microsoft.com/office/drawing/2014/chart" uri="{C3380CC4-5D6E-409C-BE32-E72D297353CC}">
                  <c16:uniqueId val="{00000006-EDEA-4AC0-B860-7D49488A94AF}"/>
                </c:ext>
              </c:extLst>
            </c:dLbl>
            <c:dLbl>
              <c:idx val="4"/>
              <c:layout>
                <c:manualLayout>
                  <c:x val="-5.2213785776777905E-2"/>
                  <c:y val="-1.3333202099737533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0.14740684793554884"/>
                      <c:h val="5.5053792780852887E-2"/>
                    </c:manualLayout>
                  </c15:layout>
                </c:ext>
                <c:ext xmlns:c16="http://schemas.microsoft.com/office/drawing/2014/chart" uri="{C3380CC4-5D6E-409C-BE32-E72D297353CC}">
                  <c16:uniqueId val="{00000007-EDEA-4AC0-B860-7D49488A94AF}"/>
                </c:ext>
              </c:extLst>
            </c:dLbl>
            <c:dLbl>
              <c:idx val="5"/>
              <c:layout>
                <c:manualLayout>
                  <c:x val="-8.2226563784790057E-8"/>
                  <c:y val="-2.9999868766404321E-2"/>
                </c:manualLayout>
              </c:layout>
              <c:dLblPos val="r"/>
              <c:showLegendKey val="0"/>
              <c:showVal val="1"/>
              <c:showCatName val="0"/>
              <c:showSerName val="0"/>
              <c:showPercent val="0"/>
              <c:showBubbleSize val="0"/>
              <c:extLst>
                <c:ext xmlns:c15="http://schemas.microsoft.com/office/drawing/2012/chart" uri="{CE6537A1-D6FC-4f65-9D91-7224C49458BB}">
                  <c15:layout>
                    <c:manualLayout>
                      <c:w val="0.14740684793554884"/>
                      <c:h val="5.5053792780852887E-2"/>
                    </c:manualLayout>
                  </c15:layout>
                </c:ext>
                <c:ext xmlns:c16="http://schemas.microsoft.com/office/drawing/2014/chart" uri="{C3380CC4-5D6E-409C-BE32-E72D297353CC}">
                  <c16:uniqueId val="{00000008-EDEA-4AC0-B860-7D49488A94AF}"/>
                </c:ext>
              </c:extLst>
            </c:dLbl>
            <c:numFmt formatCode="#,##0.00" sourceLinked="0"/>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'Books combined'!$J$164:$O$164</c:f>
              <c:strCache>
                <c:ptCount val="6"/>
                <c:pt idx="0">
                  <c:v>Meat</c:v>
                </c:pt>
                <c:pt idx="1">
                  <c:v>Pork</c:v>
                </c:pt>
                <c:pt idx="2">
                  <c:v>Poultry</c:v>
                </c:pt>
                <c:pt idx="3">
                  <c:v>Sea food</c:v>
                </c:pt>
                <c:pt idx="4">
                  <c:v>Vegan</c:v>
                </c:pt>
                <c:pt idx="5">
                  <c:v>Vegetarian</c:v>
                </c:pt>
              </c:strCache>
            </c:strRef>
          </c:cat>
          <c:val>
            <c:numRef>
              <c:f>'Books combined'!$J$167:$O$167</c:f>
              <c:numCache>
                <c:formatCode>General</c:formatCode>
                <c:ptCount val="6"/>
                <c:pt idx="0">
                  <c:v>8230.3802462833337</c:v>
                </c:pt>
                <c:pt idx="1">
                  <c:v>2691.9377622459701</c:v>
                </c:pt>
                <c:pt idx="2">
                  <c:v>1213.701184825052</c:v>
                </c:pt>
                <c:pt idx="3">
                  <c:v>1332.0149512559265</c:v>
                </c:pt>
                <c:pt idx="4">
                  <c:v>574.51623286318431</c:v>
                </c:pt>
                <c:pt idx="5">
                  <c:v>1107.7837757949335</c:v>
                </c:pt>
              </c:numCache>
            </c:numRef>
          </c:val>
          <c:smooth val="0"/>
          <c:extLst>
            <c:ext xmlns:c16="http://schemas.microsoft.com/office/drawing/2014/chart" uri="{C3380CC4-5D6E-409C-BE32-E72D297353CC}">
              <c16:uniqueId val="{00000002-EDEA-4AC0-B860-7D49488A94AF}"/>
            </c:ext>
          </c:extLst>
        </c:ser>
        <c:dLbls>
          <c:dLblPos val="r"/>
          <c:showLegendKey val="0"/>
          <c:showVal val="1"/>
          <c:showCatName val="0"/>
          <c:showSerName val="0"/>
          <c:showPercent val="0"/>
          <c:showBubbleSize val="0"/>
        </c:dLbls>
        <c:hiLowLines>
          <c:spPr>
            <a:ln w="9525" cap="flat" cmpd="sng" algn="ctr">
              <a:solidFill>
                <a:schemeClr val="tx1">
                  <a:lumMod val="75000"/>
                  <a:lumOff val="25000"/>
                </a:schemeClr>
              </a:solidFill>
              <a:round/>
            </a:ln>
            <a:effectLst/>
          </c:spPr>
        </c:hiLowLines>
        <c:marker val="1"/>
        <c:smooth val="0"/>
        <c:axId val="916255360"/>
        <c:axId val="1408204752"/>
      </c:lineChart>
      <c:catAx>
        <c:axId val="916255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408204752"/>
        <c:crosses val="autoZero"/>
        <c:auto val="1"/>
        <c:lblAlgn val="ctr"/>
        <c:lblOffset val="100"/>
        <c:noMultiLvlLbl val="0"/>
      </c:catAx>
      <c:valAx>
        <c:axId val="1408204752"/>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sz="1000" b="0" i="0" baseline="0">
                    <a:effectLst/>
                  </a:rPr>
                  <a:t>Total Carbon footprint (gCO2e)</a:t>
                </a:r>
                <a:endParaRPr lang="pt-BR"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crossAx val="916255360"/>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pt-BR"/>
              <a:t>Carbon</a:t>
            </a:r>
            <a:r>
              <a:rPr lang="pt-BR" baseline="0"/>
              <a:t> footprint distribution</a:t>
            </a:r>
            <a:endParaRPr lang="pt-B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pt-BR"/>
        </a:p>
      </c:txPr>
    </c:title>
    <c:autoTitleDeleted val="0"/>
    <c:plotArea>
      <c:layout>
        <c:manualLayout>
          <c:layoutTarget val="inner"/>
          <c:xMode val="edge"/>
          <c:yMode val="edge"/>
          <c:x val="0.10629221347331584"/>
          <c:y val="0.12083333333333335"/>
          <c:w val="0.86037445319335082"/>
          <c:h val="0.73111111111111116"/>
        </c:manualLayout>
      </c:layout>
      <c:barChart>
        <c:barDir val="col"/>
        <c:grouping val="clustered"/>
        <c:varyColors val="0"/>
        <c:ser>
          <c:idx val="0"/>
          <c:order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'Books combined'!$B$143:$G$143</c:f>
              <c:strCache>
                <c:ptCount val="6"/>
                <c:pt idx="0">
                  <c:v>Meat</c:v>
                </c:pt>
                <c:pt idx="1">
                  <c:v>Pork</c:v>
                </c:pt>
                <c:pt idx="2">
                  <c:v>Poultry</c:v>
                </c:pt>
                <c:pt idx="3">
                  <c:v>Sea food</c:v>
                </c:pt>
                <c:pt idx="4">
                  <c:v>Vegan</c:v>
                </c:pt>
                <c:pt idx="5">
                  <c:v>Vegetarian</c:v>
                </c:pt>
              </c:strCache>
            </c:strRef>
          </c:cat>
          <c:val>
            <c:numRef>
              <c:f>'Books combined'!$B$144:$G$144</c:f>
              <c:numCache>
                <c:formatCode>General</c:formatCode>
                <c:ptCount val="6"/>
                <c:pt idx="0">
                  <c:v>33893.223495175684</c:v>
                </c:pt>
                <c:pt idx="1">
                  <c:v>16820.930903543278</c:v>
                </c:pt>
                <c:pt idx="2">
                  <c:v>7282.2071089503124</c:v>
                </c:pt>
                <c:pt idx="3">
                  <c:v>7992.0897075355588</c:v>
                </c:pt>
                <c:pt idx="4">
                  <c:v>2872.5811643159213</c:v>
                </c:pt>
                <c:pt idx="5">
                  <c:v>6646.7026547696014</c:v>
                </c:pt>
              </c:numCache>
            </c:numRef>
          </c:val>
          <c:extLst>
            <c:ext xmlns:c16="http://schemas.microsoft.com/office/drawing/2014/chart" uri="{C3380CC4-5D6E-409C-BE32-E72D297353CC}">
              <c16:uniqueId val="{00000000-AC31-4E55-BBDA-943171D1C243}"/>
            </c:ext>
          </c:extLst>
        </c:ser>
        <c:ser>
          <c:idx val="1"/>
          <c:order val="1"/>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'Books combined'!$B$143:$G$143</c:f>
              <c:strCache>
                <c:ptCount val="6"/>
                <c:pt idx="0">
                  <c:v>Meat</c:v>
                </c:pt>
                <c:pt idx="1">
                  <c:v>Pork</c:v>
                </c:pt>
                <c:pt idx="2">
                  <c:v>Poultry</c:v>
                </c:pt>
                <c:pt idx="3">
                  <c:v>Sea food</c:v>
                </c:pt>
                <c:pt idx="4">
                  <c:v>Vegan</c:v>
                </c:pt>
                <c:pt idx="5">
                  <c:v>Vegetarian</c:v>
                </c:pt>
              </c:strCache>
            </c:strRef>
          </c:cat>
          <c:val>
            <c:numRef>
              <c:f>'Books combined'!$B$145:$G$145</c:f>
              <c:numCache>
                <c:formatCode>General</c:formatCode>
                <c:ptCount val="6"/>
                <c:pt idx="0">
                  <c:v>32921.520985133335</c:v>
                </c:pt>
                <c:pt idx="1">
                  <c:v>10767.751048983881</c:v>
                </c:pt>
                <c:pt idx="2">
                  <c:v>4207.9640154083791</c:v>
                </c:pt>
                <c:pt idx="3">
                  <c:v>6365.9076705953285</c:v>
                </c:pt>
                <c:pt idx="4">
                  <c:v>1246.2685997088238</c:v>
                </c:pt>
                <c:pt idx="5">
                  <c:v>5686.394704769381</c:v>
                </c:pt>
              </c:numCache>
            </c:numRef>
          </c:val>
          <c:extLst>
            <c:ext xmlns:c16="http://schemas.microsoft.com/office/drawing/2014/chart" uri="{C3380CC4-5D6E-409C-BE32-E72D297353CC}">
              <c16:uniqueId val="{00000001-AC31-4E55-BBDA-943171D1C243}"/>
            </c:ext>
          </c:extLst>
        </c:ser>
        <c:ser>
          <c:idx val="2"/>
          <c:order val="2"/>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cat>
            <c:strRef>
              <c:f>'Books combined'!$B$143:$G$143</c:f>
              <c:strCache>
                <c:ptCount val="6"/>
                <c:pt idx="0">
                  <c:v>Meat</c:v>
                </c:pt>
                <c:pt idx="1">
                  <c:v>Pork</c:v>
                </c:pt>
                <c:pt idx="2">
                  <c:v>Poultry</c:v>
                </c:pt>
                <c:pt idx="3">
                  <c:v>Sea food</c:v>
                </c:pt>
                <c:pt idx="4">
                  <c:v>Vegan</c:v>
                </c:pt>
                <c:pt idx="5">
                  <c:v>Vegetarian</c:v>
                </c:pt>
              </c:strCache>
            </c:strRef>
          </c:cat>
          <c:val>
            <c:numRef>
              <c:f>'Books combined'!$B$146:$G$146</c:f>
              <c:numCache>
                <c:formatCode>General</c:formatCode>
                <c:ptCount val="6"/>
                <c:pt idx="0">
                  <c:v>27110.049148098409</c:v>
                </c:pt>
                <c:pt idx="1">
                  <c:v>10261.968367193076</c:v>
                </c:pt>
                <c:pt idx="2">
                  <c:v>4141.892093911526</c:v>
                </c:pt>
                <c:pt idx="3">
                  <c:v>6013.5574555042467</c:v>
                </c:pt>
                <c:pt idx="4">
                  <c:v>1245.2900714332152</c:v>
                </c:pt>
                <c:pt idx="5">
                  <c:v>1994.8515365079365</c:v>
                </c:pt>
              </c:numCache>
            </c:numRef>
          </c:val>
          <c:extLst>
            <c:ext xmlns:c16="http://schemas.microsoft.com/office/drawing/2014/chart" uri="{C3380CC4-5D6E-409C-BE32-E72D297353CC}">
              <c16:uniqueId val="{00000002-AC31-4E55-BBDA-943171D1C243}"/>
            </c:ext>
          </c:extLst>
        </c:ser>
        <c:ser>
          <c:idx val="3"/>
          <c:order val="3"/>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cat>
            <c:strRef>
              <c:f>'Books combined'!$B$143:$G$143</c:f>
              <c:strCache>
                <c:ptCount val="6"/>
                <c:pt idx="0">
                  <c:v>Meat</c:v>
                </c:pt>
                <c:pt idx="1">
                  <c:v>Pork</c:v>
                </c:pt>
                <c:pt idx="2">
                  <c:v>Poultry</c:v>
                </c:pt>
                <c:pt idx="3">
                  <c:v>Sea food</c:v>
                </c:pt>
                <c:pt idx="4">
                  <c:v>Vegan</c:v>
                </c:pt>
                <c:pt idx="5">
                  <c:v>Vegetarian</c:v>
                </c:pt>
              </c:strCache>
            </c:strRef>
          </c:cat>
          <c:val>
            <c:numRef>
              <c:f>'Books combined'!$B$147:$G$147</c:f>
              <c:numCache>
                <c:formatCode>General</c:formatCode>
                <c:ptCount val="6"/>
                <c:pt idx="0">
                  <c:v>26151.051492296006</c:v>
                </c:pt>
                <c:pt idx="1">
                  <c:v>8693.9279015050179</c:v>
                </c:pt>
                <c:pt idx="2">
                  <c:v>3721.4287382542007</c:v>
                </c:pt>
                <c:pt idx="3">
                  <c:v>5913.5086105879727</c:v>
                </c:pt>
                <c:pt idx="4">
                  <c:v>933.8811483305916</c:v>
                </c:pt>
                <c:pt idx="5">
                  <c:v>1708.078865195755</c:v>
                </c:pt>
              </c:numCache>
            </c:numRef>
          </c:val>
          <c:extLst>
            <c:ext xmlns:c16="http://schemas.microsoft.com/office/drawing/2014/chart" uri="{C3380CC4-5D6E-409C-BE32-E72D297353CC}">
              <c16:uniqueId val="{00000003-AC31-4E55-BBDA-943171D1C243}"/>
            </c:ext>
          </c:extLst>
        </c:ser>
        <c:ser>
          <c:idx val="4"/>
          <c:order val="4"/>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cat>
            <c:strRef>
              <c:f>'Books combined'!$B$143:$G$143</c:f>
              <c:strCache>
                <c:ptCount val="6"/>
                <c:pt idx="0">
                  <c:v>Meat</c:v>
                </c:pt>
                <c:pt idx="1">
                  <c:v>Pork</c:v>
                </c:pt>
                <c:pt idx="2">
                  <c:v>Poultry</c:v>
                </c:pt>
                <c:pt idx="3">
                  <c:v>Sea food</c:v>
                </c:pt>
                <c:pt idx="4">
                  <c:v>Vegan</c:v>
                </c:pt>
                <c:pt idx="5">
                  <c:v>Vegetarian</c:v>
                </c:pt>
              </c:strCache>
            </c:strRef>
          </c:cat>
          <c:val>
            <c:numRef>
              <c:f>'Books combined'!$B$148:$G$148</c:f>
              <c:numCache>
                <c:formatCode>General</c:formatCode>
                <c:ptCount val="6"/>
                <c:pt idx="0">
                  <c:v>25860.480224788182</c:v>
                </c:pt>
                <c:pt idx="1">
                  <c:v>8241.3991862166022</c:v>
                </c:pt>
                <c:pt idx="2">
                  <c:v>3219.5074280055505</c:v>
                </c:pt>
                <c:pt idx="3">
                  <c:v>5304.1971611749968</c:v>
                </c:pt>
                <c:pt idx="4">
                  <c:v>821.48849836030013</c:v>
                </c:pt>
                <c:pt idx="5">
                  <c:v>1473.6325946935663</c:v>
                </c:pt>
              </c:numCache>
            </c:numRef>
          </c:val>
          <c:extLst>
            <c:ext xmlns:c16="http://schemas.microsoft.com/office/drawing/2014/chart" uri="{C3380CC4-5D6E-409C-BE32-E72D297353CC}">
              <c16:uniqueId val="{00000004-AC31-4E55-BBDA-943171D1C243}"/>
            </c:ext>
          </c:extLst>
        </c:ser>
        <c:ser>
          <c:idx val="5"/>
          <c:order val="5"/>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invertIfNegative val="0"/>
          <c:cat>
            <c:strRef>
              <c:f>'Books combined'!$B$143:$G$143</c:f>
              <c:strCache>
                <c:ptCount val="6"/>
                <c:pt idx="0">
                  <c:v>Meat</c:v>
                </c:pt>
                <c:pt idx="1">
                  <c:v>Pork</c:v>
                </c:pt>
                <c:pt idx="2">
                  <c:v>Poultry</c:v>
                </c:pt>
                <c:pt idx="3">
                  <c:v>Sea food</c:v>
                </c:pt>
                <c:pt idx="4">
                  <c:v>Vegan</c:v>
                </c:pt>
                <c:pt idx="5">
                  <c:v>Vegetarian</c:v>
                </c:pt>
              </c:strCache>
            </c:strRef>
          </c:cat>
          <c:val>
            <c:numRef>
              <c:f>'Books combined'!$B$149:$G$149</c:f>
              <c:numCache>
                <c:formatCode>General</c:formatCode>
                <c:ptCount val="6"/>
                <c:pt idx="0">
                  <c:v>22111.818821752349</c:v>
                </c:pt>
                <c:pt idx="1">
                  <c:v>7481.1587927350429</c:v>
                </c:pt>
                <c:pt idx="2">
                  <c:v>3201.4888324615622</c:v>
                </c:pt>
                <c:pt idx="3">
                  <c:v>5017.2134443026916</c:v>
                </c:pt>
                <c:pt idx="4">
                  <c:v>547.86761341245779</c:v>
                </c:pt>
                <c:pt idx="5">
                  <c:v>1239.5090495017491</c:v>
                </c:pt>
              </c:numCache>
            </c:numRef>
          </c:val>
          <c:extLst>
            <c:ext xmlns:c16="http://schemas.microsoft.com/office/drawing/2014/chart" uri="{C3380CC4-5D6E-409C-BE32-E72D297353CC}">
              <c16:uniqueId val="{00000005-AC31-4E55-BBDA-943171D1C243}"/>
            </c:ext>
          </c:extLst>
        </c:ser>
        <c:ser>
          <c:idx val="6"/>
          <c:order val="6"/>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invertIfNegative val="0"/>
          <c:cat>
            <c:strRef>
              <c:f>'Books combined'!$B$143:$G$143</c:f>
              <c:strCache>
                <c:ptCount val="6"/>
                <c:pt idx="0">
                  <c:v>Meat</c:v>
                </c:pt>
                <c:pt idx="1">
                  <c:v>Pork</c:v>
                </c:pt>
                <c:pt idx="2">
                  <c:v>Poultry</c:v>
                </c:pt>
                <c:pt idx="3">
                  <c:v>Sea food</c:v>
                </c:pt>
                <c:pt idx="4">
                  <c:v>Vegan</c:v>
                </c:pt>
                <c:pt idx="5">
                  <c:v>Vegetarian</c:v>
                </c:pt>
              </c:strCache>
            </c:strRef>
          </c:cat>
          <c:val>
            <c:numRef>
              <c:f>'Books combined'!$B$150:$G$150</c:f>
              <c:numCache>
                <c:formatCode>General</c:formatCode>
                <c:ptCount val="6"/>
                <c:pt idx="0">
                  <c:v>12658.314835571311</c:v>
                </c:pt>
                <c:pt idx="1">
                  <c:v>6107.9664721860318</c:v>
                </c:pt>
                <c:pt idx="2">
                  <c:v>3066.0553848229015</c:v>
                </c:pt>
                <c:pt idx="3">
                  <c:v>4601.4312242600963</c:v>
                </c:pt>
                <c:pt idx="4">
                  <c:v>487.40829930238726</c:v>
                </c:pt>
                <c:pt idx="5">
                  <c:v>834.80505752136764</c:v>
                </c:pt>
              </c:numCache>
            </c:numRef>
          </c:val>
          <c:extLst>
            <c:ext xmlns:c16="http://schemas.microsoft.com/office/drawing/2014/chart" uri="{C3380CC4-5D6E-409C-BE32-E72D297353CC}">
              <c16:uniqueId val="{00000006-AC31-4E55-BBDA-943171D1C243}"/>
            </c:ext>
          </c:extLst>
        </c:ser>
        <c:ser>
          <c:idx val="7"/>
          <c:order val="7"/>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invertIfNegative val="0"/>
          <c:cat>
            <c:strRef>
              <c:f>'Books combined'!$B$143:$G$143</c:f>
              <c:strCache>
                <c:ptCount val="6"/>
                <c:pt idx="0">
                  <c:v>Meat</c:v>
                </c:pt>
                <c:pt idx="1">
                  <c:v>Pork</c:v>
                </c:pt>
                <c:pt idx="2">
                  <c:v>Poultry</c:v>
                </c:pt>
                <c:pt idx="3">
                  <c:v>Sea food</c:v>
                </c:pt>
                <c:pt idx="4">
                  <c:v>Vegan</c:v>
                </c:pt>
                <c:pt idx="5">
                  <c:v>Vegetarian</c:v>
                </c:pt>
              </c:strCache>
            </c:strRef>
          </c:cat>
          <c:val>
            <c:numRef>
              <c:f>'Books combined'!$B$151:$G$151</c:f>
              <c:numCache>
                <c:formatCode>General</c:formatCode>
                <c:ptCount val="6"/>
                <c:pt idx="0">
                  <c:v>9453.8975156279557</c:v>
                </c:pt>
                <c:pt idx="1">
                  <c:v>4713.3205685522062</c:v>
                </c:pt>
                <c:pt idx="2">
                  <c:v>3034.2427591456135</c:v>
                </c:pt>
                <c:pt idx="3">
                  <c:v>4305.1807913231387</c:v>
                </c:pt>
                <c:pt idx="4">
                  <c:v>485.73980687645076</c:v>
                </c:pt>
                <c:pt idx="5">
                  <c:v>806.43968729958272</c:v>
                </c:pt>
              </c:numCache>
            </c:numRef>
          </c:val>
          <c:extLst>
            <c:ext xmlns:c16="http://schemas.microsoft.com/office/drawing/2014/chart" uri="{C3380CC4-5D6E-409C-BE32-E72D297353CC}">
              <c16:uniqueId val="{00000007-AC31-4E55-BBDA-943171D1C243}"/>
            </c:ext>
          </c:extLst>
        </c:ser>
        <c:ser>
          <c:idx val="8"/>
          <c:order val="8"/>
          <c:spPr>
            <a:gradFill rotWithShape="1">
              <a:gsLst>
                <a:gs pos="0">
                  <a:schemeClr val="accent3">
                    <a:lumMod val="60000"/>
                    <a:lumMod val="110000"/>
                    <a:satMod val="105000"/>
                    <a:tint val="67000"/>
                  </a:schemeClr>
                </a:gs>
                <a:gs pos="50000">
                  <a:schemeClr val="accent3">
                    <a:lumMod val="60000"/>
                    <a:lumMod val="105000"/>
                    <a:satMod val="103000"/>
                    <a:tint val="73000"/>
                  </a:schemeClr>
                </a:gs>
                <a:gs pos="100000">
                  <a:schemeClr val="accent3">
                    <a:lumMod val="60000"/>
                    <a:lumMod val="105000"/>
                    <a:satMod val="109000"/>
                    <a:tint val="81000"/>
                  </a:schemeClr>
                </a:gs>
              </a:gsLst>
              <a:lin ang="5400000" scaled="0"/>
            </a:gradFill>
            <a:ln w="9525" cap="flat" cmpd="sng" algn="ctr">
              <a:solidFill>
                <a:schemeClr val="accent3">
                  <a:lumMod val="60000"/>
                  <a:shade val="95000"/>
                </a:schemeClr>
              </a:solidFill>
              <a:round/>
            </a:ln>
            <a:effectLst/>
          </c:spPr>
          <c:invertIfNegative val="0"/>
          <c:cat>
            <c:strRef>
              <c:f>'Books combined'!$B$143:$G$143</c:f>
              <c:strCache>
                <c:ptCount val="6"/>
                <c:pt idx="0">
                  <c:v>Meat</c:v>
                </c:pt>
                <c:pt idx="1">
                  <c:v>Pork</c:v>
                </c:pt>
                <c:pt idx="2">
                  <c:v>Poultry</c:v>
                </c:pt>
                <c:pt idx="3">
                  <c:v>Sea food</c:v>
                </c:pt>
                <c:pt idx="4">
                  <c:v>Vegan</c:v>
                </c:pt>
                <c:pt idx="5">
                  <c:v>Vegetarian</c:v>
                </c:pt>
              </c:strCache>
            </c:strRef>
          </c:cat>
          <c:val>
            <c:numRef>
              <c:f>'Books combined'!$B$152:$G$152</c:f>
              <c:numCache>
                <c:formatCode>General</c:formatCode>
                <c:ptCount val="6"/>
                <c:pt idx="0">
                  <c:v>9274.4343005161954</c:v>
                </c:pt>
                <c:pt idx="1">
                  <c:v>3895.4788399771651</c:v>
                </c:pt>
                <c:pt idx="2">
                  <c:v>585.94644347982194</c:v>
                </c:pt>
                <c:pt idx="3">
                  <c:v>3955.6409832699628</c:v>
                </c:pt>
                <c:pt idx="4">
                  <c:v>369.17936286449827</c:v>
                </c:pt>
                <c:pt idx="5">
                  <c:v>795.60492980454899</c:v>
                </c:pt>
              </c:numCache>
            </c:numRef>
          </c:val>
          <c:extLst>
            <c:ext xmlns:c16="http://schemas.microsoft.com/office/drawing/2014/chart" uri="{C3380CC4-5D6E-409C-BE32-E72D297353CC}">
              <c16:uniqueId val="{00000008-AC31-4E55-BBDA-943171D1C243}"/>
            </c:ext>
          </c:extLst>
        </c:ser>
        <c:ser>
          <c:idx val="9"/>
          <c:order val="9"/>
          <c:spPr>
            <a:gradFill rotWithShape="1">
              <a:gsLst>
                <a:gs pos="0">
                  <a:schemeClr val="accent4">
                    <a:lumMod val="60000"/>
                    <a:lumMod val="110000"/>
                    <a:satMod val="105000"/>
                    <a:tint val="67000"/>
                  </a:schemeClr>
                </a:gs>
                <a:gs pos="50000">
                  <a:schemeClr val="accent4">
                    <a:lumMod val="60000"/>
                    <a:lumMod val="105000"/>
                    <a:satMod val="103000"/>
                    <a:tint val="73000"/>
                  </a:schemeClr>
                </a:gs>
                <a:gs pos="100000">
                  <a:schemeClr val="accent4">
                    <a:lumMod val="60000"/>
                    <a:lumMod val="105000"/>
                    <a:satMod val="109000"/>
                    <a:tint val="81000"/>
                  </a:schemeClr>
                </a:gs>
              </a:gsLst>
              <a:lin ang="5400000" scaled="0"/>
            </a:gradFill>
            <a:ln w="9525" cap="flat" cmpd="sng" algn="ctr">
              <a:solidFill>
                <a:schemeClr val="accent4">
                  <a:lumMod val="60000"/>
                  <a:shade val="95000"/>
                </a:schemeClr>
              </a:solidFill>
              <a:round/>
            </a:ln>
            <a:effectLst/>
          </c:spPr>
          <c:invertIfNegative val="0"/>
          <c:cat>
            <c:strRef>
              <c:f>'Books combined'!$B$143:$G$143</c:f>
              <c:strCache>
                <c:ptCount val="6"/>
                <c:pt idx="0">
                  <c:v>Meat</c:v>
                </c:pt>
                <c:pt idx="1">
                  <c:v>Pork</c:v>
                </c:pt>
                <c:pt idx="2">
                  <c:v>Poultry</c:v>
                </c:pt>
                <c:pt idx="3">
                  <c:v>Sea food</c:v>
                </c:pt>
                <c:pt idx="4">
                  <c:v>Vegan</c:v>
                </c:pt>
                <c:pt idx="5">
                  <c:v>Vegetarian</c:v>
                </c:pt>
              </c:strCache>
            </c:strRef>
          </c:cat>
          <c:val>
            <c:numRef>
              <c:f>'Books combined'!$B$153:$G$153</c:f>
              <c:numCache>
                <c:formatCode>General</c:formatCode>
                <c:ptCount val="6"/>
                <c:pt idx="0">
                  <c:v>8259.527773399499</c:v>
                </c:pt>
                <c:pt idx="1">
                  <c:v>3633.6485388896322</c:v>
                </c:pt>
                <c:pt idx="3">
                  <c:v>3623.4563637363626</c:v>
                </c:pt>
                <c:pt idx="4">
                  <c:v>351.02319999999997</c:v>
                </c:pt>
                <c:pt idx="5">
                  <c:v>406.11014249490819</c:v>
                </c:pt>
              </c:numCache>
            </c:numRef>
          </c:val>
          <c:extLst>
            <c:ext xmlns:c16="http://schemas.microsoft.com/office/drawing/2014/chart" uri="{C3380CC4-5D6E-409C-BE32-E72D297353CC}">
              <c16:uniqueId val="{00000009-AC31-4E55-BBDA-943171D1C243}"/>
            </c:ext>
          </c:extLst>
        </c:ser>
        <c:ser>
          <c:idx val="10"/>
          <c:order val="10"/>
          <c:spPr>
            <a:gradFill rotWithShape="1">
              <a:gsLst>
                <a:gs pos="0">
                  <a:schemeClr val="accent5">
                    <a:lumMod val="60000"/>
                    <a:lumMod val="110000"/>
                    <a:satMod val="105000"/>
                    <a:tint val="67000"/>
                  </a:schemeClr>
                </a:gs>
                <a:gs pos="50000">
                  <a:schemeClr val="accent5">
                    <a:lumMod val="60000"/>
                    <a:lumMod val="105000"/>
                    <a:satMod val="103000"/>
                    <a:tint val="73000"/>
                  </a:schemeClr>
                </a:gs>
                <a:gs pos="100000">
                  <a:schemeClr val="accent5">
                    <a:lumMod val="60000"/>
                    <a:lumMod val="105000"/>
                    <a:satMod val="109000"/>
                    <a:tint val="81000"/>
                  </a:schemeClr>
                </a:gs>
              </a:gsLst>
              <a:lin ang="5400000" scaled="0"/>
            </a:gradFill>
            <a:ln w="9525" cap="flat" cmpd="sng" algn="ctr">
              <a:solidFill>
                <a:schemeClr val="accent5">
                  <a:lumMod val="60000"/>
                  <a:shade val="95000"/>
                </a:schemeClr>
              </a:solidFill>
              <a:round/>
            </a:ln>
            <a:effectLst/>
          </c:spPr>
          <c:invertIfNegative val="0"/>
          <c:cat>
            <c:strRef>
              <c:f>'Books combined'!$B$143:$G$143</c:f>
              <c:strCache>
                <c:ptCount val="6"/>
                <c:pt idx="0">
                  <c:v>Meat</c:v>
                </c:pt>
                <c:pt idx="1">
                  <c:v>Pork</c:v>
                </c:pt>
                <c:pt idx="2">
                  <c:v>Poultry</c:v>
                </c:pt>
                <c:pt idx="3">
                  <c:v>Sea food</c:v>
                </c:pt>
                <c:pt idx="4">
                  <c:v>Vegan</c:v>
                </c:pt>
                <c:pt idx="5">
                  <c:v>Vegetarian</c:v>
                </c:pt>
              </c:strCache>
            </c:strRef>
          </c:cat>
          <c:val>
            <c:numRef>
              <c:f>'Books combined'!$B$154:$G$154</c:f>
              <c:numCache>
                <c:formatCode>General</c:formatCode>
                <c:ptCount val="6"/>
                <c:pt idx="0">
                  <c:v>4892.5403510394863</c:v>
                </c:pt>
                <c:pt idx="1">
                  <c:v>3551.667557405292</c:v>
                </c:pt>
                <c:pt idx="3">
                  <c:v>3479.3740254125978</c:v>
                </c:pt>
                <c:pt idx="4">
                  <c:v>339.48834179913121</c:v>
                </c:pt>
                <c:pt idx="5">
                  <c:v>359.29456800291717</c:v>
                </c:pt>
              </c:numCache>
            </c:numRef>
          </c:val>
          <c:extLst>
            <c:ext xmlns:c16="http://schemas.microsoft.com/office/drawing/2014/chart" uri="{C3380CC4-5D6E-409C-BE32-E72D297353CC}">
              <c16:uniqueId val="{0000000A-AC31-4E55-BBDA-943171D1C243}"/>
            </c:ext>
          </c:extLst>
        </c:ser>
        <c:ser>
          <c:idx val="11"/>
          <c:order val="11"/>
          <c:spPr>
            <a:gradFill rotWithShape="1">
              <a:gsLst>
                <a:gs pos="0">
                  <a:schemeClr val="accent6">
                    <a:lumMod val="60000"/>
                    <a:lumMod val="110000"/>
                    <a:satMod val="105000"/>
                    <a:tint val="67000"/>
                  </a:schemeClr>
                </a:gs>
                <a:gs pos="50000">
                  <a:schemeClr val="accent6">
                    <a:lumMod val="60000"/>
                    <a:lumMod val="105000"/>
                    <a:satMod val="103000"/>
                    <a:tint val="73000"/>
                  </a:schemeClr>
                </a:gs>
                <a:gs pos="100000">
                  <a:schemeClr val="accent6">
                    <a:lumMod val="60000"/>
                    <a:lumMod val="105000"/>
                    <a:satMod val="109000"/>
                    <a:tint val="81000"/>
                  </a:schemeClr>
                </a:gs>
              </a:gsLst>
              <a:lin ang="5400000" scaled="0"/>
            </a:gradFill>
            <a:ln w="9525" cap="flat" cmpd="sng" algn="ctr">
              <a:solidFill>
                <a:schemeClr val="accent6">
                  <a:lumMod val="60000"/>
                  <a:shade val="95000"/>
                </a:schemeClr>
              </a:solidFill>
              <a:round/>
            </a:ln>
            <a:effectLst/>
          </c:spPr>
          <c:invertIfNegative val="0"/>
          <c:cat>
            <c:strRef>
              <c:f>'Books combined'!$B$143:$G$143</c:f>
              <c:strCache>
                <c:ptCount val="6"/>
                <c:pt idx="0">
                  <c:v>Meat</c:v>
                </c:pt>
                <c:pt idx="1">
                  <c:v>Pork</c:v>
                </c:pt>
                <c:pt idx="2">
                  <c:v>Poultry</c:v>
                </c:pt>
                <c:pt idx="3">
                  <c:v>Sea food</c:v>
                </c:pt>
                <c:pt idx="4">
                  <c:v>Vegan</c:v>
                </c:pt>
                <c:pt idx="5">
                  <c:v>Vegetarian</c:v>
                </c:pt>
              </c:strCache>
            </c:strRef>
          </c:cat>
          <c:val>
            <c:numRef>
              <c:f>'Books combined'!$B$155:$G$155</c:f>
              <c:numCache>
                <c:formatCode>General</c:formatCode>
                <c:ptCount val="6"/>
                <c:pt idx="0">
                  <c:v>4791.7930060540421</c:v>
                </c:pt>
                <c:pt idx="1">
                  <c:v>1721.8479359604526</c:v>
                </c:pt>
                <c:pt idx="3">
                  <c:v>2742.9476931715262</c:v>
                </c:pt>
                <c:pt idx="4">
                  <c:v>209.0236925516414</c:v>
                </c:pt>
                <c:pt idx="5">
                  <c:v>287.70136781534666</c:v>
                </c:pt>
              </c:numCache>
            </c:numRef>
          </c:val>
          <c:extLst>
            <c:ext xmlns:c16="http://schemas.microsoft.com/office/drawing/2014/chart" uri="{C3380CC4-5D6E-409C-BE32-E72D297353CC}">
              <c16:uniqueId val="{0000000B-AC31-4E55-BBDA-943171D1C243}"/>
            </c:ext>
          </c:extLst>
        </c:ser>
        <c:ser>
          <c:idx val="12"/>
          <c:order val="12"/>
          <c:spPr>
            <a:gradFill rotWithShape="1">
              <a:gsLst>
                <a:gs pos="0">
                  <a:schemeClr val="accent1">
                    <a:lumMod val="80000"/>
                    <a:lumOff val="20000"/>
                    <a:lumMod val="110000"/>
                    <a:satMod val="105000"/>
                    <a:tint val="67000"/>
                  </a:schemeClr>
                </a:gs>
                <a:gs pos="50000">
                  <a:schemeClr val="accent1">
                    <a:lumMod val="80000"/>
                    <a:lumOff val="20000"/>
                    <a:lumMod val="105000"/>
                    <a:satMod val="103000"/>
                    <a:tint val="73000"/>
                  </a:schemeClr>
                </a:gs>
                <a:gs pos="100000">
                  <a:schemeClr val="accent1">
                    <a:lumMod val="80000"/>
                    <a:lumOff val="20000"/>
                    <a:lumMod val="105000"/>
                    <a:satMod val="109000"/>
                    <a:tint val="81000"/>
                  </a:schemeClr>
                </a:gs>
              </a:gsLst>
              <a:lin ang="5400000" scaled="0"/>
            </a:gradFill>
            <a:ln w="9525" cap="flat" cmpd="sng" algn="ctr">
              <a:solidFill>
                <a:schemeClr val="accent1">
                  <a:lumMod val="80000"/>
                  <a:lumOff val="20000"/>
                  <a:shade val="95000"/>
                </a:schemeClr>
              </a:solidFill>
              <a:round/>
            </a:ln>
            <a:effectLst/>
          </c:spPr>
          <c:invertIfNegative val="0"/>
          <c:cat>
            <c:strRef>
              <c:f>'Books combined'!$B$143:$G$143</c:f>
              <c:strCache>
                <c:ptCount val="6"/>
                <c:pt idx="0">
                  <c:v>Meat</c:v>
                </c:pt>
                <c:pt idx="1">
                  <c:v>Pork</c:v>
                </c:pt>
                <c:pt idx="2">
                  <c:v>Poultry</c:v>
                </c:pt>
                <c:pt idx="3">
                  <c:v>Sea food</c:v>
                </c:pt>
                <c:pt idx="4">
                  <c:v>Vegan</c:v>
                </c:pt>
                <c:pt idx="5">
                  <c:v>Vegetarian</c:v>
                </c:pt>
              </c:strCache>
            </c:strRef>
          </c:cat>
          <c:val>
            <c:numRef>
              <c:f>'Books combined'!$B$156:$G$156</c:f>
              <c:numCache>
                <c:formatCode>General</c:formatCode>
                <c:ptCount val="6"/>
                <c:pt idx="0">
                  <c:v>4119.4010902073251</c:v>
                </c:pt>
                <c:pt idx="1">
                  <c:v>648.37367121687237</c:v>
                </c:pt>
                <c:pt idx="3">
                  <c:v>2117.3748122845564</c:v>
                </c:pt>
                <c:pt idx="4">
                  <c:v>171.09509819355003</c:v>
                </c:pt>
                <c:pt idx="5">
                  <c:v>226.05483333333331</c:v>
                </c:pt>
              </c:numCache>
            </c:numRef>
          </c:val>
          <c:extLst>
            <c:ext xmlns:c16="http://schemas.microsoft.com/office/drawing/2014/chart" uri="{C3380CC4-5D6E-409C-BE32-E72D297353CC}">
              <c16:uniqueId val="{0000000C-AC31-4E55-BBDA-943171D1C243}"/>
            </c:ext>
          </c:extLst>
        </c:ser>
        <c:ser>
          <c:idx val="13"/>
          <c:order val="13"/>
          <c:spPr>
            <a:gradFill rotWithShape="1">
              <a:gsLst>
                <a:gs pos="0">
                  <a:schemeClr val="accent2">
                    <a:lumMod val="80000"/>
                    <a:lumOff val="20000"/>
                    <a:lumMod val="110000"/>
                    <a:satMod val="105000"/>
                    <a:tint val="67000"/>
                  </a:schemeClr>
                </a:gs>
                <a:gs pos="50000">
                  <a:schemeClr val="accent2">
                    <a:lumMod val="80000"/>
                    <a:lumOff val="20000"/>
                    <a:lumMod val="105000"/>
                    <a:satMod val="103000"/>
                    <a:tint val="73000"/>
                  </a:schemeClr>
                </a:gs>
                <a:gs pos="100000">
                  <a:schemeClr val="accent2">
                    <a:lumMod val="80000"/>
                    <a:lumOff val="20000"/>
                    <a:lumMod val="105000"/>
                    <a:satMod val="109000"/>
                    <a:tint val="81000"/>
                  </a:schemeClr>
                </a:gs>
              </a:gsLst>
              <a:lin ang="5400000" scaled="0"/>
            </a:gradFill>
            <a:ln w="9525" cap="flat" cmpd="sng" algn="ctr">
              <a:solidFill>
                <a:schemeClr val="accent2">
                  <a:lumMod val="80000"/>
                  <a:lumOff val="20000"/>
                  <a:shade val="95000"/>
                </a:schemeClr>
              </a:solidFill>
              <a:round/>
            </a:ln>
            <a:effectLst/>
          </c:spPr>
          <c:invertIfNegative val="0"/>
          <c:cat>
            <c:strRef>
              <c:f>'Books combined'!$B$143:$G$143</c:f>
              <c:strCache>
                <c:ptCount val="6"/>
                <c:pt idx="0">
                  <c:v>Meat</c:v>
                </c:pt>
                <c:pt idx="1">
                  <c:v>Pork</c:v>
                </c:pt>
                <c:pt idx="2">
                  <c:v>Poultry</c:v>
                </c:pt>
                <c:pt idx="3">
                  <c:v>Sea food</c:v>
                </c:pt>
                <c:pt idx="4">
                  <c:v>Vegan</c:v>
                </c:pt>
                <c:pt idx="5">
                  <c:v>Vegetarian</c:v>
                </c:pt>
              </c:strCache>
            </c:strRef>
          </c:cat>
          <c:val>
            <c:numRef>
              <c:f>'Books combined'!$B$157:$G$157</c:f>
              <c:numCache>
                <c:formatCode>General</c:formatCode>
                <c:ptCount val="6"/>
                <c:pt idx="0">
                  <c:v>3467.4805406735227</c:v>
                </c:pt>
                <c:pt idx="3">
                  <c:v>1546.0649245951465</c:v>
                </c:pt>
              </c:numCache>
            </c:numRef>
          </c:val>
          <c:extLst>
            <c:ext xmlns:c16="http://schemas.microsoft.com/office/drawing/2014/chart" uri="{C3380CC4-5D6E-409C-BE32-E72D297353CC}">
              <c16:uniqueId val="{0000000D-AC31-4E55-BBDA-943171D1C243}"/>
            </c:ext>
          </c:extLst>
        </c:ser>
        <c:ser>
          <c:idx val="14"/>
          <c:order val="14"/>
          <c:spPr>
            <a:gradFill rotWithShape="1">
              <a:gsLst>
                <a:gs pos="0">
                  <a:schemeClr val="accent3">
                    <a:lumMod val="80000"/>
                    <a:lumOff val="20000"/>
                    <a:lumMod val="110000"/>
                    <a:satMod val="105000"/>
                    <a:tint val="67000"/>
                  </a:schemeClr>
                </a:gs>
                <a:gs pos="50000">
                  <a:schemeClr val="accent3">
                    <a:lumMod val="80000"/>
                    <a:lumOff val="20000"/>
                    <a:lumMod val="105000"/>
                    <a:satMod val="103000"/>
                    <a:tint val="73000"/>
                  </a:schemeClr>
                </a:gs>
                <a:gs pos="100000">
                  <a:schemeClr val="accent3">
                    <a:lumMod val="80000"/>
                    <a:lumOff val="20000"/>
                    <a:lumMod val="105000"/>
                    <a:satMod val="109000"/>
                    <a:tint val="81000"/>
                  </a:schemeClr>
                </a:gs>
              </a:gsLst>
              <a:lin ang="5400000" scaled="0"/>
            </a:gradFill>
            <a:ln w="9525" cap="flat" cmpd="sng" algn="ctr">
              <a:solidFill>
                <a:schemeClr val="accent3">
                  <a:lumMod val="80000"/>
                  <a:lumOff val="20000"/>
                  <a:shade val="95000"/>
                </a:schemeClr>
              </a:solidFill>
              <a:round/>
            </a:ln>
            <a:effectLst/>
          </c:spPr>
          <c:invertIfNegative val="0"/>
          <c:cat>
            <c:strRef>
              <c:f>'Books combined'!$B$143:$G$143</c:f>
              <c:strCache>
                <c:ptCount val="6"/>
                <c:pt idx="0">
                  <c:v>Meat</c:v>
                </c:pt>
                <c:pt idx="1">
                  <c:v>Pork</c:v>
                </c:pt>
                <c:pt idx="2">
                  <c:v>Poultry</c:v>
                </c:pt>
                <c:pt idx="3">
                  <c:v>Sea food</c:v>
                </c:pt>
                <c:pt idx="4">
                  <c:v>Vegan</c:v>
                </c:pt>
                <c:pt idx="5">
                  <c:v>Vegetarian</c:v>
                </c:pt>
              </c:strCache>
            </c:strRef>
          </c:cat>
          <c:val>
            <c:numRef>
              <c:f>'Books combined'!$B$158:$G$158</c:f>
              <c:numCache>
                <c:formatCode>General</c:formatCode>
                <c:ptCount val="6"/>
                <c:pt idx="0">
                  <c:v>3408.5969654909932</c:v>
                </c:pt>
                <c:pt idx="3">
                  <c:v>1229.9275914471762</c:v>
                </c:pt>
              </c:numCache>
            </c:numRef>
          </c:val>
          <c:extLst>
            <c:ext xmlns:c16="http://schemas.microsoft.com/office/drawing/2014/chart" uri="{C3380CC4-5D6E-409C-BE32-E72D297353CC}">
              <c16:uniqueId val="{0000000E-AC31-4E55-BBDA-943171D1C243}"/>
            </c:ext>
          </c:extLst>
        </c:ser>
        <c:ser>
          <c:idx val="15"/>
          <c:order val="15"/>
          <c:spPr>
            <a:gradFill rotWithShape="1">
              <a:gsLst>
                <a:gs pos="0">
                  <a:schemeClr val="accent4">
                    <a:lumMod val="80000"/>
                    <a:lumOff val="20000"/>
                    <a:lumMod val="110000"/>
                    <a:satMod val="105000"/>
                    <a:tint val="67000"/>
                  </a:schemeClr>
                </a:gs>
                <a:gs pos="50000">
                  <a:schemeClr val="accent4">
                    <a:lumMod val="80000"/>
                    <a:lumOff val="20000"/>
                    <a:lumMod val="105000"/>
                    <a:satMod val="103000"/>
                    <a:tint val="73000"/>
                  </a:schemeClr>
                </a:gs>
                <a:gs pos="100000">
                  <a:schemeClr val="accent4">
                    <a:lumMod val="80000"/>
                    <a:lumOff val="20000"/>
                    <a:lumMod val="105000"/>
                    <a:satMod val="109000"/>
                    <a:tint val="81000"/>
                  </a:schemeClr>
                </a:gs>
              </a:gsLst>
              <a:lin ang="5400000" scaled="0"/>
            </a:gradFill>
            <a:ln w="9525" cap="flat" cmpd="sng" algn="ctr">
              <a:solidFill>
                <a:schemeClr val="accent4">
                  <a:lumMod val="80000"/>
                  <a:lumOff val="20000"/>
                  <a:shade val="95000"/>
                </a:schemeClr>
              </a:solidFill>
              <a:round/>
            </a:ln>
            <a:effectLst/>
          </c:spPr>
          <c:invertIfNegative val="0"/>
          <c:cat>
            <c:strRef>
              <c:f>'Books combined'!$B$143:$G$143</c:f>
              <c:strCache>
                <c:ptCount val="6"/>
                <c:pt idx="0">
                  <c:v>Meat</c:v>
                </c:pt>
                <c:pt idx="1">
                  <c:v>Pork</c:v>
                </c:pt>
                <c:pt idx="2">
                  <c:v>Poultry</c:v>
                </c:pt>
                <c:pt idx="3">
                  <c:v>Sea food</c:v>
                </c:pt>
                <c:pt idx="4">
                  <c:v>Vegan</c:v>
                </c:pt>
                <c:pt idx="5">
                  <c:v>Vegetarian</c:v>
                </c:pt>
              </c:strCache>
            </c:strRef>
          </c:cat>
          <c:val>
            <c:numRef>
              <c:f>'Books combined'!$B$159:$G$159</c:f>
              <c:numCache>
                <c:formatCode>General</c:formatCode>
                <c:ptCount val="6"/>
                <c:pt idx="0">
                  <c:v>2887.7720338978934</c:v>
                </c:pt>
              </c:numCache>
            </c:numRef>
          </c:val>
          <c:extLst>
            <c:ext xmlns:c16="http://schemas.microsoft.com/office/drawing/2014/chart" uri="{C3380CC4-5D6E-409C-BE32-E72D297353CC}">
              <c16:uniqueId val="{0000000F-AC31-4E55-BBDA-943171D1C243}"/>
            </c:ext>
          </c:extLst>
        </c:ser>
        <c:ser>
          <c:idx val="16"/>
          <c:order val="16"/>
          <c:spPr>
            <a:gradFill rotWithShape="1">
              <a:gsLst>
                <a:gs pos="0">
                  <a:schemeClr val="accent5">
                    <a:lumMod val="80000"/>
                    <a:lumOff val="20000"/>
                    <a:lumMod val="110000"/>
                    <a:satMod val="105000"/>
                    <a:tint val="67000"/>
                  </a:schemeClr>
                </a:gs>
                <a:gs pos="50000">
                  <a:schemeClr val="accent5">
                    <a:lumMod val="80000"/>
                    <a:lumOff val="20000"/>
                    <a:lumMod val="105000"/>
                    <a:satMod val="103000"/>
                    <a:tint val="73000"/>
                  </a:schemeClr>
                </a:gs>
                <a:gs pos="100000">
                  <a:schemeClr val="accent5">
                    <a:lumMod val="80000"/>
                    <a:lumOff val="20000"/>
                    <a:lumMod val="105000"/>
                    <a:satMod val="109000"/>
                    <a:tint val="81000"/>
                  </a:schemeClr>
                </a:gs>
              </a:gsLst>
              <a:lin ang="5400000" scaled="0"/>
            </a:gradFill>
            <a:ln w="9525" cap="flat" cmpd="sng" algn="ctr">
              <a:solidFill>
                <a:schemeClr val="accent5">
                  <a:lumMod val="80000"/>
                  <a:lumOff val="20000"/>
                  <a:shade val="95000"/>
                </a:schemeClr>
              </a:solidFill>
              <a:round/>
            </a:ln>
            <a:effectLst/>
          </c:spPr>
          <c:invertIfNegative val="0"/>
          <c:cat>
            <c:strRef>
              <c:f>'Books combined'!$B$143:$G$143</c:f>
              <c:strCache>
                <c:ptCount val="6"/>
                <c:pt idx="0">
                  <c:v>Meat</c:v>
                </c:pt>
                <c:pt idx="1">
                  <c:v>Pork</c:v>
                </c:pt>
                <c:pt idx="2">
                  <c:v>Poultry</c:v>
                </c:pt>
                <c:pt idx="3">
                  <c:v>Sea food</c:v>
                </c:pt>
                <c:pt idx="4">
                  <c:v>Vegan</c:v>
                </c:pt>
                <c:pt idx="5">
                  <c:v>Vegetarian</c:v>
                </c:pt>
              </c:strCache>
            </c:strRef>
          </c:cat>
          <c:val>
            <c:numRef>
              <c:f>'Books combined'!$B$160:$G$160</c:f>
              <c:numCache>
                <c:formatCode>General</c:formatCode>
                <c:ptCount val="6"/>
                <c:pt idx="0">
                  <c:v>2314.7982889999998</c:v>
                </c:pt>
              </c:numCache>
            </c:numRef>
          </c:val>
          <c:extLst>
            <c:ext xmlns:c16="http://schemas.microsoft.com/office/drawing/2014/chart" uri="{C3380CC4-5D6E-409C-BE32-E72D297353CC}">
              <c16:uniqueId val="{00000010-AC31-4E55-BBDA-943171D1C243}"/>
            </c:ext>
          </c:extLst>
        </c:ser>
        <c:ser>
          <c:idx val="17"/>
          <c:order val="17"/>
          <c:spPr>
            <a:gradFill rotWithShape="1">
              <a:gsLst>
                <a:gs pos="0">
                  <a:schemeClr val="accent6">
                    <a:lumMod val="80000"/>
                    <a:lumOff val="20000"/>
                    <a:lumMod val="110000"/>
                    <a:satMod val="105000"/>
                    <a:tint val="67000"/>
                  </a:schemeClr>
                </a:gs>
                <a:gs pos="50000">
                  <a:schemeClr val="accent6">
                    <a:lumMod val="80000"/>
                    <a:lumOff val="20000"/>
                    <a:lumMod val="105000"/>
                    <a:satMod val="103000"/>
                    <a:tint val="73000"/>
                  </a:schemeClr>
                </a:gs>
                <a:gs pos="100000">
                  <a:schemeClr val="accent6">
                    <a:lumMod val="80000"/>
                    <a:lumOff val="20000"/>
                    <a:lumMod val="105000"/>
                    <a:satMod val="109000"/>
                    <a:tint val="81000"/>
                  </a:schemeClr>
                </a:gs>
              </a:gsLst>
              <a:lin ang="5400000" scaled="0"/>
            </a:gradFill>
            <a:ln w="9525" cap="flat" cmpd="sng" algn="ctr">
              <a:solidFill>
                <a:schemeClr val="accent6">
                  <a:lumMod val="80000"/>
                  <a:lumOff val="20000"/>
                  <a:shade val="95000"/>
                </a:schemeClr>
              </a:solidFill>
              <a:round/>
            </a:ln>
            <a:effectLst/>
          </c:spPr>
          <c:invertIfNegative val="0"/>
          <c:cat>
            <c:strRef>
              <c:f>'Books combined'!$B$143:$G$143</c:f>
              <c:strCache>
                <c:ptCount val="6"/>
                <c:pt idx="0">
                  <c:v>Meat</c:v>
                </c:pt>
                <c:pt idx="1">
                  <c:v>Pork</c:v>
                </c:pt>
                <c:pt idx="2">
                  <c:v>Poultry</c:v>
                </c:pt>
                <c:pt idx="3">
                  <c:v>Sea food</c:v>
                </c:pt>
                <c:pt idx="4">
                  <c:v>Vegan</c:v>
                </c:pt>
                <c:pt idx="5">
                  <c:v>Vegetarian</c:v>
                </c:pt>
              </c:strCache>
            </c:strRef>
          </c:cat>
          <c:val>
            <c:numRef>
              <c:f>'Books combined'!$B$161:$G$161</c:f>
              <c:numCache>
                <c:formatCode>General</c:formatCode>
                <c:ptCount val="6"/>
                <c:pt idx="0">
                  <c:v>1434.147981648211</c:v>
                </c:pt>
              </c:numCache>
            </c:numRef>
          </c:val>
          <c:extLst>
            <c:ext xmlns:c16="http://schemas.microsoft.com/office/drawing/2014/chart" uri="{C3380CC4-5D6E-409C-BE32-E72D297353CC}">
              <c16:uniqueId val="{00000011-AC31-4E55-BBDA-943171D1C243}"/>
            </c:ext>
          </c:extLst>
        </c:ser>
        <c:ser>
          <c:idx val="18"/>
          <c:order val="18"/>
          <c:spPr>
            <a:gradFill rotWithShape="1">
              <a:gsLst>
                <a:gs pos="0">
                  <a:schemeClr val="accent1">
                    <a:lumMod val="80000"/>
                    <a:lumMod val="110000"/>
                    <a:satMod val="105000"/>
                    <a:tint val="67000"/>
                  </a:schemeClr>
                </a:gs>
                <a:gs pos="50000">
                  <a:schemeClr val="accent1">
                    <a:lumMod val="80000"/>
                    <a:lumMod val="105000"/>
                    <a:satMod val="103000"/>
                    <a:tint val="73000"/>
                  </a:schemeClr>
                </a:gs>
                <a:gs pos="100000">
                  <a:schemeClr val="accent1">
                    <a:lumMod val="80000"/>
                    <a:lumMod val="105000"/>
                    <a:satMod val="109000"/>
                    <a:tint val="81000"/>
                  </a:schemeClr>
                </a:gs>
              </a:gsLst>
              <a:lin ang="5400000" scaled="0"/>
            </a:gradFill>
            <a:ln w="9525" cap="flat" cmpd="sng" algn="ctr">
              <a:solidFill>
                <a:schemeClr val="accent1">
                  <a:lumMod val="80000"/>
                  <a:shade val="95000"/>
                </a:schemeClr>
              </a:solidFill>
              <a:round/>
            </a:ln>
            <a:effectLst/>
          </c:spPr>
          <c:invertIfNegative val="0"/>
          <c:cat>
            <c:strRef>
              <c:f>'Books combined'!$B$143:$G$143</c:f>
              <c:strCache>
                <c:ptCount val="6"/>
                <c:pt idx="0">
                  <c:v>Meat</c:v>
                </c:pt>
                <c:pt idx="1">
                  <c:v>Pork</c:v>
                </c:pt>
                <c:pt idx="2">
                  <c:v>Poultry</c:v>
                </c:pt>
                <c:pt idx="3">
                  <c:v>Sea food</c:v>
                </c:pt>
                <c:pt idx="4">
                  <c:v>Vegan</c:v>
                </c:pt>
                <c:pt idx="5">
                  <c:v>Vegetarian</c:v>
                </c:pt>
              </c:strCache>
            </c:strRef>
          </c:cat>
          <c:val>
            <c:numRef>
              <c:f>'Books combined'!$B$162:$G$162</c:f>
              <c:numCache>
                <c:formatCode>General</c:formatCode>
                <c:ptCount val="6"/>
                <c:pt idx="0">
                  <c:v>1213.3438369440987</c:v>
                </c:pt>
              </c:numCache>
            </c:numRef>
          </c:val>
          <c:extLst>
            <c:ext xmlns:c16="http://schemas.microsoft.com/office/drawing/2014/chart" uri="{C3380CC4-5D6E-409C-BE32-E72D297353CC}">
              <c16:uniqueId val="{00000012-AC31-4E55-BBDA-943171D1C243}"/>
            </c:ext>
          </c:extLst>
        </c:ser>
        <c:ser>
          <c:idx val="19"/>
          <c:order val="19"/>
          <c:spPr>
            <a:gradFill rotWithShape="1">
              <a:gsLst>
                <a:gs pos="0">
                  <a:schemeClr val="accent2">
                    <a:lumMod val="80000"/>
                    <a:lumMod val="110000"/>
                    <a:satMod val="105000"/>
                    <a:tint val="67000"/>
                  </a:schemeClr>
                </a:gs>
                <a:gs pos="50000">
                  <a:schemeClr val="accent2">
                    <a:lumMod val="80000"/>
                    <a:lumMod val="105000"/>
                    <a:satMod val="103000"/>
                    <a:tint val="73000"/>
                  </a:schemeClr>
                </a:gs>
                <a:gs pos="100000">
                  <a:schemeClr val="accent2">
                    <a:lumMod val="80000"/>
                    <a:lumMod val="105000"/>
                    <a:satMod val="109000"/>
                    <a:tint val="81000"/>
                  </a:schemeClr>
                </a:gs>
              </a:gsLst>
              <a:lin ang="5400000" scaled="0"/>
            </a:gradFill>
            <a:ln w="9525" cap="flat" cmpd="sng" algn="ctr">
              <a:solidFill>
                <a:schemeClr val="accent2">
                  <a:lumMod val="80000"/>
                  <a:shade val="95000"/>
                </a:schemeClr>
              </a:solidFill>
              <a:round/>
            </a:ln>
            <a:effectLst/>
          </c:spPr>
          <c:invertIfNegative val="0"/>
          <c:cat>
            <c:strRef>
              <c:f>'Books combined'!$B$143:$G$143</c:f>
              <c:strCache>
                <c:ptCount val="6"/>
                <c:pt idx="0">
                  <c:v>Meat</c:v>
                </c:pt>
                <c:pt idx="1">
                  <c:v>Pork</c:v>
                </c:pt>
                <c:pt idx="2">
                  <c:v>Poultry</c:v>
                </c:pt>
                <c:pt idx="3">
                  <c:v>Sea food</c:v>
                </c:pt>
                <c:pt idx="4">
                  <c:v>Vegan</c:v>
                </c:pt>
                <c:pt idx="5">
                  <c:v>Vegetarian</c:v>
                </c:pt>
              </c:strCache>
            </c:strRef>
          </c:cat>
          <c:val>
            <c:numRef>
              <c:f>'Books combined'!$B$163:$G$163</c:f>
              <c:numCache>
                <c:formatCode>General</c:formatCode>
                <c:ptCount val="6"/>
                <c:pt idx="0">
                  <c:v>494.44170534606457</c:v>
                </c:pt>
              </c:numCache>
            </c:numRef>
          </c:val>
          <c:extLst>
            <c:ext xmlns:c16="http://schemas.microsoft.com/office/drawing/2014/chart" uri="{C3380CC4-5D6E-409C-BE32-E72D297353CC}">
              <c16:uniqueId val="{00000013-AC31-4E55-BBDA-943171D1C243}"/>
            </c:ext>
          </c:extLst>
        </c:ser>
        <c:dLbls>
          <c:showLegendKey val="0"/>
          <c:showVal val="0"/>
          <c:showCatName val="0"/>
          <c:showSerName val="0"/>
          <c:showPercent val="0"/>
          <c:showBubbleSize val="0"/>
        </c:dLbls>
        <c:gapWidth val="100"/>
        <c:overlap val="-24"/>
        <c:axId val="1400495776"/>
        <c:axId val="1400494528"/>
      </c:barChart>
      <c:catAx>
        <c:axId val="1400495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pt-BR"/>
          </a:p>
        </c:txPr>
        <c:crossAx val="1400494528"/>
        <c:crosses val="autoZero"/>
        <c:auto val="1"/>
        <c:lblAlgn val="ctr"/>
        <c:lblOffset val="100"/>
        <c:noMultiLvlLbl val="0"/>
      </c:catAx>
      <c:valAx>
        <c:axId val="14004945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cap="all" baseline="0">
                    <a:solidFill>
                      <a:schemeClr val="tx1">
                        <a:lumMod val="50000"/>
                        <a:lumOff val="50000"/>
                      </a:schemeClr>
                    </a:solidFill>
                    <a:latin typeface="+mn-lt"/>
                    <a:ea typeface="+mn-ea"/>
                    <a:cs typeface="+mn-cs"/>
                  </a:defRPr>
                </a:pPr>
                <a:r>
                  <a:rPr lang="pt-BR" sz="800" b="0" i="0" baseline="0">
                    <a:effectLst/>
                  </a:rPr>
                  <a:t>Total Carbon footprint (gCO2e)</a:t>
                </a:r>
                <a:endParaRPr lang="pt-BR" sz="800">
                  <a:effectLst/>
                </a:endParaRPr>
              </a:p>
            </c:rich>
          </c:tx>
          <c:overlay val="0"/>
          <c:spPr>
            <a:noFill/>
            <a:ln>
              <a:noFill/>
            </a:ln>
            <a:effectLst/>
          </c:spPr>
          <c:txPr>
            <a:bodyPr rot="-5400000" spcFirstLastPara="1" vertOverflow="ellipsis" vert="horz" wrap="square" anchor="ctr" anchorCtr="1"/>
            <a:lstStyle/>
            <a:p>
              <a:pPr>
                <a:defRPr sz="800" b="0" i="0" u="none" strike="noStrike" kern="1200" cap="all" baseline="0">
                  <a:solidFill>
                    <a:schemeClr val="tx1">
                      <a:lumMod val="50000"/>
                      <a:lumOff val="50000"/>
                    </a:schemeClr>
                  </a:solidFill>
                  <a:latin typeface="+mn-lt"/>
                  <a:ea typeface="+mn-ea"/>
                  <a:cs typeface="+mn-cs"/>
                </a:defRPr>
              </a:pPr>
              <a:endParaRPr lang="pt-B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pt-BR"/>
          </a:p>
        </c:txPr>
        <c:crossAx val="1400495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pt-BR" sz="1400" b="0" i="0" baseline="0">
                <a:effectLst/>
              </a:rPr>
              <a:t>Mín, Max and Average per 100g</a:t>
            </a:r>
            <a:endParaRPr lang="pt-BR" sz="1400">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pt-BR"/>
        </a:p>
      </c:txPr>
    </c:title>
    <c:autoTitleDeleted val="0"/>
    <c:plotArea>
      <c:layout/>
      <c:lineChart>
        <c:grouping val="standard"/>
        <c:varyColors val="0"/>
        <c:ser>
          <c:idx val="0"/>
          <c:order val="0"/>
          <c:tx>
            <c:strRef>
              <c:f>'Books combined'!$Q$165</c:f>
              <c:strCache>
                <c:ptCount val="1"/>
                <c:pt idx="0">
                  <c:v>Average</c:v>
                </c:pt>
              </c:strCache>
            </c:strRef>
          </c:tx>
          <c:spPr>
            <a:ln w="28575" cap="rnd">
              <a:noFill/>
              <a:round/>
            </a:ln>
            <a:effectLst/>
          </c:spPr>
          <c:marker>
            <c:symbol val="square"/>
            <c:size val="8"/>
            <c:spPr>
              <a:solidFill>
                <a:schemeClr val="accent1"/>
              </a:solidFill>
              <a:ln w="9525">
                <a:solidFill>
                  <a:schemeClr val="accent1"/>
                </a:solidFill>
              </a:ln>
              <a:effectLst/>
            </c:spPr>
          </c:marker>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'Books combined'!$R$164:$W$164</c:f>
              <c:strCache>
                <c:ptCount val="6"/>
                <c:pt idx="0">
                  <c:v>Meat</c:v>
                </c:pt>
                <c:pt idx="1">
                  <c:v>Pork</c:v>
                </c:pt>
                <c:pt idx="2">
                  <c:v>Poultry</c:v>
                </c:pt>
                <c:pt idx="3">
                  <c:v>Sea food</c:v>
                </c:pt>
                <c:pt idx="4">
                  <c:v>Vegan</c:v>
                </c:pt>
                <c:pt idx="5">
                  <c:v>Vegetarian</c:v>
                </c:pt>
              </c:strCache>
            </c:strRef>
          </c:cat>
          <c:val>
            <c:numRef>
              <c:f>'Books combined'!$R$165:$W$165</c:f>
              <c:numCache>
                <c:formatCode>General</c:formatCode>
                <c:ptCount val="6"/>
                <c:pt idx="0">
                  <c:v>581.66390072631543</c:v>
                </c:pt>
                <c:pt idx="1">
                  <c:v>336.68892345824463</c:v>
                </c:pt>
                <c:pt idx="2">
                  <c:v>150.29583422571071</c:v>
                </c:pt>
                <c:pt idx="3">
                  <c:v>218.89643482245864</c:v>
                </c:pt>
                <c:pt idx="4">
                  <c:v>58.374464284812646</c:v>
                </c:pt>
                <c:pt idx="5">
                  <c:v>143.25166369860042</c:v>
                </c:pt>
              </c:numCache>
            </c:numRef>
          </c:val>
          <c:smooth val="0"/>
          <c:extLst>
            <c:ext xmlns:c16="http://schemas.microsoft.com/office/drawing/2014/chart" uri="{C3380CC4-5D6E-409C-BE32-E72D297353CC}">
              <c16:uniqueId val="{00000000-CC35-4A85-9227-5B283851AF89}"/>
            </c:ext>
          </c:extLst>
        </c:ser>
        <c:ser>
          <c:idx val="1"/>
          <c:order val="1"/>
          <c:tx>
            <c:strRef>
              <c:f>'Books combined'!$Q$166</c:f>
              <c:strCache>
                <c:ptCount val="1"/>
                <c:pt idx="0">
                  <c:v>Min</c:v>
                </c:pt>
              </c:strCache>
            </c:strRef>
          </c:tx>
          <c:spPr>
            <a:ln w="28575" cap="rnd">
              <a:noFill/>
              <a:round/>
            </a:ln>
            <a:effectLst/>
          </c:spPr>
          <c:marker>
            <c:symbol val="diamond"/>
            <c:size val="5"/>
            <c:spPr>
              <a:solidFill>
                <a:schemeClr val="accent2"/>
              </a:solidFill>
              <a:ln w="9525">
                <a:solidFill>
                  <a:schemeClr val="accent2"/>
                </a:solidFill>
              </a:ln>
              <a:effectLst/>
            </c:spPr>
          </c:marker>
          <c:dLbls>
            <c:dLbl>
              <c:idx val="4"/>
              <c:layout>
                <c:manualLayout>
                  <c:x val="-6.1652281134401974E-3"/>
                  <c:y val="2.53073029645696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C35-4A85-9227-5B283851AF89}"/>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'Books combined'!$R$164:$W$164</c:f>
              <c:strCache>
                <c:ptCount val="6"/>
                <c:pt idx="0">
                  <c:v>Meat</c:v>
                </c:pt>
                <c:pt idx="1">
                  <c:v>Pork</c:v>
                </c:pt>
                <c:pt idx="2">
                  <c:v>Poultry</c:v>
                </c:pt>
                <c:pt idx="3">
                  <c:v>Sea food</c:v>
                </c:pt>
                <c:pt idx="4">
                  <c:v>Vegan</c:v>
                </c:pt>
                <c:pt idx="5">
                  <c:v>Vegetarian</c:v>
                </c:pt>
              </c:strCache>
            </c:strRef>
          </c:cat>
          <c:val>
            <c:numRef>
              <c:f>'Books combined'!$R$166:$W$166</c:f>
              <c:numCache>
                <c:formatCode>General</c:formatCode>
                <c:ptCount val="6"/>
                <c:pt idx="0">
                  <c:v>81.575162487500506</c:v>
                </c:pt>
                <c:pt idx="1">
                  <c:v>110.10862143112413</c:v>
                </c:pt>
                <c:pt idx="2">
                  <c:v>30.488685015290525</c:v>
                </c:pt>
                <c:pt idx="3">
                  <c:v>81.177506873762994</c:v>
                </c:pt>
                <c:pt idx="4">
                  <c:v>6.4747521118922586</c:v>
                </c:pt>
                <c:pt idx="5">
                  <c:v>11.120930232558139</c:v>
                </c:pt>
              </c:numCache>
            </c:numRef>
          </c:val>
          <c:smooth val="0"/>
          <c:extLst>
            <c:ext xmlns:c16="http://schemas.microsoft.com/office/drawing/2014/chart" uri="{C3380CC4-5D6E-409C-BE32-E72D297353CC}">
              <c16:uniqueId val="{00000001-CC35-4A85-9227-5B283851AF89}"/>
            </c:ext>
          </c:extLst>
        </c:ser>
        <c:ser>
          <c:idx val="2"/>
          <c:order val="2"/>
          <c:tx>
            <c:strRef>
              <c:f>'Books combined'!$Q$167</c:f>
              <c:strCache>
                <c:ptCount val="1"/>
                <c:pt idx="0">
                  <c:v>Max</c:v>
                </c:pt>
              </c:strCache>
            </c:strRef>
          </c:tx>
          <c:spPr>
            <a:ln w="28575" cap="rnd">
              <a:noFill/>
              <a:round/>
            </a:ln>
            <a:effectLst/>
          </c:spPr>
          <c:marker>
            <c:symbol val="diamond"/>
            <c:size val="5"/>
            <c:spPr>
              <a:solidFill>
                <a:schemeClr val="accent4"/>
              </a:solidFill>
              <a:ln w="9525">
                <a:solidFill>
                  <a:schemeClr val="tx1"/>
                </a:solidFill>
              </a:ln>
              <a:effectLst/>
            </c:spPr>
          </c:marker>
          <c:dLbls>
            <c:dLbl>
              <c:idx val="2"/>
              <c:layout>
                <c:manualLayout>
                  <c:x val="-1.4385532264693794E-2"/>
                  <c:y val="-3.615328994938539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C35-4A85-9227-5B283851AF89}"/>
                </c:ext>
              </c:extLst>
            </c:dLbl>
            <c:dLbl>
              <c:idx val="3"/>
              <c:layout>
                <c:manualLayout>
                  <c:x val="-2.6715988491574263E-2"/>
                  <c:y val="-2.89226319595083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C35-4A85-9227-5B283851AF89}"/>
                </c:ext>
              </c:extLst>
            </c:dLbl>
            <c:dLbl>
              <c:idx val="4"/>
              <c:layout>
                <c:manualLayout>
                  <c:x val="-2.2605836415947388E-2"/>
                  <c:y val="-3.9768618944323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C35-4A85-9227-5B283851AF89}"/>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'Books combined'!$R$164:$W$164</c:f>
              <c:strCache>
                <c:ptCount val="6"/>
                <c:pt idx="0">
                  <c:v>Meat</c:v>
                </c:pt>
                <c:pt idx="1">
                  <c:v>Pork</c:v>
                </c:pt>
                <c:pt idx="2">
                  <c:v>Poultry</c:v>
                </c:pt>
                <c:pt idx="3">
                  <c:v>Sea food</c:v>
                </c:pt>
                <c:pt idx="4">
                  <c:v>Vegan</c:v>
                </c:pt>
                <c:pt idx="5">
                  <c:v>Vegetarian</c:v>
                </c:pt>
              </c:strCache>
            </c:strRef>
          </c:cat>
          <c:val>
            <c:numRef>
              <c:f>'Books combined'!$R$167:$W$167</c:f>
              <c:numCache>
                <c:formatCode>General</c:formatCode>
                <c:ptCount val="6"/>
                <c:pt idx="0">
                  <c:v>2007.1779125107248</c:v>
                </c:pt>
                <c:pt idx="1">
                  <c:v>778.65944558188994</c:v>
                </c:pt>
                <c:pt idx="2">
                  <c:v>221.30975988217375</c:v>
                </c:pt>
                <c:pt idx="3">
                  <c:v>294.07291679491777</c:v>
                </c:pt>
                <c:pt idx="4">
                  <c:v>133.47179908311981</c:v>
                </c:pt>
                <c:pt idx="5">
                  <c:v>388.87180208884206</c:v>
                </c:pt>
              </c:numCache>
            </c:numRef>
          </c:val>
          <c:smooth val="0"/>
          <c:extLst>
            <c:ext xmlns:c16="http://schemas.microsoft.com/office/drawing/2014/chart" uri="{C3380CC4-5D6E-409C-BE32-E72D297353CC}">
              <c16:uniqueId val="{00000002-CC35-4A85-9227-5B283851AF89}"/>
            </c:ext>
          </c:extLst>
        </c:ser>
        <c:dLbls>
          <c:dLblPos val="r"/>
          <c:showLegendKey val="0"/>
          <c:showVal val="1"/>
          <c:showCatName val="0"/>
          <c:showSerName val="0"/>
          <c:showPercent val="0"/>
          <c:showBubbleSize val="0"/>
        </c:dLbls>
        <c:hiLowLines>
          <c:spPr>
            <a:ln w="9525" cap="flat" cmpd="sng" algn="ctr">
              <a:solidFill>
                <a:schemeClr val="tx1">
                  <a:lumMod val="75000"/>
                  <a:lumOff val="25000"/>
                </a:schemeClr>
              </a:solidFill>
              <a:round/>
            </a:ln>
            <a:effectLst/>
          </c:spPr>
        </c:hiLowLines>
        <c:marker val="1"/>
        <c:smooth val="0"/>
        <c:axId val="1101119631"/>
        <c:axId val="1101117551"/>
      </c:lineChart>
      <c:catAx>
        <c:axId val="1101119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01117551"/>
        <c:crosses val="autoZero"/>
        <c:auto val="1"/>
        <c:lblAlgn val="ctr"/>
        <c:lblOffset val="100"/>
        <c:noMultiLvlLbl val="0"/>
      </c:catAx>
      <c:valAx>
        <c:axId val="1101117551"/>
        <c:scaling>
          <c:orientation val="minMax"/>
        </c:scaling>
        <c:delete val="1"/>
        <c:axPos val="l"/>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rgbClr val="000000">
                        <a:lumMod val="65000"/>
                        <a:lumOff val="35000"/>
                      </a:srgbClr>
                    </a:solidFill>
                    <a:latin typeface="+mn-lt"/>
                    <a:ea typeface="+mn-ea"/>
                    <a:cs typeface="+mn-cs"/>
                  </a:defRPr>
                </a:pPr>
                <a:r>
                  <a:rPr lang="pt-BR" sz="1000" b="0" i="0" baseline="0">
                    <a:effectLst/>
                  </a:rPr>
                  <a:t>Total Carbon footprint (gCO2e)</a:t>
                </a:r>
                <a:endParaRPr lang="pt-BR" sz="1000">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rgbClr val="000000">
                        <a:lumMod val="65000"/>
                        <a:lumOff val="35000"/>
                      </a:srgbClr>
                    </a:solidFill>
                  </a:defRPr>
                </a:pPr>
                <a:endParaRPr lang="pt-BR" sz="1000"/>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rgbClr val="000000">
                      <a:lumMod val="65000"/>
                      <a:lumOff val="35000"/>
                    </a:srgbClr>
                  </a:solidFill>
                  <a:latin typeface="+mn-lt"/>
                  <a:ea typeface="+mn-ea"/>
                  <a:cs typeface="+mn-cs"/>
                </a:defRPr>
              </a:pPr>
              <a:endParaRPr lang="pt-BR"/>
            </a:p>
          </c:txPr>
        </c:title>
        <c:numFmt formatCode="General" sourceLinked="1"/>
        <c:majorTickMark val="none"/>
        <c:minorTickMark val="none"/>
        <c:tickLblPos val="nextTo"/>
        <c:crossAx val="1101119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Carbon</a:t>
            </a:r>
            <a:r>
              <a:rPr lang="pt-BR" baseline="0"/>
              <a:t> footprint distribution per servings</a:t>
            </a:r>
            <a:endParaRPr lang="pt-B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spPr>
            <a:solidFill>
              <a:schemeClr val="accent1"/>
            </a:solidFill>
            <a:ln>
              <a:noFill/>
            </a:ln>
            <a:effectLst/>
          </c:spPr>
          <c:invertIfNegative val="0"/>
          <c:cat>
            <c:strRef>
              <c:f>'Books combined'!$J$143:$O$143</c:f>
              <c:strCache>
                <c:ptCount val="6"/>
                <c:pt idx="0">
                  <c:v>Meat</c:v>
                </c:pt>
                <c:pt idx="1">
                  <c:v>Pork</c:v>
                </c:pt>
                <c:pt idx="2">
                  <c:v>Poultry</c:v>
                </c:pt>
                <c:pt idx="3">
                  <c:v>Sea food</c:v>
                </c:pt>
                <c:pt idx="4">
                  <c:v>Vegan</c:v>
                </c:pt>
                <c:pt idx="5">
                  <c:v>Vegetarian</c:v>
                </c:pt>
              </c:strCache>
            </c:strRef>
          </c:cat>
          <c:val>
            <c:numRef>
              <c:f>'Books combined'!$J$144:$O$144</c:f>
              <c:numCache>
                <c:formatCode>General</c:formatCode>
                <c:ptCount val="6"/>
                <c:pt idx="0">
                  <c:v>8230.3802462833337</c:v>
                </c:pt>
                <c:pt idx="1">
                  <c:v>2691.9377622459701</c:v>
                </c:pt>
                <c:pt idx="2">
                  <c:v>1213.701184825052</c:v>
                </c:pt>
                <c:pt idx="3">
                  <c:v>1332.0149512559265</c:v>
                </c:pt>
                <c:pt idx="4">
                  <c:v>574.51623286318431</c:v>
                </c:pt>
                <c:pt idx="5">
                  <c:v>1107.7837757949335</c:v>
                </c:pt>
              </c:numCache>
            </c:numRef>
          </c:val>
          <c:extLst>
            <c:ext xmlns:c16="http://schemas.microsoft.com/office/drawing/2014/chart" uri="{C3380CC4-5D6E-409C-BE32-E72D297353CC}">
              <c16:uniqueId val="{00000000-7732-4A57-991F-2D7882F7D82E}"/>
            </c:ext>
          </c:extLst>
        </c:ser>
        <c:ser>
          <c:idx val="1"/>
          <c:order val="1"/>
          <c:spPr>
            <a:solidFill>
              <a:schemeClr val="accent2"/>
            </a:solidFill>
            <a:ln>
              <a:noFill/>
            </a:ln>
            <a:effectLst/>
          </c:spPr>
          <c:invertIfNegative val="0"/>
          <c:cat>
            <c:strRef>
              <c:f>'Books combined'!$J$143:$O$143</c:f>
              <c:strCache>
                <c:ptCount val="6"/>
                <c:pt idx="0">
                  <c:v>Meat</c:v>
                </c:pt>
                <c:pt idx="1">
                  <c:v>Pork</c:v>
                </c:pt>
                <c:pt idx="2">
                  <c:v>Poultry</c:v>
                </c:pt>
                <c:pt idx="3">
                  <c:v>Sea food</c:v>
                </c:pt>
                <c:pt idx="4">
                  <c:v>Vegan</c:v>
                </c:pt>
                <c:pt idx="5">
                  <c:v>Vegetarian</c:v>
                </c:pt>
              </c:strCache>
            </c:strRef>
          </c:cat>
          <c:val>
            <c:numRef>
              <c:f>'Books combined'!$J$145:$O$145</c:f>
              <c:numCache>
                <c:formatCode>General</c:formatCode>
                <c:ptCount val="6"/>
                <c:pt idx="0">
                  <c:v>6465.1200561970454</c:v>
                </c:pt>
                <c:pt idx="1">
                  <c:v>1241.9897002150026</c:v>
                </c:pt>
                <c:pt idx="2">
                  <c:v>1073.1691426685168</c:v>
                </c:pt>
                <c:pt idx="3">
                  <c:v>1326.0492902937492</c:v>
                </c:pt>
                <c:pt idx="4">
                  <c:v>547.65899890686671</c:v>
                </c:pt>
                <c:pt idx="5">
                  <c:v>332.47525608465611</c:v>
                </c:pt>
              </c:numCache>
            </c:numRef>
          </c:val>
          <c:extLst>
            <c:ext xmlns:c16="http://schemas.microsoft.com/office/drawing/2014/chart" uri="{C3380CC4-5D6E-409C-BE32-E72D297353CC}">
              <c16:uniqueId val="{00000001-7732-4A57-991F-2D7882F7D82E}"/>
            </c:ext>
          </c:extLst>
        </c:ser>
        <c:ser>
          <c:idx val="2"/>
          <c:order val="2"/>
          <c:spPr>
            <a:solidFill>
              <a:schemeClr val="accent3"/>
            </a:solidFill>
            <a:ln>
              <a:noFill/>
            </a:ln>
            <a:effectLst/>
          </c:spPr>
          <c:invertIfNegative val="0"/>
          <c:cat>
            <c:strRef>
              <c:f>'Books combined'!$J$143:$O$143</c:f>
              <c:strCache>
                <c:ptCount val="6"/>
                <c:pt idx="0">
                  <c:v>Meat</c:v>
                </c:pt>
                <c:pt idx="1">
                  <c:v>Pork</c:v>
                </c:pt>
                <c:pt idx="2">
                  <c:v>Poultry</c:v>
                </c:pt>
                <c:pt idx="3">
                  <c:v>Sea food</c:v>
                </c:pt>
                <c:pt idx="4">
                  <c:v>Vegan</c:v>
                </c:pt>
                <c:pt idx="5">
                  <c:v>Vegetarian</c:v>
                </c:pt>
              </c:strCache>
            </c:strRef>
          </c:cat>
          <c:val>
            <c:numRef>
              <c:f>'Books combined'!$J$146:$O$146</c:f>
              <c:numCache>
                <c:formatCode>General</c:formatCode>
                <c:ptCount val="6"/>
                <c:pt idx="0">
                  <c:v>4841.889070739383</c:v>
                </c:pt>
                <c:pt idx="1">
                  <c:v>935.14484909188036</c:v>
                </c:pt>
                <c:pt idx="2">
                  <c:v>930.35718456355016</c:v>
                </c:pt>
                <c:pt idx="3">
                  <c:v>1202.7114911008493</c:v>
                </c:pt>
                <c:pt idx="4">
                  <c:v>249.25371994176476</c:v>
                </c:pt>
                <c:pt idx="5">
                  <c:v>309.87726237543728</c:v>
                </c:pt>
              </c:numCache>
            </c:numRef>
          </c:val>
          <c:extLst>
            <c:ext xmlns:c16="http://schemas.microsoft.com/office/drawing/2014/chart" uri="{C3380CC4-5D6E-409C-BE32-E72D297353CC}">
              <c16:uniqueId val="{00000002-7732-4A57-991F-2D7882F7D82E}"/>
            </c:ext>
          </c:extLst>
        </c:ser>
        <c:ser>
          <c:idx val="3"/>
          <c:order val="3"/>
          <c:spPr>
            <a:solidFill>
              <a:schemeClr val="accent4"/>
            </a:solidFill>
            <a:ln>
              <a:noFill/>
            </a:ln>
            <a:effectLst/>
          </c:spPr>
          <c:invertIfNegative val="0"/>
          <c:cat>
            <c:strRef>
              <c:f>'Books combined'!$J$143:$O$143</c:f>
              <c:strCache>
                <c:ptCount val="6"/>
                <c:pt idx="0">
                  <c:v>Meat</c:v>
                </c:pt>
                <c:pt idx="1">
                  <c:v>Pork</c:v>
                </c:pt>
                <c:pt idx="2">
                  <c:v>Poultry</c:v>
                </c:pt>
                <c:pt idx="3">
                  <c:v>Sea food</c:v>
                </c:pt>
                <c:pt idx="4">
                  <c:v>Vegan</c:v>
                </c:pt>
                <c:pt idx="5">
                  <c:v>Vegetarian</c:v>
                </c:pt>
              </c:strCache>
            </c:strRef>
          </c:cat>
          <c:val>
            <c:numRef>
              <c:f>'Books combined'!$J$147:$O$147</c:f>
              <c:numCache>
                <c:formatCode>General</c:formatCode>
                <c:ptCount val="6"/>
                <c:pt idx="0">
                  <c:v>4518.3415246830682</c:v>
                </c:pt>
                <c:pt idx="1">
                  <c:v>872.56663888371884</c:v>
                </c:pt>
                <c:pt idx="2">
                  <c:v>800.37220811539055</c:v>
                </c:pt>
                <c:pt idx="3">
                  <c:v>844.78694436971034</c:v>
                </c:pt>
                <c:pt idx="4">
                  <c:v>207.54834523886919</c:v>
                </c:pt>
                <c:pt idx="5">
                  <c:v>236.93311269872422</c:v>
                </c:pt>
              </c:numCache>
            </c:numRef>
          </c:val>
          <c:extLst>
            <c:ext xmlns:c16="http://schemas.microsoft.com/office/drawing/2014/chart" uri="{C3380CC4-5D6E-409C-BE32-E72D297353CC}">
              <c16:uniqueId val="{00000003-7732-4A57-991F-2D7882F7D82E}"/>
            </c:ext>
          </c:extLst>
        </c:ser>
        <c:ser>
          <c:idx val="4"/>
          <c:order val="4"/>
          <c:spPr>
            <a:solidFill>
              <a:schemeClr val="accent5"/>
            </a:solidFill>
            <a:ln>
              <a:noFill/>
            </a:ln>
            <a:effectLst/>
          </c:spPr>
          <c:invertIfNegative val="0"/>
          <c:cat>
            <c:strRef>
              <c:f>'Books combined'!$J$143:$O$143</c:f>
              <c:strCache>
                <c:ptCount val="6"/>
                <c:pt idx="0">
                  <c:v>Meat</c:v>
                </c:pt>
                <c:pt idx="1">
                  <c:v>Pork</c:v>
                </c:pt>
                <c:pt idx="2">
                  <c:v>Poultry</c:v>
                </c:pt>
                <c:pt idx="3">
                  <c:v>Sea food</c:v>
                </c:pt>
                <c:pt idx="4">
                  <c:v>Vegan</c:v>
                </c:pt>
                <c:pt idx="5">
                  <c:v>Vegetarian</c:v>
                </c:pt>
              </c:strCache>
            </c:strRef>
          </c:cat>
          <c:val>
            <c:numRef>
              <c:f>'Books combined'!$J$148:$O$148</c:f>
              <c:numCache>
                <c:formatCode>General</c:formatCode>
                <c:ptCount val="6"/>
                <c:pt idx="0">
                  <c:v>4358.5085820493341</c:v>
                </c:pt>
                <c:pt idx="1">
                  <c:v>855.16403059942297</c:v>
                </c:pt>
                <c:pt idx="2">
                  <c:v>701.32733590139651</c:v>
                </c:pt>
                <c:pt idx="3">
                  <c:v>795.73845882441606</c:v>
                </c:pt>
                <c:pt idx="4">
                  <c:v>155.64685805509859</c:v>
                </c:pt>
                <c:pt idx="5">
                  <c:v>134.40661454993045</c:v>
                </c:pt>
              </c:numCache>
            </c:numRef>
          </c:val>
          <c:extLst>
            <c:ext xmlns:c16="http://schemas.microsoft.com/office/drawing/2014/chart" uri="{C3380CC4-5D6E-409C-BE32-E72D297353CC}">
              <c16:uniqueId val="{00000004-7732-4A57-991F-2D7882F7D82E}"/>
            </c:ext>
          </c:extLst>
        </c:ser>
        <c:ser>
          <c:idx val="5"/>
          <c:order val="5"/>
          <c:spPr>
            <a:solidFill>
              <a:schemeClr val="accent6"/>
            </a:solidFill>
            <a:ln>
              <a:noFill/>
            </a:ln>
            <a:effectLst/>
          </c:spPr>
          <c:invertIfNegative val="0"/>
          <c:cat>
            <c:strRef>
              <c:f>'Books combined'!$J$143:$O$143</c:f>
              <c:strCache>
                <c:ptCount val="6"/>
                <c:pt idx="0">
                  <c:v>Meat</c:v>
                </c:pt>
                <c:pt idx="1">
                  <c:v>Pork</c:v>
                </c:pt>
                <c:pt idx="2">
                  <c:v>Poultry</c:v>
                </c:pt>
                <c:pt idx="3">
                  <c:v>Sea food</c:v>
                </c:pt>
                <c:pt idx="4">
                  <c:v>Vegan</c:v>
                </c:pt>
                <c:pt idx="5">
                  <c:v>Vegetarian</c:v>
                </c:pt>
              </c:strCache>
            </c:strRef>
          </c:cat>
          <c:val>
            <c:numRef>
              <c:f>'Books combined'!$J$149:$O$149</c:f>
              <c:numCache>
                <c:formatCode>General</c:formatCode>
                <c:ptCount val="6"/>
                <c:pt idx="0">
                  <c:v>2456.8687579724833</c:v>
                </c:pt>
                <c:pt idx="1">
                  <c:v>749.21810783787294</c:v>
                </c:pt>
                <c:pt idx="2">
                  <c:v>613.21107696458034</c:v>
                </c:pt>
                <c:pt idx="3">
                  <c:v>717.53013188718978</c:v>
                </c:pt>
                <c:pt idx="4">
                  <c:v>91.311268902076293</c:v>
                </c:pt>
                <c:pt idx="5">
                  <c:v>132.60082163409149</c:v>
                </c:pt>
              </c:numCache>
            </c:numRef>
          </c:val>
          <c:extLst>
            <c:ext xmlns:c16="http://schemas.microsoft.com/office/drawing/2014/chart" uri="{C3380CC4-5D6E-409C-BE32-E72D297353CC}">
              <c16:uniqueId val="{00000005-7732-4A57-991F-2D7882F7D82E}"/>
            </c:ext>
          </c:extLst>
        </c:ser>
        <c:ser>
          <c:idx val="6"/>
          <c:order val="6"/>
          <c:spPr>
            <a:solidFill>
              <a:schemeClr val="accent1">
                <a:lumMod val="60000"/>
              </a:schemeClr>
            </a:solidFill>
            <a:ln>
              <a:noFill/>
            </a:ln>
            <a:effectLst/>
          </c:spPr>
          <c:invertIfNegative val="0"/>
          <c:cat>
            <c:strRef>
              <c:f>'Books combined'!$J$143:$O$143</c:f>
              <c:strCache>
                <c:ptCount val="6"/>
                <c:pt idx="0">
                  <c:v>Meat</c:v>
                </c:pt>
                <c:pt idx="1">
                  <c:v>Pork</c:v>
                </c:pt>
                <c:pt idx="2">
                  <c:v>Poultry</c:v>
                </c:pt>
                <c:pt idx="3">
                  <c:v>Sea food</c:v>
                </c:pt>
                <c:pt idx="4">
                  <c:v>Vegan</c:v>
                </c:pt>
                <c:pt idx="5">
                  <c:v>Vegetarian</c:v>
                </c:pt>
              </c:strCache>
            </c:strRef>
          </c:cat>
          <c:val>
            <c:numRef>
              <c:f>'Books combined'!$J$150:$O$150</c:f>
              <c:numCache>
                <c:formatCode>General</c:formatCode>
                <c:ptCount val="6"/>
                <c:pt idx="0">
                  <c:v>1704.2984827454966</c:v>
                </c:pt>
                <c:pt idx="1">
                  <c:v>710.33351148105839</c:v>
                </c:pt>
                <c:pt idx="2">
                  <c:v>591.69887055878939</c:v>
                </c:pt>
                <c:pt idx="3">
                  <c:v>716.74477775752734</c:v>
                </c:pt>
                <c:pt idx="4">
                  <c:v>80.956634479408464</c:v>
                </c:pt>
                <c:pt idx="5">
                  <c:v>104.35063219017096</c:v>
                </c:pt>
              </c:numCache>
            </c:numRef>
          </c:val>
          <c:extLst>
            <c:ext xmlns:c16="http://schemas.microsoft.com/office/drawing/2014/chart" uri="{C3380CC4-5D6E-409C-BE32-E72D297353CC}">
              <c16:uniqueId val="{00000006-7732-4A57-991F-2D7882F7D82E}"/>
            </c:ext>
          </c:extLst>
        </c:ser>
        <c:ser>
          <c:idx val="7"/>
          <c:order val="7"/>
          <c:spPr>
            <a:solidFill>
              <a:schemeClr val="accent2">
                <a:lumMod val="60000"/>
              </a:schemeClr>
            </a:solidFill>
            <a:ln>
              <a:noFill/>
            </a:ln>
            <a:effectLst/>
          </c:spPr>
          <c:invertIfNegative val="0"/>
          <c:cat>
            <c:strRef>
              <c:f>'Books combined'!$J$143:$O$143</c:f>
              <c:strCache>
                <c:ptCount val="6"/>
                <c:pt idx="0">
                  <c:v>Meat</c:v>
                </c:pt>
                <c:pt idx="1">
                  <c:v>Pork</c:v>
                </c:pt>
                <c:pt idx="2">
                  <c:v>Poultry</c:v>
                </c:pt>
                <c:pt idx="3">
                  <c:v>Sea food</c:v>
                </c:pt>
                <c:pt idx="4">
                  <c:v>Vegan</c:v>
                </c:pt>
                <c:pt idx="5">
                  <c:v>Vegetarian</c:v>
                </c:pt>
              </c:strCache>
            </c:strRef>
          </c:cat>
          <c:val>
            <c:numRef>
              <c:f>'Books combined'!$J$151:$O$151</c:f>
              <c:numCache>
                <c:formatCode>General</c:formatCode>
                <c:ptCount val="6"/>
                <c:pt idx="0">
                  <c:v>1575.6495859379927</c:v>
                </c:pt>
                <c:pt idx="1">
                  <c:v>649.24647332952748</c:v>
                </c:pt>
                <c:pt idx="2">
                  <c:v>379.28034489320169</c:v>
                </c:pt>
                <c:pt idx="3">
                  <c:v>659.27349721166047</c:v>
                </c:pt>
                <c:pt idx="4">
                  <c:v>69.629757043198182</c:v>
                </c:pt>
                <c:pt idx="5">
                  <c:v>71.169952716489789</c:v>
                </c:pt>
              </c:numCache>
            </c:numRef>
          </c:val>
          <c:extLst>
            <c:ext xmlns:c16="http://schemas.microsoft.com/office/drawing/2014/chart" uri="{C3380CC4-5D6E-409C-BE32-E72D297353CC}">
              <c16:uniqueId val="{00000007-7732-4A57-991F-2D7882F7D82E}"/>
            </c:ext>
          </c:extLst>
        </c:ser>
        <c:ser>
          <c:idx val="8"/>
          <c:order val="8"/>
          <c:spPr>
            <a:solidFill>
              <a:schemeClr val="accent3">
                <a:lumMod val="60000"/>
              </a:schemeClr>
            </a:solidFill>
            <a:ln>
              <a:noFill/>
            </a:ln>
            <a:effectLst/>
          </c:spPr>
          <c:invertIfNegative val="0"/>
          <c:cat>
            <c:strRef>
              <c:f>'Books combined'!$J$143:$O$143</c:f>
              <c:strCache>
                <c:ptCount val="6"/>
                <c:pt idx="0">
                  <c:v>Meat</c:v>
                </c:pt>
                <c:pt idx="1">
                  <c:v>Pork</c:v>
                </c:pt>
                <c:pt idx="2">
                  <c:v>Poultry</c:v>
                </c:pt>
                <c:pt idx="3">
                  <c:v>Sea food</c:v>
                </c:pt>
                <c:pt idx="4">
                  <c:v>Vegan</c:v>
                </c:pt>
                <c:pt idx="5">
                  <c:v>Vegetarian</c:v>
                </c:pt>
              </c:strCache>
            </c:strRef>
          </c:cat>
          <c:val>
            <c:numRef>
              <c:f>'Books combined'!$J$152:$O$152</c:f>
              <c:numCache>
                <c:formatCode>General</c:formatCode>
                <c:ptCount val="6"/>
                <c:pt idx="0">
                  <c:v>1155.8268468911742</c:v>
                </c:pt>
                <c:pt idx="1">
                  <c:v>648.37367121687237</c:v>
                </c:pt>
                <c:pt idx="2">
                  <c:v>97.657740579970323</c:v>
                </c:pt>
                <c:pt idx="3">
                  <c:v>657.34731775144235</c:v>
                </c:pt>
                <c:pt idx="4">
                  <c:v>61.529893810749712</c:v>
                </c:pt>
                <c:pt idx="5">
                  <c:v>67.68502374915137</c:v>
                </c:pt>
              </c:numCache>
            </c:numRef>
          </c:val>
          <c:extLst>
            <c:ext xmlns:c16="http://schemas.microsoft.com/office/drawing/2014/chart" uri="{C3380CC4-5D6E-409C-BE32-E72D297353CC}">
              <c16:uniqueId val="{00000008-7732-4A57-991F-2D7882F7D82E}"/>
            </c:ext>
          </c:extLst>
        </c:ser>
        <c:ser>
          <c:idx val="9"/>
          <c:order val="9"/>
          <c:spPr>
            <a:solidFill>
              <a:schemeClr val="accent4">
                <a:lumMod val="60000"/>
              </a:schemeClr>
            </a:solidFill>
            <a:ln>
              <a:noFill/>
            </a:ln>
            <a:effectLst/>
          </c:spPr>
          <c:invertIfNegative val="0"/>
          <c:cat>
            <c:strRef>
              <c:f>'Books combined'!$J$143:$O$143</c:f>
              <c:strCache>
                <c:ptCount val="6"/>
                <c:pt idx="0">
                  <c:v>Meat</c:v>
                </c:pt>
                <c:pt idx="1">
                  <c:v>Pork</c:v>
                </c:pt>
                <c:pt idx="2">
                  <c:v>Poultry</c:v>
                </c:pt>
                <c:pt idx="3">
                  <c:v>Sea food</c:v>
                </c:pt>
                <c:pt idx="4">
                  <c:v>Vegan</c:v>
                </c:pt>
                <c:pt idx="5">
                  <c:v>Vegetarian</c:v>
                </c:pt>
              </c:strCache>
            </c:strRef>
          </c:cat>
          <c:val>
            <c:numRef>
              <c:f>'Books combined'!$J$153:$O$153</c:f>
              <c:numCache>
                <c:formatCode>General</c:formatCode>
                <c:ptCount val="6"/>
                <c:pt idx="0">
                  <c:v>1032.4409716749374</c:v>
                </c:pt>
                <c:pt idx="1">
                  <c:v>605.60808981493869</c:v>
                </c:pt>
                <c:pt idx="3">
                  <c:v>386.51623114878663</c:v>
                </c:pt>
                <c:pt idx="4">
                  <c:v>58.50386666666666</c:v>
                </c:pt>
                <c:pt idx="5">
                  <c:v>51.327795428988168</c:v>
                </c:pt>
              </c:numCache>
            </c:numRef>
          </c:val>
          <c:extLst>
            <c:ext xmlns:c16="http://schemas.microsoft.com/office/drawing/2014/chart" uri="{C3380CC4-5D6E-409C-BE32-E72D297353CC}">
              <c16:uniqueId val="{00000009-7732-4A57-991F-2D7882F7D82E}"/>
            </c:ext>
          </c:extLst>
        </c:ser>
        <c:ser>
          <c:idx val="10"/>
          <c:order val="10"/>
          <c:spPr>
            <a:solidFill>
              <a:schemeClr val="accent5">
                <a:lumMod val="60000"/>
              </a:schemeClr>
            </a:solidFill>
            <a:ln>
              <a:noFill/>
            </a:ln>
            <a:effectLst/>
          </c:spPr>
          <c:invertIfNegative val="0"/>
          <c:cat>
            <c:strRef>
              <c:f>'Books combined'!$J$143:$O$143</c:f>
              <c:strCache>
                <c:ptCount val="6"/>
                <c:pt idx="0">
                  <c:v>Meat</c:v>
                </c:pt>
                <c:pt idx="1">
                  <c:v>Pork</c:v>
                </c:pt>
                <c:pt idx="2">
                  <c:v>Poultry</c:v>
                </c:pt>
                <c:pt idx="3">
                  <c:v>Sea food</c:v>
                </c:pt>
                <c:pt idx="4">
                  <c:v>Vegan</c:v>
                </c:pt>
                <c:pt idx="5">
                  <c:v>Vegetarian</c:v>
                </c:pt>
              </c:strCache>
            </c:strRef>
          </c:cat>
          <c:val>
            <c:numRef>
              <c:f>'Books combined'!$J$154:$O$154</c:f>
              <c:numCache>
                <c:formatCode>General</c:formatCode>
                <c:ptCount val="6"/>
                <c:pt idx="0">
                  <c:v>823.88021804146501</c:v>
                </c:pt>
                <c:pt idx="1">
                  <c:v>560.69769678477599</c:v>
                </c:pt>
                <c:pt idx="3">
                  <c:v>342.86846164644078</c:v>
                </c:pt>
                <c:pt idx="4">
                  <c:v>56.581390299855201</c:v>
                </c:pt>
                <c:pt idx="5">
                  <c:v>47.950227969224443</c:v>
                </c:pt>
              </c:numCache>
            </c:numRef>
          </c:val>
          <c:extLst>
            <c:ext xmlns:c16="http://schemas.microsoft.com/office/drawing/2014/chart" uri="{C3380CC4-5D6E-409C-BE32-E72D297353CC}">
              <c16:uniqueId val="{0000000A-7732-4A57-991F-2D7882F7D82E}"/>
            </c:ext>
          </c:extLst>
        </c:ser>
        <c:ser>
          <c:idx val="11"/>
          <c:order val="11"/>
          <c:spPr>
            <a:solidFill>
              <a:schemeClr val="accent6">
                <a:lumMod val="60000"/>
              </a:schemeClr>
            </a:solidFill>
            <a:ln>
              <a:noFill/>
            </a:ln>
            <a:effectLst/>
          </c:spPr>
          <c:invertIfNegative val="0"/>
          <c:cat>
            <c:strRef>
              <c:f>'Books combined'!$J$143:$O$143</c:f>
              <c:strCache>
                <c:ptCount val="6"/>
                <c:pt idx="0">
                  <c:v>Meat</c:v>
                </c:pt>
                <c:pt idx="1">
                  <c:v>Pork</c:v>
                </c:pt>
                <c:pt idx="2">
                  <c:v>Poultry</c:v>
                </c:pt>
                <c:pt idx="3">
                  <c:v>Sea food</c:v>
                </c:pt>
                <c:pt idx="4">
                  <c:v>Vegan</c:v>
                </c:pt>
                <c:pt idx="5">
                  <c:v>Vegetarian</c:v>
                </c:pt>
              </c:strCache>
            </c:strRef>
          </c:cat>
          <c:val>
            <c:numRef>
              <c:f>'Books combined'!$J$155:$O$155</c:f>
              <c:numCache>
                <c:formatCode>General</c:formatCode>
                <c:ptCount val="6"/>
                <c:pt idx="0">
                  <c:v>798.63216767567371</c:v>
                </c:pt>
                <c:pt idx="1">
                  <c:v>430.46198399011314</c:v>
                </c:pt>
                <c:pt idx="3">
                  <c:v>302.48211604065091</c:v>
                </c:pt>
                <c:pt idx="4">
                  <c:v>34.837282091940232</c:v>
                </c:pt>
                <c:pt idx="5">
                  <c:v>32.293547619047615</c:v>
                </c:pt>
              </c:numCache>
            </c:numRef>
          </c:val>
          <c:extLst>
            <c:ext xmlns:c16="http://schemas.microsoft.com/office/drawing/2014/chart" uri="{C3380CC4-5D6E-409C-BE32-E72D297353CC}">
              <c16:uniqueId val="{0000000B-7732-4A57-991F-2D7882F7D82E}"/>
            </c:ext>
          </c:extLst>
        </c:ser>
        <c:ser>
          <c:idx val="12"/>
          <c:order val="12"/>
          <c:spPr>
            <a:solidFill>
              <a:schemeClr val="accent1">
                <a:lumMod val="80000"/>
                <a:lumOff val="20000"/>
              </a:schemeClr>
            </a:solidFill>
            <a:ln>
              <a:noFill/>
            </a:ln>
            <a:effectLst/>
          </c:spPr>
          <c:invertIfNegative val="0"/>
          <c:cat>
            <c:strRef>
              <c:f>'Books combined'!$J$143:$O$143</c:f>
              <c:strCache>
                <c:ptCount val="6"/>
                <c:pt idx="0">
                  <c:v>Meat</c:v>
                </c:pt>
                <c:pt idx="1">
                  <c:v>Pork</c:v>
                </c:pt>
                <c:pt idx="2">
                  <c:v>Poultry</c:v>
                </c:pt>
                <c:pt idx="3">
                  <c:v>Sea food</c:v>
                </c:pt>
                <c:pt idx="4">
                  <c:v>Vegan</c:v>
                </c:pt>
                <c:pt idx="5">
                  <c:v>Vegetarian</c:v>
                </c:pt>
              </c:strCache>
            </c:strRef>
          </c:cat>
          <c:val>
            <c:numRef>
              <c:f>'Books combined'!$J$156:$O$156</c:f>
              <c:numCache>
                <c:formatCode>General</c:formatCode>
                <c:ptCount val="6"/>
                <c:pt idx="0">
                  <c:v>772.86952504301632</c:v>
                </c:pt>
                <c:pt idx="1">
                  <c:v>188.53282274208826</c:v>
                </c:pt>
                <c:pt idx="3">
                  <c:v>139.17496101650391</c:v>
                </c:pt>
                <c:pt idx="4">
                  <c:v>28.515849698925006</c:v>
                </c:pt>
                <c:pt idx="5">
                  <c:v>5.8945303787742649</c:v>
                </c:pt>
              </c:numCache>
            </c:numRef>
          </c:val>
          <c:extLst>
            <c:ext xmlns:c16="http://schemas.microsoft.com/office/drawing/2014/chart" uri="{C3380CC4-5D6E-409C-BE32-E72D297353CC}">
              <c16:uniqueId val="{0000000C-7732-4A57-991F-2D7882F7D82E}"/>
            </c:ext>
          </c:extLst>
        </c:ser>
        <c:ser>
          <c:idx val="13"/>
          <c:order val="13"/>
          <c:spPr>
            <a:solidFill>
              <a:schemeClr val="accent2">
                <a:lumMod val="80000"/>
                <a:lumOff val="20000"/>
              </a:schemeClr>
            </a:solidFill>
            <a:ln>
              <a:noFill/>
            </a:ln>
            <a:effectLst/>
          </c:spPr>
          <c:invertIfNegative val="0"/>
          <c:cat>
            <c:strRef>
              <c:f>'Books combined'!$J$143:$O$143</c:f>
              <c:strCache>
                <c:ptCount val="6"/>
                <c:pt idx="0">
                  <c:v>Meat</c:v>
                </c:pt>
                <c:pt idx="1">
                  <c:v>Pork</c:v>
                </c:pt>
                <c:pt idx="2">
                  <c:v>Poultry</c:v>
                </c:pt>
                <c:pt idx="3">
                  <c:v>Sea food</c:v>
                </c:pt>
                <c:pt idx="4">
                  <c:v>Vegan</c:v>
                </c:pt>
                <c:pt idx="5">
                  <c:v>Vegetarian</c:v>
                </c:pt>
              </c:strCache>
            </c:strRef>
          </c:cat>
          <c:val>
            <c:numRef>
              <c:f>'Books combined'!$J$157:$O$157</c:f>
              <c:numCache>
                <c:formatCode>General</c:formatCode>
                <c:ptCount val="6"/>
                <c:pt idx="0">
                  <c:v>698.93433586278377</c:v>
                </c:pt>
                <c:pt idx="3">
                  <c:v>120.78187879121209</c:v>
                </c:pt>
              </c:numCache>
            </c:numRef>
          </c:val>
          <c:extLst>
            <c:ext xmlns:c16="http://schemas.microsoft.com/office/drawing/2014/chart" uri="{C3380CC4-5D6E-409C-BE32-E72D297353CC}">
              <c16:uniqueId val="{0000000D-7732-4A57-991F-2D7882F7D82E}"/>
            </c:ext>
          </c:extLst>
        </c:ser>
        <c:ser>
          <c:idx val="14"/>
          <c:order val="14"/>
          <c:spPr>
            <a:solidFill>
              <a:schemeClr val="accent3">
                <a:lumMod val="80000"/>
                <a:lumOff val="20000"/>
              </a:schemeClr>
            </a:solidFill>
            <a:ln>
              <a:noFill/>
            </a:ln>
            <a:effectLst/>
          </c:spPr>
          <c:invertIfNegative val="0"/>
          <c:cat>
            <c:strRef>
              <c:f>'Books combined'!$J$143:$O$143</c:f>
              <c:strCache>
                <c:ptCount val="6"/>
                <c:pt idx="0">
                  <c:v>Meat</c:v>
                </c:pt>
                <c:pt idx="1">
                  <c:v>Pork</c:v>
                </c:pt>
                <c:pt idx="2">
                  <c:v>Poultry</c:v>
                </c:pt>
                <c:pt idx="3">
                  <c:v>Sea food</c:v>
                </c:pt>
                <c:pt idx="4">
                  <c:v>Vegan</c:v>
                </c:pt>
                <c:pt idx="5">
                  <c:v>Vegetarian</c:v>
                </c:pt>
              </c:strCache>
            </c:strRef>
          </c:cat>
          <c:val>
            <c:numRef>
              <c:f>'Books combined'!$J$158:$O$158</c:f>
              <c:numCache>
                <c:formatCode>General</c:formatCode>
                <c:ptCount val="6"/>
                <c:pt idx="0">
                  <c:v>578.69957220000003</c:v>
                </c:pt>
                <c:pt idx="3">
                  <c:v>61.496379572358805</c:v>
                </c:pt>
              </c:numCache>
            </c:numRef>
          </c:val>
          <c:extLst>
            <c:ext xmlns:c16="http://schemas.microsoft.com/office/drawing/2014/chart" uri="{C3380CC4-5D6E-409C-BE32-E72D297353CC}">
              <c16:uniqueId val="{0000000E-7732-4A57-991F-2D7882F7D82E}"/>
            </c:ext>
          </c:extLst>
        </c:ser>
        <c:ser>
          <c:idx val="15"/>
          <c:order val="15"/>
          <c:spPr>
            <a:solidFill>
              <a:schemeClr val="accent4">
                <a:lumMod val="80000"/>
                <a:lumOff val="20000"/>
              </a:schemeClr>
            </a:solidFill>
            <a:ln>
              <a:noFill/>
            </a:ln>
            <a:effectLst/>
          </c:spPr>
          <c:invertIfNegative val="0"/>
          <c:cat>
            <c:strRef>
              <c:f>'Books combined'!$J$143:$O$143</c:f>
              <c:strCache>
                <c:ptCount val="6"/>
                <c:pt idx="0">
                  <c:v>Meat</c:v>
                </c:pt>
                <c:pt idx="1">
                  <c:v>Pork</c:v>
                </c:pt>
                <c:pt idx="2">
                  <c:v>Poultry</c:v>
                </c:pt>
                <c:pt idx="3">
                  <c:v>Sea food</c:v>
                </c:pt>
                <c:pt idx="4">
                  <c:v>Vegan</c:v>
                </c:pt>
                <c:pt idx="5">
                  <c:v>Vegetarian</c:v>
                </c:pt>
              </c:strCache>
            </c:strRef>
          </c:cat>
          <c:val>
            <c:numRef>
              <c:f>'Books combined'!$J$159:$O$159</c:f>
              <c:numCache>
                <c:formatCode>General</c:formatCode>
                <c:ptCount val="6"/>
                <c:pt idx="0">
                  <c:v>506.33259342285243</c:v>
                </c:pt>
              </c:numCache>
            </c:numRef>
          </c:val>
          <c:extLst>
            <c:ext xmlns:c16="http://schemas.microsoft.com/office/drawing/2014/chart" uri="{C3380CC4-5D6E-409C-BE32-E72D297353CC}">
              <c16:uniqueId val="{0000000F-7732-4A57-991F-2D7882F7D82E}"/>
            </c:ext>
          </c:extLst>
        </c:ser>
        <c:ser>
          <c:idx val="16"/>
          <c:order val="16"/>
          <c:spPr>
            <a:solidFill>
              <a:schemeClr val="accent5">
                <a:lumMod val="80000"/>
                <a:lumOff val="20000"/>
              </a:schemeClr>
            </a:solidFill>
            <a:ln>
              <a:noFill/>
            </a:ln>
            <a:effectLst/>
          </c:spPr>
          <c:invertIfNegative val="0"/>
          <c:cat>
            <c:strRef>
              <c:f>'Books combined'!$J$143:$O$143</c:f>
              <c:strCache>
                <c:ptCount val="6"/>
                <c:pt idx="0">
                  <c:v>Meat</c:v>
                </c:pt>
                <c:pt idx="1">
                  <c:v>Pork</c:v>
                </c:pt>
                <c:pt idx="2">
                  <c:v>Poultry</c:v>
                </c:pt>
                <c:pt idx="3">
                  <c:v>Sea food</c:v>
                </c:pt>
                <c:pt idx="4">
                  <c:v>Vegan</c:v>
                </c:pt>
                <c:pt idx="5">
                  <c:v>Vegetarian</c:v>
                </c:pt>
              </c:strCache>
            </c:strRef>
          </c:cat>
          <c:val>
            <c:numRef>
              <c:f>'Books combined'!$J$160:$O$160</c:f>
              <c:numCache>
                <c:formatCode>General</c:formatCode>
                <c:ptCount val="6"/>
                <c:pt idx="0">
                  <c:v>494.44170534606457</c:v>
                </c:pt>
              </c:numCache>
            </c:numRef>
          </c:val>
          <c:extLst>
            <c:ext xmlns:c16="http://schemas.microsoft.com/office/drawing/2014/chart" uri="{C3380CC4-5D6E-409C-BE32-E72D297353CC}">
              <c16:uniqueId val="{00000010-7732-4A57-991F-2D7882F7D82E}"/>
            </c:ext>
          </c:extLst>
        </c:ser>
        <c:ser>
          <c:idx val="17"/>
          <c:order val="17"/>
          <c:spPr>
            <a:solidFill>
              <a:schemeClr val="accent6">
                <a:lumMod val="80000"/>
                <a:lumOff val="20000"/>
              </a:schemeClr>
            </a:solidFill>
            <a:ln>
              <a:noFill/>
            </a:ln>
            <a:effectLst/>
          </c:spPr>
          <c:invertIfNegative val="0"/>
          <c:cat>
            <c:strRef>
              <c:f>'Books combined'!$J$143:$O$143</c:f>
              <c:strCache>
                <c:ptCount val="6"/>
                <c:pt idx="0">
                  <c:v>Meat</c:v>
                </c:pt>
                <c:pt idx="1">
                  <c:v>Pork</c:v>
                </c:pt>
                <c:pt idx="2">
                  <c:v>Poultry</c:v>
                </c:pt>
                <c:pt idx="3">
                  <c:v>Sea food</c:v>
                </c:pt>
                <c:pt idx="4">
                  <c:v>Vegan</c:v>
                </c:pt>
                <c:pt idx="5">
                  <c:v>Vegetarian</c:v>
                </c:pt>
              </c:strCache>
            </c:strRef>
          </c:cat>
          <c:val>
            <c:numRef>
              <c:f>'Books combined'!$J$161:$O$161</c:f>
              <c:numCache>
                <c:formatCode>General</c:formatCode>
                <c:ptCount val="6"/>
                <c:pt idx="0">
                  <c:v>481.29533898298223</c:v>
                </c:pt>
              </c:numCache>
            </c:numRef>
          </c:val>
          <c:extLst>
            <c:ext xmlns:c16="http://schemas.microsoft.com/office/drawing/2014/chart" uri="{C3380CC4-5D6E-409C-BE32-E72D297353CC}">
              <c16:uniqueId val="{00000011-7732-4A57-991F-2D7882F7D82E}"/>
            </c:ext>
          </c:extLst>
        </c:ser>
        <c:ser>
          <c:idx val="18"/>
          <c:order val="18"/>
          <c:spPr>
            <a:solidFill>
              <a:schemeClr val="accent1">
                <a:lumMod val="80000"/>
              </a:schemeClr>
            </a:solidFill>
            <a:ln>
              <a:noFill/>
            </a:ln>
            <a:effectLst/>
          </c:spPr>
          <c:invertIfNegative val="0"/>
          <c:cat>
            <c:strRef>
              <c:f>'Books combined'!$J$143:$O$143</c:f>
              <c:strCache>
                <c:ptCount val="6"/>
                <c:pt idx="0">
                  <c:v>Meat</c:v>
                </c:pt>
                <c:pt idx="1">
                  <c:v>Pork</c:v>
                </c:pt>
                <c:pt idx="2">
                  <c:v>Poultry</c:v>
                </c:pt>
                <c:pt idx="3">
                  <c:v>Sea food</c:v>
                </c:pt>
                <c:pt idx="4">
                  <c:v>Vegan</c:v>
                </c:pt>
                <c:pt idx="5">
                  <c:v>Vegetarian</c:v>
                </c:pt>
              </c:strCache>
            </c:strRef>
          </c:cat>
          <c:val>
            <c:numRef>
              <c:f>'Books combined'!$J$162:$O$162</c:f>
              <c:numCache>
                <c:formatCode>General</c:formatCode>
                <c:ptCount val="6"/>
                <c:pt idx="0">
                  <c:v>303.33595923602468</c:v>
                </c:pt>
              </c:numCache>
            </c:numRef>
          </c:val>
          <c:extLst>
            <c:ext xmlns:c16="http://schemas.microsoft.com/office/drawing/2014/chart" uri="{C3380CC4-5D6E-409C-BE32-E72D297353CC}">
              <c16:uniqueId val="{00000012-7732-4A57-991F-2D7882F7D82E}"/>
            </c:ext>
          </c:extLst>
        </c:ser>
        <c:ser>
          <c:idx val="19"/>
          <c:order val="19"/>
          <c:spPr>
            <a:solidFill>
              <a:schemeClr val="accent2">
                <a:lumMod val="80000"/>
              </a:schemeClr>
            </a:solidFill>
            <a:ln>
              <a:noFill/>
            </a:ln>
            <a:effectLst/>
          </c:spPr>
          <c:invertIfNegative val="0"/>
          <c:cat>
            <c:strRef>
              <c:f>'Books combined'!$J$143:$O$143</c:f>
              <c:strCache>
                <c:ptCount val="6"/>
                <c:pt idx="0">
                  <c:v>Meat</c:v>
                </c:pt>
                <c:pt idx="1">
                  <c:v>Pork</c:v>
                </c:pt>
                <c:pt idx="2">
                  <c:v>Poultry</c:v>
                </c:pt>
                <c:pt idx="3">
                  <c:v>Sea food</c:v>
                </c:pt>
                <c:pt idx="4">
                  <c:v>Vegan</c:v>
                </c:pt>
                <c:pt idx="5">
                  <c:v>Vegetarian</c:v>
                </c:pt>
              </c:strCache>
            </c:strRef>
          </c:cat>
          <c:val>
            <c:numRef>
              <c:f>'Books combined'!$J$163:$O$163</c:f>
              <c:numCache>
                <c:formatCode>General</c:formatCode>
                <c:ptCount val="6"/>
                <c:pt idx="0">
                  <c:v>239.02466360803518</c:v>
                </c:pt>
              </c:numCache>
            </c:numRef>
          </c:val>
          <c:extLst>
            <c:ext xmlns:c16="http://schemas.microsoft.com/office/drawing/2014/chart" uri="{C3380CC4-5D6E-409C-BE32-E72D297353CC}">
              <c16:uniqueId val="{00000013-7732-4A57-991F-2D7882F7D82E}"/>
            </c:ext>
          </c:extLst>
        </c:ser>
        <c:dLbls>
          <c:showLegendKey val="0"/>
          <c:showVal val="0"/>
          <c:showCatName val="0"/>
          <c:showSerName val="0"/>
          <c:showPercent val="0"/>
          <c:showBubbleSize val="0"/>
        </c:dLbls>
        <c:gapWidth val="219"/>
        <c:overlap val="-27"/>
        <c:axId val="1149002943"/>
        <c:axId val="1149003775"/>
      </c:barChart>
      <c:catAx>
        <c:axId val="1149002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49003775"/>
        <c:crosses val="autoZero"/>
        <c:auto val="1"/>
        <c:lblAlgn val="ctr"/>
        <c:lblOffset val="100"/>
        <c:noMultiLvlLbl val="0"/>
      </c:catAx>
      <c:valAx>
        <c:axId val="11490037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sz="1000" b="0" i="0" cap="all" baseline="0">
                    <a:effectLst/>
                  </a:rPr>
                  <a:t>Total Carbon footprint (gCO2e)</a:t>
                </a:r>
                <a:endParaRPr lang="pt-BR" sz="1000">
                  <a:effectLst/>
                </a:endParaRPr>
              </a:p>
            </c:rich>
          </c:tx>
          <c:layout>
            <c:manualLayout>
              <c:xMode val="edge"/>
              <c:yMode val="edge"/>
              <c:x val="1.3089005235602094E-2"/>
              <c:y val="0.1909412597310686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490029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Carbon</a:t>
            </a:r>
            <a:r>
              <a:rPr lang="pt-BR" baseline="0"/>
              <a:t> footprint distribution per 100g</a:t>
            </a:r>
            <a:endParaRPr lang="pt-B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manualLayout>
          <c:layoutTarget val="inner"/>
          <c:xMode val="edge"/>
          <c:yMode val="edge"/>
          <c:x val="9.2389326334208224E-2"/>
          <c:y val="0.14861111111111111"/>
          <c:w val="0.87427734033245841"/>
          <c:h val="0.72159950594410993"/>
        </c:manualLayout>
      </c:layout>
      <c:barChart>
        <c:barDir val="col"/>
        <c:grouping val="clustered"/>
        <c:varyColors val="0"/>
        <c:ser>
          <c:idx val="0"/>
          <c:order val="0"/>
          <c:spPr>
            <a:solidFill>
              <a:schemeClr val="accent1"/>
            </a:solidFill>
            <a:ln>
              <a:noFill/>
            </a:ln>
            <a:effectLst/>
          </c:spPr>
          <c:invertIfNegative val="0"/>
          <c:cat>
            <c:strRef>
              <c:f>'Books combined'!$R$143:$W$143</c:f>
              <c:strCache>
                <c:ptCount val="6"/>
                <c:pt idx="0">
                  <c:v>Meat</c:v>
                </c:pt>
                <c:pt idx="1">
                  <c:v>Pork</c:v>
                </c:pt>
                <c:pt idx="2">
                  <c:v>Poultry</c:v>
                </c:pt>
                <c:pt idx="3">
                  <c:v>Sea food</c:v>
                </c:pt>
                <c:pt idx="4">
                  <c:v>Vegan</c:v>
                </c:pt>
                <c:pt idx="5">
                  <c:v>Vegetarian</c:v>
                </c:pt>
              </c:strCache>
            </c:strRef>
          </c:cat>
          <c:val>
            <c:numRef>
              <c:f>'Books combined'!$R$144:$W$144</c:f>
              <c:numCache>
                <c:formatCode>General</c:formatCode>
                <c:ptCount val="6"/>
                <c:pt idx="0">
                  <c:v>2007.1779125107248</c:v>
                </c:pt>
                <c:pt idx="1">
                  <c:v>778.65944558188994</c:v>
                </c:pt>
                <c:pt idx="2">
                  <c:v>221.30975988217375</c:v>
                </c:pt>
                <c:pt idx="3">
                  <c:v>294.07291679491777</c:v>
                </c:pt>
                <c:pt idx="4">
                  <c:v>133.47179908311981</c:v>
                </c:pt>
                <c:pt idx="5">
                  <c:v>388.87180208884206</c:v>
                </c:pt>
              </c:numCache>
            </c:numRef>
          </c:val>
          <c:extLst>
            <c:ext xmlns:c16="http://schemas.microsoft.com/office/drawing/2014/chart" uri="{C3380CC4-5D6E-409C-BE32-E72D297353CC}">
              <c16:uniqueId val="{00000000-7FD3-4A53-8484-9F6A8E00A20F}"/>
            </c:ext>
          </c:extLst>
        </c:ser>
        <c:ser>
          <c:idx val="1"/>
          <c:order val="1"/>
          <c:spPr>
            <a:solidFill>
              <a:schemeClr val="accent2"/>
            </a:solidFill>
            <a:ln>
              <a:noFill/>
            </a:ln>
            <a:effectLst/>
          </c:spPr>
          <c:invertIfNegative val="0"/>
          <c:cat>
            <c:strRef>
              <c:f>'Books combined'!$R$143:$W$143</c:f>
              <c:strCache>
                <c:ptCount val="6"/>
                <c:pt idx="0">
                  <c:v>Meat</c:v>
                </c:pt>
                <c:pt idx="1">
                  <c:v>Pork</c:v>
                </c:pt>
                <c:pt idx="2">
                  <c:v>Poultry</c:v>
                </c:pt>
                <c:pt idx="3">
                  <c:v>Sea food</c:v>
                </c:pt>
                <c:pt idx="4">
                  <c:v>Vegan</c:v>
                </c:pt>
                <c:pt idx="5">
                  <c:v>Vegetarian</c:v>
                </c:pt>
              </c:strCache>
            </c:strRef>
          </c:cat>
          <c:val>
            <c:numRef>
              <c:f>'Books combined'!$R$145:$W$145</c:f>
              <c:numCache>
                <c:formatCode>General</c:formatCode>
                <c:ptCount val="6"/>
                <c:pt idx="0">
                  <c:v>1346.8090487607872</c:v>
                </c:pt>
                <c:pt idx="1">
                  <c:v>608.5792119188028</c:v>
                </c:pt>
                <c:pt idx="2">
                  <c:v>195.65791717581291</c:v>
                </c:pt>
                <c:pt idx="3">
                  <c:v>290.05383135243972</c:v>
                </c:pt>
                <c:pt idx="4">
                  <c:v>122.16895665808575</c:v>
                </c:pt>
                <c:pt idx="5">
                  <c:v>319.71814936898187</c:v>
                </c:pt>
              </c:numCache>
            </c:numRef>
          </c:val>
          <c:extLst>
            <c:ext xmlns:c16="http://schemas.microsoft.com/office/drawing/2014/chart" uri="{C3380CC4-5D6E-409C-BE32-E72D297353CC}">
              <c16:uniqueId val="{00000001-7FD3-4A53-8484-9F6A8E00A20F}"/>
            </c:ext>
          </c:extLst>
        </c:ser>
        <c:ser>
          <c:idx val="2"/>
          <c:order val="2"/>
          <c:spPr>
            <a:solidFill>
              <a:schemeClr val="accent3"/>
            </a:solidFill>
            <a:ln>
              <a:noFill/>
            </a:ln>
            <a:effectLst/>
          </c:spPr>
          <c:invertIfNegative val="0"/>
          <c:cat>
            <c:strRef>
              <c:f>'Books combined'!$R$143:$W$143</c:f>
              <c:strCache>
                <c:ptCount val="6"/>
                <c:pt idx="0">
                  <c:v>Meat</c:v>
                </c:pt>
                <c:pt idx="1">
                  <c:v>Pork</c:v>
                </c:pt>
                <c:pt idx="2">
                  <c:v>Poultry</c:v>
                </c:pt>
                <c:pt idx="3">
                  <c:v>Sea food</c:v>
                </c:pt>
                <c:pt idx="4">
                  <c:v>Vegan</c:v>
                </c:pt>
                <c:pt idx="5">
                  <c:v>Vegetarian</c:v>
                </c:pt>
              </c:strCache>
            </c:strRef>
          </c:cat>
          <c:val>
            <c:numRef>
              <c:f>'Books combined'!$R$146:$W$146</c:f>
              <c:numCache>
                <c:formatCode>General</c:formatCode>
                <c:ptCount val="6"/>
                <c:pt idx="0">
                  <c:v>1136.9810163232391</c:v>
                </c:pt>
                <c:pt idx="1">
                  <c:v>463.78275805303019</c:v>
                </c:pt>
                <c:pt idx="2">
                  <c:v>190.57433461086245</c:v>
                </c:pt>
                <c:pt idx="3">
                  <c:v>287.82767262132558</c:v>
                </c:pt>
                <c:pt idx="4">
                  <c:v>107.22135766985571</c:v>
                </c:pt>
                <c:pt idx="5">
                  <c:v>289.29264722071343</c:v>
                </c:pt>
              </c:numCache>
            </c:numRef>
          </c:val>
          <c:extLst>
            <c:ext xmlns:c16="http://schemas.microsoft.com/office/drawing/2014/chart" uri="{C3380CC4-5D6E-409C-BE32-E72D297353CC}">
              <c16:uniqueId val="{00000002-7FD3-4A53-8484-9F6A8E00A20F}"/>
            </c:ext>
          </c:extLst>
        </c:ser>
        <c:ser>
          <c:idx val="3"/>
          <c:order val="3"/>
          <c:spPr>
            <a:solidFill>
              <a:schemeClr val="accent4"/>
            </a:solidFill>
            <a:ln>
              <a:noFill/>
            </a:ln>
            <a:effectLst/>
          </c:spPr>
          <c:invertIfNegative val="0"/>
          <c:cat>
            <c:strRef>
              <c:f>'Books combined'!$R$143:$W$143</c:f>
              <c:strCache>
                <c:ptCount val="6"/>
                <c:pt idx="0">
                  <c:v>Meat</c:v>
                </c:pt>
                <c:pt idx="1">
                  <c:v>Pork</c:v>
                </c:pt>
                <c:pt idx="2">
                  <c:v>Poultry</c:v>
                </c:pt>
                <c:pt idx="3">
                  <c:v>Sea food</c:v>
                </c:pt>
                <c:pt idx="4">
                  <c:v>Vegan</c:v>
                </c:pt>
                <c:pt idx="5">
                  <c:v>Vegetarian</c:v>
                </c:pt>
              </c:strCache>
            </c:strRef>
          </c:cat>
          <c:val>
            <c:numRef>
              <c:f>'Books combined'!$R$147:$W$147</c:f>
              <c:numCache>
                <c:formatCode>General</c:formatCode>
                <c:ptCount val="6"/>
                <c:pt idx="0">
                  <c:v>1109.1930998774035</c:v>
                </c:pt>
                <c:pt idx="1">
                  <c:v>379.21991062344523</c:v>
                </c:pt>
                <c:pt idx="2">
                  <c:v>176.07178026840919</c:v>
                </c:pt>
                <c:pt idx="3">
                  <c:v>278.3925236789849</c:v>
                </c:pt>
                <c:pt idx="4">
                  <c:v>87.264707863785461</c:v>
                </c:pt>
                <c:pt idx="5">
                  <c:v>181.44386455545379</c:v>
                </c:pt>
              </c:numCache>
            </c:numRef>
          </c:val>
          <c:extLst>
            <c:ext xmlns:c16="http://schemas.microsoft.com/office/drawing/2014/chart" uri="{C3380CC4-5D6E-409C-BE32-E72D297353CC}">
              <c16:uniqueId val="{00000003-7FD3-4A53-8484-9F6A8E00A20F}"/>
            </c:ext>
          </c:extLst>
        </c:ser>
        <c:ser>
          <c:idx val="4"/>
          <c:order val="4"/>
          <c:spPr>
            <a:solidFill>
              <a:schemeClr val="accent5"/>
            </a:solidFill>
            <a:ln>
              <a:noFill/>
            </a:ln>
            <a:effectLst/>
          </c:spPr>
          <c:invertIfNegative val="0"/>
          <c:cat>
            <c:strRef>
              <c:f>'Books combined'!$R$143:$W$143</c:f>
              <c:strCache>
                <c:ptCount val="6"/>
                <c:pt idx="0">
                  <c:v>Meat</c:v>
                </c:pt>
                <c:pt idx="1">
                  <c:v>Pork</c:v>
                </c:pt>
                <c:pt idx="2">
                  <c:v>Poultry</c:v>
                </c:pt>
                <c:pt idx="3">
                  <c:v>Sea food</c:v>
                </c:pt>
                <c:pt idx="4">
                  <c:v>Vegan</c:v>
                </c:pt>
                <c:pt idx="5">
                  <c:v>Vegetarian</c:v>
                </c:pt>
              </c:strCache>
            </c:strRef>
          </c:cat>
          <c:val>
            <c:numRef>
              <c:f>'Books combined'!$R$148:$W$148</c:f>
              <c:numCache>
                <c:formatCode>General</c:formatCode>
                <c:ptCount val="6"/>
                <c:pt idx="0">
                  <c:v>1022.5545902957729</c:v>
                </c:pt>
                <c:pt idx="1">
                  <c:v>346.03200897574413</c:v>
                </c:pt>
                <c:pt idx="2">
                  <c:v>136.21143103836431</c:v>
                </c:pt>
                <c:pt idx="3">
                  <c:v>264.08068237820765</c:v>
                </c:pt>
                <c:pt idx="4">
                  <c:v>61.844199876048101</c:v>
                </c:pt>
                <c:pt idx="5">
                  <c:v>160.43422164663829</c:v>
                </c:pt>
              </c:numCache>
            </c:numRef>
          </c:val>
          <c:extLst>
            <c:ext xmlns:c16="http://schemas.microsoft.com/office/drawing/2014/chart" uri="{C3380CC4-5D6E-409C-BE32-E72D297353CC}">
              <c16:uniqueId val="{00000004-7FD3-4A53-8484-9F6A8E00A20F}"/>
            </c:ext>
          </c:extLst>
        </c:ser>
        <c:ser>
          <c:idx val="5"/>
          <c:order val="5"/>
          <c:spPr>
            <a:solidFill>
              <a:schemeClr val="accent6"/>
            </a:solidFill>
            <a:ln>
              <a:noFill/>
            </a:ln>
            <a:effectLst/>
          </c:spPr>
          <c:invertIfNegative val="0"/>
          <c:cat>
            <c:strRef>
              <c:f>'Books combined'!$R$143:$W$143</c:f>
              <c:strCache>
                <c:ptCount val="6"/>
                <c:pt idx="0">
                  <c:v>Meat</c:v>
                </c:pt>
                <c:pt idx="1">
                  <c:v>Pork</c:v>
                </c:pt>
                <c:pt idx="2">
                  <c:v>Poultry</c:v>
                </c:pt>
                <c:pt idx="3">
                  <c:v>Sea food</c:v>
                </c:pt>
                <c:pt idx="4">
                  <c:v>Vegan</c:v>
                </c:pt>
                <c:pt idx="5">
                  <c:v>Vegetarian</c:v>
                </c:pt>
              </c:strCache>
            </c:strRef>
          </c:cat>
          <c:val>
            <c:numRef>
              <c:f>'Books combined'!$R$149:$W$149</c:f>
              <c:numCache>
                <c:formatCode>General</c:formatCode>
                <c:ptCount val="6"/>
                <c:pt idx="0">
                  <c:v>871.0128103858882</c:v>
                </c:pt>
                <c:pt idx="1">
                  <c:v>311.5066183794479</c:v>
                </c:pt>
                <c:pt idx="2">
                  <c:v>134.48237364305047</c:v>
                </c:pt>
                <c:pt idx="3">
                  <c:v>255.40866441492224</c:v>
                </c:pt>
                <c:pt idx="4">
                  <c:v>46.448979591836732</c:v>
                </c:pt>
                <c:pt idx="5">
                  <c:v>151.68374144133691</c:v>
                </c:pt>
              </c:numCache>
            </c:numRef>
          </c:val>
          <c:extLst>
            <c:ext xmlns:c16="http://schemas.microsoft.com/office/drawing/2014/chart" uri="{C3380CC4-5D6E-409C-BE32-E72D297353CC}">
              <c16:uniqueId val="{00000005-7FD3-4A53-8484-9F6A8E00A20F}"/>
            </c:ext>
          </c:extLst>
        </c:ser>
        <c:ser>
          <c:idx val="6"/>
          <c:order val="6"/>
          <c:spPr>
            <a:solidFill>
              <a:schemeClr val="accent1">
                <a:lumMod val="60000"/>
              </a:schemeClr>
            </a:solidFill>
            <a:ln>
              <a:noFill/>
            </a:ln>
            <a:effectLst/>
          </c:spPr>
          <c:invertIfNegative val="0"/>
          <c:cat>
            <c:strRef>
              <c:f>'Books combined'!$R$143:$W$143</c:f>
              <c:strCache>
                <c:ptCount val="6"/>
                <c:pt idx="0">
                  <c:v>Meat</c:v>
                </c:pt>
                <c:pt idx="1">
                  <c:v>Pork</c:v>
                </c:pt>
                <c:pt idx="2">
                  <c:v>Poultry</c:v>
                </c:pt>
                <c:pt idx="3">
                  <c:v>Sea food</c:v>
                </c:pt>
                <c:pt idx="4">
                  <c:v>Vegan</c:v>
                </c:pt>
                <c:pt idx="5">
                  <c:v>Vegetarian</c:v>
                </c:pt>
              </c:strCache>
            </c:strRef>
          </c:cat>
          <c:val>
            <c:numRef>
              <c:f>'Books combined'!$R$150:$W$150</c:f>
              <c:numCache>
                <c:formatCode>General</c:formatCode>
                <c:ptCount val="6"/>
                <c:pt idx="0">
                  <c:v>823.31624302901571</c:v>
                </c:pt>
                <c:pt idx="1">
                  <c:v>275.96696657475553</c:v>
                </c:pt>
                <c:pt idx="2">
                  <c:v>134.39613144528633</c:v>
                </c:pt>
                <c:pt idx="3">
                  <c:v>247.26500356312638</c:v>
                </c:pt>
                <c:pt idx="4">
                  <c:v>39.570042038555471</c:v>
                </c:pt>
                <c:pt idx="5">
                  <c:v>95.91655011403077</c:v>
                </c:pt>
              </c:numCache>
            </c:numRef>
          </c:val>
          <c:extLst>
            <c:ext xmlns:c16="http://schemas.microsoft.com/office/drawing/2014/chart" uri="{C3380CC4-5D6E-409C-BE32-E72D297353CC}">
              <c16:uniqueId val="{00000006-7FD3-4A53-8484-9F6A8E00A20F}"/>
            </c:ext>
          </c:extLst>
        </c:ser>
        <c:ser>
          <c:idx val="7"/>
          <c:order val="7"/>
          <c:spPr>
            <a:solidFill>
              <a:schemeClr val="accent2">
                <a:lumMod val="60000"/>
              </a:schemeClr>
            </a:solidFill>
            <a:ln>
              <a:noFill/>
            </a:ln>
            <a:effectLst/>
          </c:spPr>
          <c:invertIfNegative val="0"/>
          <c:cat>
            <c:strRef>
              <c:f>'Books combined'!$R$143:$W$143</c:f>
              <c:strCache>
                <c:ptCount val="6"/>
                <c:pt idx="0">
                  <c:v>Meat</c:v>
                </c:pt>
                <c:pt idx="1">
                  <c:v>Pork</c:v>
                </c:pt>
                <c:pt idx="2">
                  <c:v>Poultry</c:v>
                </c:pt>
                <c:pt idx="3">
                  <c:v>Sea food</c:v>
                </c:pt>
                <c:pt idx="4">
                  <c:v>Vegan</c:v>
                </c:pt>
                <c:pt idx="5">
                  <c:v>Vegetarian</c:v>
                </c:pt>
              </c:strCache>
            </c:strRef>
          </c:cat>
          <c:val>
            <c:numRef>
              <c:f>'Books combined'!$R$151:$W$151</c:f>
              <c:numCache>
                <c:formatCode>General</c:formatCode>
                <c:ptCount val="6"/>
                <c:pt idx="0">
                  <c:v>514.29144810395098</c:v>
                </c:pt>
                <c:pt idx="1">
                  <c:v>269.01735576464569</c:v>
                </c:pt>
                <c:pt idx="2">
                  <c:v>133.47009495214644</c:v>
                </c:pt>
                <c:pt idx="3">
                  <c:v>241.11014838882485</c:v>
                </c:pt>
                <c:pt idx="4">
                  <c:v>38.715792658895126</c:v>
                </c:pt>
                <c:pt idx="5">
                  <c:v>90.545397024392386</c:v>
                </c:pt>
              </c:numCache>
            </c:numRef>
          </c:val>
          <c:extLst>
            <c:ext xmlns:c16="http://schemas.microsoft.com/office/drawing/2014/chart" uri="{C3380CC4-5D6E-409C-BE32-E72D297353CC}">
              <c16:uniqueId val="{00000007-7FD3-4A53-8484-9F6A8E00A20F}"/>
            </c:ext>
          </c:extLst>
        </c:ser>
        <c:ser>
          <c:idx val="8"/>
          <c:order val="8"/>
          <c:spPr>
            <a:solidFill>
              <a:schemeClr val="accent3">
                <a:lumMod val="60000"/>
              </a:schemeClr>
            </a:solidFill>
            <a:ln>
              <a:noFill/>
            </a:ln>
            <a:effectLst/>
          </c:spPr>
          <c:invertIfNegative val="0"/>
          <c:cat>
            <c:strRef>
              <c:f>'Books combined'!$R$143:$W$143</c:f>
              <c:strCache>
                <c:ptCount val="6"/>
                <c:pt idx="0">
                  <c:v>Meat</c:v>
                </c:pt>
                <c:pt idx="1">
                  <c:v>Pork</c:v>
                </c:pt>
                <c:pt idx="2">
                  <c:v>Poultry</c:v>
                </c:pt>
                <c:pt idx="3">
                  <c:v>Sea food</c:v>
                </c:pt>
                <c:pt idx="4">
                  <c:v>Vegan</c:v>
                </c:pt>
                <c:pt idx="5">
                  <c:v>Vegetarian</c:v>
                </c:pt>
              </c:strCache>
            </c:strRef>
          </c:cat>
          <c:val>
            <c:numRef>
              <c:f>'Books combined'!$R$152:$W$152</c:f>
              <c:numCache>
                <c:formatCode>General</c:formatCode>
                <c:ptCount val="6"/>
                <c:pt idx="0">
                  <c:v>472.25780002262746</c:v>
                </c:pt>
                <c:pt idx="1">
                  <c:v>250.14550419081547</c:v>
                </c:pt>
                <c:pt idx="2">
                  <c:v>30.488685015290525</c:v>
                </c:pt>
                <c:pt idx="3">
                  <c:v>224.33366518361086</c:v>
                </c:pt>
                <c:pt idx="4">
                  <c:v>38.454114697888301</c:v>
                </c:pt>
                <c:pt idx="5">
                  <c:v>63.873827086526141</c:v>
                </c:pt>
              </c:numCache>
            </c:numRef>
          </c:val>
          <c:extLst>
            <c:ext xmlns:c16="http://schemas.microsoft.com/office/drawing/2014/chart" uri="{C3380CC4-5D6E-409C-BE32-E72D297353CC}">
              <c16:uniqueId val="{00000008-7FD3-4A53-8484-9F6A8E00A20F}"/>
            </c:ext>
          </c:extLst>
        </c:ser>
        <c:ser>
          <c:idx val="9"/>
          <c:order val="9"/>
          <c:spPr>
            <a:solidFill>
              <a:schemeClr val="accent4">
                <a:lumMod val="60000"/>
              </a:schemeClr>
            </a:solidFill>
            <a:ln>
              <a:noFill/>
            </a:ln>
            <a:effectLst/>
          </c:spPr>
          <c:invertIfNegative val="0"/>
          <c:cat>
            <c:strRef>
              <c:f>'Books combined'!$R$143:$W$143</c:f>
              <c:strCache>
                <c:ptCount val="6"/>
                <c:pt idx="0">
                  <c:v>Meat</c:v>
                </c:pt>
                <c:pt idx="1">
                  <c:v>Pork</c:v>
                </c:pt>
                <c:pt idx="2">
                  <c:v>Poultry</c:v>
                </c:pt>
                <c:pt idx="3">
                  <c:v>Sea food</c:v>
                </c:pt>
                <c:pt idx="4">
                  <c:v>Vegan</c:v>
                </c:pt>
                <c:pt idx="5">
                  <c:v>Vegetarian</c:v>
                </c:pt>
              </c:strCache>
            </c:strRef>
          </c:cat>
          <c:val>
            <c:numRef>
              <c:f>'Books combined'!$R$153:$W$153</c:f>
              <c:numCache>
                <c:formatCode>General</c:formatCode>
                <c:ptCount val="6"/>
                <c:pt idx="0">
                  <c:v>377.99602422241401</c:v>
                </c:pt>
                <c:pt idx="1">
                  <c:v>226.95238753941871</c:v>
                </c:pt>
                <c:pt idx="3">
                  <c:v>220.3692599269495</c:v>
                </c:pt>
                <c:pt idx="4">
                  <c:v>32.060281809038599</c:v>
                </c:pt>
                <c:pt idx="5">
                  <c:v>46.90725012212225</c:v>
                </c:pt>
              </c:numCache>
            </c:numRef>
          </c:val>
          <c:extLst>
            <c:ext xmlns:c16="http://schemas.microsoft.com/office/drawing/2014/chart" uri="{C3380CC4-5D6E-409C-BE32-E72D297353CC}">
              <c16:uniqueId val="{00000009-7FD3-4A53-8484-9F6A8E00A20F}"/>
            </c:ext>
          </c:extLst>
        </c:ser>
        <c:ser>
          <c:idx val="10"/>
          <c:order val="10"/>
          <c:spPr>
            <a:solidFill>
              <a:schemeClr val="accent5">
                <a:lumMod val="60000"/>
              </a:schemeClr>
            </a:solidFill>
            <a:ln>
              <a:noFill/>
            </a:ln>
            <a:effectLst/>
          </c:spPr>
          <c:invertIfNegative val="0"/>
          <c:cat>
            <c:strRef>
              <c:f>'Books combined'!$R$143:$W$143</c:f>
              <c:strCache>
                <c:ptCount val="6"/>
                <c:pt idx="0">
                  <c:v>Meat</c:v>
                </c:pt>
                <c:pt idx="1">
                  <c:v>Pork</c:v>
                </c:pt>
                <c:pt idx="2">
                  <c:v>Poultry</c:v>
                </c:pt>
                <c:pt idx="3">
                  <c:v>Sea food</c:v>
                </c:pt>
                <c:pt idx="4">
                  <c:v>Vegan</c:v>
                </c:pt>
                <c:pt idx="5">
                  <c:v>Vegetarian</c:v>
                </c:pt>
              </c:strCache>
            </c:strRef>
          </c:cat>
          <c:val>
            <c:numRef>
              <c:f>'Books combined'!$R$154:$W$154</c:f>
              <c:numCache>
                <c:formatCode>General</c:formatCode>
                <c:ptCount val="6"/>
                <c:pt idx="0">
                  <c:v>356.25732935641128</c:v>
                </c:pt>
                <c:pt idx="1">
                  <c:v>192.13439674736134</c:v>
                </c:pt>
                <c:pt idx="3">
                  <c:v>193.69712822126235</c:v>
                </c:pt>
                <c:pt idx="4">
                  <c:v>29.203551966143539</c:v>
                </c:pt>
                <c:pt idx="5">
                  <c:v>35.803465762850081</c:v>
                </c:pt>
              </c:numCache>
            </c:numRef>
          </c:val>
          <c:extLst>
            <c:ext xmlns:c16="http://schemas.microsoft.com/office/drawing/2014/chart" uri="{C3380CC4-5D6E-409C-BE32-E72D297353CC}">
              <c16:uniqueId val="{0000000A-7FD3-4A53-8484-9F6A8E00A20F}"/>
            </c:ext>
          </c:extLst>
        </c:ser>
        <c:ser>
          <c:idx val="11"/>
          <c:order val="11"/>
          <c:spPr>
            <a:solidFill>
              <a:schemeClr val="accent6">
                <a:lumMod val="60000"/>
              </a:schemeClr>
            </a:solidFill>
            <a:ln>
              <a:noFill/>
            </a:ln>
            <a:effectLst/>
          </c:spPr>
          <c:invertIfNegative val="0"/>
          <c:cat>
            <c:strRef>
              <c:f>'Books combined'!$R$143:$W$143</c:f>
              <c:strCache>
                <c:ptCount val="6"/>
                <c:pt idx="0">
                  <c:v>Meat</c:v>
                </c:pt>
                <c:pt idx="1">
                  <c:v>Pork</c:v>
                </c:pt>
                <c:pt idx="2">
                  <c:v>Poultry</c:v>
                </c:pt>
                <c:pt idx="3">
                  <c:v>Sea food</c:v>
                </c:pt>
                <c:pt idx="4">
                  <c:v>Vegan</c:v>
                </c:pt>
                <c:pt idx="5">
                  <c:v>Vegetarian</c:v>
                </c:pt>
              </c:strCache>
            </c:strRef>
          </c:cat>
          <c:val>
            <c:numRef>
              <c:f>'Books combined'!$R$155:$W$155</c:f>
              <c:numCache>
                <c:formatCode>General</c:formatCode>
                <c:ptCount val="6"/>
                <c:pt idx="0">
                  <c:v>300.04241897076332</c:v>
                </c:pt>
                <c:pt idx="1">
                  <c:v>164.85081917669896</c:v>
                </c:pt>
                <c:pt idx="3">
                  <c:v>160.33154570341992</c:v>
                </c:pt>
                <c:pt idx="4">
                  <c:v>15.969499677419646</c:v>
                </c:pt>
                <c:pt idx="5">
                  <c:v>26.659781417359902</c:v>
                </c:pt>
              </c:numCache>
            </c:numRef>
          </c:val>
          <c:extLst>
            <c:ext xmlns:c16="http://schemas.microsoft.com/office/drawing/2014/chart" uri="{C3380CC4-5D6E-409C-BE32-E72D297353CC}">
              <c16:uniqueId val="{0000000B-7FD3-4A53-8484-9F6A8E00A20F}"/>
            </c:ext>
          </c:extLst>
        </c:ser>
        <c:ser>
          <c:idx val="12"/>
          <c:order val="12"/>
          <c:spPr>
            <a:solidFill>
              <a:schemeClr val="accent1">
                <a:lumMod val="80000"/>
                <a:lumOff val="20000"/>
              </a:schemeClr>
            </a:solidFill>
            <a:ln>
              <a:noFill/>
            </a:ln>
            <a:effectLst/>
          </c:spPr>
          <c:invertIfNegative val="0"/>
          <c:cat>
            <c:strRef>
              <c:f>'Books combined'!$R$143:$W$143</c:f>
              <c:strCache>
                <c:ptCount val="6"/>
                <c:pt idx="0">
                  <c:v>Meat</c:v>
                </c:pt>
                <c:pt idx="1">
                  <c:v>Pork</c:v>
                </c:pt>
                <c:pt idx="2">
                  <c:v>Poultry</c:v>
                </c:pt>
                <c:pt idx="3">
                  <c:v>Sea food</c:v>
                </c:pt>
                <c:pt idx="4">
                  <c:v>Vegan</c:v>
                </c:pt>
                <c:pt idx="5">
                  <c:v>Vegetarian</c:v>
                </c:pt>
              </c:strCache>
            </c:strRef>
          </c:cat>
          <c:val>
            <c:numRef>
              <c:f>'Books combined'!$R$156:$W$156</c:f>
              <c:numCache>
                <c:formatCode>General</c:formatCode>
                <c:ptCount val="6"/>
                <c:pt idx="0">
                  <c:v>265.08293454172656</c:v>
                </c:pt>
                <c:pt idx="1">
                  <c:v>110.10862143112413</c:v>
                </c:pt>
                <c:pt idx="3">
                  <c:v>148.18609011748904</c:v>
                </c:pt>
                <c:pt idx="4">
                  <c:v>6.4747521118922586</c:v>
                </c:pt>
                <c:pt idx="5">
                  <c:v>11.120930232558139</c:v>
                </c:pt>
              </c:numCache>
            </c:numRef>
          </c:val>
          <c:extLst>
            <c:ext xmlns:c16="http://schemas.microsoft.com/office/drawing/2014/chart" uri="{C3380CC4-5D6E-409C-BE32-E72D297353CC}">
              <c16:uniqueId val="{0000000C-7FD3-4A53-8484-9F6A8E00A20F}"/>
            </c:ext>
          </c:extLst>
        </c:ser>
        <c:ser>
          <c:idx val="13"/>
          <c:order val="13"/>
          <c:spPr>
            <a:solidFill>
              <a:schemeClr val="accent2">
                <a:lumMod val="80000"/>
                <a:lumOff val="20000"/>
              </a:schemeClr>
            </a:solidFill>
            <a:ln>
              <a:noFill/>
            </a:ln>
            <a:effectLst/>
          </c:spPr>
          <c:invertIfNegative val="0"/>
          <c:cat>
            <c:strRef>
              <c:f>'Books combined'!$R$143:$W$143</c:f>
              <c:strCache>
                <c:ptCount val="6"/>
                <c:pt idx="0">
                  <c:v>Meat</c:v>
                </c:pt>
                <c:pt idx="1">
                  <c:v>Pork</c:v>
                </c:pt>
                <c:pt idx="2">
                  <c:v>Poultry</c:v>
                </c:pt>
                <c:pt idx="3">
                  <c:v>Sea food</c:v>
                </c:pt>
                <c:pt idx="4">
                  <c:v>Vegan</c:v>
                </c:pt>
                <c:pt idx="5">
                  <c:v>Vegetarian</c:v>
                </c:pt>
              </c:strCache>
            </c:strRef>
          </c:cat>
          <c:val>
            <c:numRef>
              <c:f>'Books combined'!$R$157:$W$157</c:f>
              <c:numCache>
                <c:formatCode>General</c:formatCode>
                <c:ptCount val="6"/>
                <c:pt idx="0">
                  <c:v>259.3340116</c:v>
                </c:pt>
                <c:pt idx="3">
                  <c:v>97.139883117636117</c:v>
                </c:pt>
              </c:numCache>
            </c:numRef>
          </c:val>
          <c:extLst>
            <c:ext xmlns:c16="http://schemas.microsoft.com/office/drawing/2014/chart" uri="{C3380CC4-5D6E-409C-BE32-E72D297353CC}">
              <c16:uniqueId val="{0000000D-7FD3-4A53-8484-9F6A8E00A20F}"/>
            </c:ext>
          </c:extLst>
        </c:ser>
        <c:ser>
          <c:idx val="14"/>
          <c:order val="14"/>
          <c:spPr>
            <a:solidFill>
              <a:schemeClr val="accent3">
                <a:lumMod val="80000"/>
                <a:lumOff val="20000"/>
              </a:schemeClr>
            </a:solidFill>
            <a:ln>
              <a:noFill/>
            </a:ln>
            <a:effectLst/>
          </c:spPr>
          <c:invertIfNegative val="0"/>
          <c:cat>
            <c:strRef>
              <c:f>'Books combined'!$R$143:$W$143</c:f>
              <c:strCache>
                <c:ptCount val="6"/>
                <c:pt idx="0">
                  <c:v>Meat</c:v>
                </c:pt>
                <c:pt idx="1">
                  <c:v>Pork</c:v>
                </c:pt>
                <c:pt idx="2">
                  <c:v>Poultry</c:v>
                </c:pt>
                <c:pt idx="3">
                  <c:v>Sea food</c:v>
                </c:pt>
                <c:pt idx="4">
                  <c:v>Vegan</c:v>
                </c:pt>
                <c:pt idx="5">
                  <c:v>Vegetarian</c:v>
                </c:pt>
              </c:strCache>
            </c:strRef>
          </c:cat>
          <c:val>
            <c:numRef>
              <c:f>'Books combined'!$R$158:$W$158</c:f>
              <c:numCache>
                <c:formatCode>General</c:formatCode>
                <c:ptCount val="6"/>
                <c:pt idx="0">
                  <c:v>226.6840911557135</c:v>
                </c:pt>
                <c:pt idx="3">
                  <c:v>81.177506873762994</c:v>
                </c:pt>
              </c:numCache>
            </c:numRef>
          </c:val>
          <c:extLst>
            <c:ext xmlns:c16="http://schemas.microsoft.com/office/drawing/2014/chart" uri="{C3380CC4-5D6E-409C-BE32-E72D297353CC}">
              <c16:uniqueId val="{0000000E-7FD3-4A53-8484-9F6A8E00A20F}"/>
            </c:ext>
          </c:extLst>
        </c:ser>
        <c:ser>
          <c:idx val="15"/>
          <c:order val="15"/>
          <c:spPr>
            <a:solidFill>
              <a:schemeClr val="accent4">
                <a:lumMod val="80000"/>
                <a:lumOff val="20000"/>
              </a:schemeClr>
            </a:solidFill>
            <a:ln>
              <a:noFill/>
            </a:ln>
            <a:effectLst/>
          </c:spPr>
          <c:invertIfNegative val="0"/>
          <c:cat>
            <c:strRef>
              <c:f>'Books combined'!$R$143:$W$143</c:f>
              <c:strCache>
                <c:ptCount val="6"/>
                <c:pt idx="0">
                  <c:v>Meat</c:v>
                </c:pt>
                <c:pt idx="1">
                  <c:v>Pork</c:v>
                </c:pt>
                <c:pt idx="2">
                  <c:v>Poultry</c:v>
                </c:pt>
                <c:pt idx="3">
                  <c:v>Sea food</c:v>
                </c:pt>
                <c:pt idx="4">
                  <c:v>Vegan</c:v>
                </c:pt>
                <c:pt idx="5">
                  <c:v>Vegetarian</c:v>
                </c:pt>
              </c:strCache>
            </c:strRef>
          </c:cat>
          <c:val>
            <c:numRef>
              <c:f>'Books combined'!$R$159:$W$159</c:f>
              <c:numCache>
                <c:formatCode>General</c:formatCode>
                <c:ptCount val="6"/>
                <c:pt idx="0">
                  <c:v>152.54022489258315</c:v>
                </c:pt>
              </c:numCache>
            </c:numRef>
          </c:val>
          <c:extLst>
            <c:ext xmlns:c16="http://schemas.microsoft.com/office/drawing/2014/chart" uri="{C3380CC4-5D6E-409C-BE32-E72D297353CC}">
              <c16:uniqueId val="{0000000F-7FD3-4A53-8484-9F6A8E00A20F}"/>
            </c:ext>
          </c:extLst>
        </c:ser>
        <c:ser>
          <c:idx val="16"/>
          <c:order val="16"/>
          <c:spPr>
            <a:solidFill>
              <a:schemeClr val="accent5">
                <a:lumMod val="80000"/>
                <a:lumOff val="20000"/>
              </a:schemeClr>
            </a:solidFill>
            <a:ln>
              <a:noFill/>
            </a:ln>
            <a:effectLst/>
          </c:spPr>
          <c:invertIfNegative val="0"/>
          <c:cat>
            <c:strRef>
              <c:f>'Books combined'!$R$143:$W$143</c:f>
              <c:strCache>
                <c:ptCount val="6"/>
                <c:pt idx="0">
                  <c:v>Meat</c:v>
                </c:pt>
                <c:pt idx="1">
                  <c:v>Pork</c:v>
                </c:pt>
                <c:pt idx="2">
                  <c:v>Poultry</c:v>
                </c:pt>
                <c:pt idx="3">
                  <c:v>Sea food</c:v>
                </c:pt>
                <c:pt idx="4">
                  <c:v>Vegan</c:v>
                </c:pt>
                <c:pt idx="5">
                  <c:v>Vegetarian</c:v>
                </c:pt>
              </c:strCache>
            </c:strRef>
          </c:cat>
          <c:val>
            <c:numRef>
              <c:f>'Books combined'!$R$160:$W$160</c:f>
              <c:numCache>
                <c:formatCode>General</c:formatCode>
                <c:ptCount val="6"/>
                <c:pt idx="0">
                  <c:v>131.48032396569087</c:v>
                </c:pt>
              </c:numCache>
            </c:numRef>
          </c:val>
          <c:extLst>
            <c:ext xmlns:c16="http://schemas.microsoft.com/office/drawing/2014/chart" uri="{C3380CC4-5D6E-409C-BE32-E72D297353CC}">
              <c16:uniqueId val="{00000010-7FD3-4A53-8484-9F6A8E00A20F}"/>
            </c:ext>
          </c:extLst>
        </c:ser>
        <c:ser>
          <c:idx val="17"/>
          <c:order val="17"/>
          <c:spPr>
            <a:solidFill>
              <a:schemeClr val="accent6">
                <a:lumMod val="80000"/>
                <a:lumOff val="20000"/>
              </a:schemeClr>
            </a:solidFill>
            <a:ln>
              <a:noFill/>
            </a:ln>
            <a:effectLst/>
          </c:spPr>
          <c:invertIfNegative val="0"/>
          <c:cat>
            <c:strRef>
              <c:f>'Books combined'!$R$143:$W$143</c:f>
              <c:strCache>
                <c:ptCount val="6"/>
                <c:pt idx="0">
                  <c:v>Meat</c:v>
                </c:pt>
                <c:pt idx="1">
                  <c:v>Pork</c:v>
                </c:pt>
                <c:pt idx="2">
                  <c:v>Poultry</c:v>
                </c:pt>
                <c:pt idx="3">
                  <c:v>Sea food</c:v>
                </c:pt>
                <c:pt idx="4">
                  <c:v>Vegan</c:v>
                </c:pt>
                <c:pt idx="5">
                  <c:v>Vegetarian</c:v>
                </c:pt>
              </c:strCache>
            </c:strRef>
          </c:cat>
          <c:val>
            <c:numRef>
              <c:f>'Books combined'!$R$161:$W$161</c:f>
              <c:numCache>
                <c:formatCode>General</c:formatCode>
                <c:ptCount val="6"/>
                <c:pt idx="0">
                  <c:v>89.869539509689957</c:v>
                </c:pt>
              </c:numCache>
            </c:numRef>
          </c:val>
          <c:extLst>
            <c:ext xmlns:c16="http://schemas.microsoft.com/office/drawing/2014/chart" uri="{C3380CC4-5D6E-409C-BE32-E72D297353CC}">
              <c16:uniqueId val="{00000011-7FD3-4A53-8484-9F6A8E00A20F}"/>
            </c:ext>
          </c:extLst>
        </c:ser>
        <c:ser>
          <c:idx val="18"/>
          <c:order val="18"/>
          <c:spPr>
            <a:solidFill>
              <a:schemeClr val="accent1">
                <a:lumMod val="80000"/>
              </a:schemeClr>
            </a:solidFill>
            <a:ln>
              <a:noFill/>
            </a:ln>
            <a:effectLst/>
          </c:spPr>
          <c:invertIfNegative val="0"/>
          <c:cat>
            <c:strRef>
              <c:f>'Books combined'!$R$143:$W$143</c:f>
              <c:strCache>
                <c:ptCount val="6"/>
                <c:pt idx="0">
                  <c:v>Meat</c:v>
                </c:pt>
                <c:pt idx="1">
                  <c:v>Pork</c:v>
                </c:pt>
                <c:pt idx="2">
                  <c:v>Poultry</c:v>
                </c:pt>
                <c:pt idx="3">
                  <c:v>Sea food</c:v>
                </c:pt>
                <c:pt idx="4">
                  <c:v>Vegan</c:v>
                </c:pt>
                <c:pt idx="5">
                  <c:v>Vegetarian</c:v>
                </c:pt>
              </c:strCache>
            </c:strRef>
          </c:cat>
          <c:val>
            <c:numRef>
              <c:f>'Books combined'!$R$162:$W$162</c:f>
              <c:numCache>
                <c:formatCode>General</c:formatCode>
                <c:ptCount val="6"/>
                <c:pt idx="0">
                  <c:v>88.821984514407262</c:v>
                </c:pt>
              </c:numCache>
            </c:numRef>
          </c:val>
          <c:extLst>
            <c:ext xmlns:c16="http://schemas.microsoft.com/office/drawing/2014/chart" uri="{C3380CC4-5D6E-409C-BE32-E72D297353CC}">
              <c16:uniqueId val="{00000012-7FD3-4A53-8484-9F6A8E00A20F}"/>
            </c:ext>
          </c:extLst>
        </c:ser>
        <c:ser>
          <c:idx val="19"/>
          <c:order val="19"/>
          <c:spPr>
            <a:solidFill>
              <a:schemeClr val="accent2">
                <a:lumMod val="80000"/>
              </a:schemeClr>
            </a:solidFill>
            <a:ln>
              <a:noFill/>
            </a:ln>
            <a:effectLst/>
          </c:spPr>
          <c:invertIfNegative val="0"/>
          <c:cat>
            <c:strRef>
              <c:f>'Books combined'!$R$143:$W$143</c:f>
              <c:strCache>
                <c:ptCount val="6"/>
                <c:pt idx="0">
                  <c:v>Meat</c:v>
                </c:pt>
                <c:pt idx="1">
                  <c:v>Pork</c:v>
                </c:pt>
                <c:pt idx="2">
                  <c:v>Poultry</c:v>
                </c:pt>
                <c:pt idx="3">
                  <c:v>Sea food</c:v>
                </c:pt>
                <c:pt idx="4">
                  <c:v>Vegan</c:v>
                </c:pt>
                <c:pt idx="5">
                  <c:v>Vegetarian</c:v>
                </c:pt>
              </c:strCache>
            </c:strRef>
          </c:cat>
          <c:val>
            <c:numRef>
              <c:f>'Books combined'!$R$163:$W$163</c:f>
              <c:numCache>
                <c:formatCode>General</c:formatCode>
                <c:ptCount val="6"/>
                <c:pt idx="0">
                  <c:v>81.575162487500506</c:v>
                </c:pt>
              </c:numCache>
            </c:numRef>
          </c:val>
          <c:extLst>
            <c:ext xmlns:c16="http://schemas.microsoft.com/office/drawing/2014/chart" uri="{C3380CC4-5D6E-409C-BE32-E72D297353CC}">
              <c16:uniqueId val="{00000013-7FD3-4A53-8484-9F6A8E00A20F}"/>
            </c:ext>
          </c:extLst>
        </c:ser>
        <c:dLbls>
          <c:showLegendKey val="0"/>
          <c:showVal val="0"/>
          <c:showCatName val="0"/>
          <c:showSerName val="0"/>
          <c:showPercent val="0"/>
          <c:showBubbleSize val="0"/>
        </c:dLbls>
        <c:gapWidth val="219"/>
        <c:overlap val="-27"/>
        <c:axId val="1094832159"/>
        <c:axId val="1094829247"/>
      </c:barChart>
      <c:catAx>
        <c:axId val="1094832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094829247"/>
        <c:crosses val="autoZero"/>
        <c:auto val="1"/>
        <c:lblAlgn val="ctr"/>
        <c:lblOffset val="100"/>
        <c:noMultiLvlLbl val="0"/>
      </c:catAx>
      <c:valAx>
        <c:axId val="1094829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rgbClr val="000000">
                        <a:lumMod val="65000"/>
                        <a:lumOff val="35000"/>
                      </a:srgbClr>
                    </a:solidFill>
                    <a:latin typeface="+mn-lt"/>
                    <a:ea typeface="+mn-ea"/>
                    <a:cs typeface="+mn-cs"/>
                  </a:defRPr>
                </a:pPr>
                <a:r>
                  <a:rPr lang="pt-BR" sz="1000" b="0" i="0" cap="all" baseline="0">
                    <a:effectLst/>
                  </a:rPr>
                  <a:t>Total Carbon footprint (gCO2e)</a:t>
                </a:r>
                <a:endParaRPr lang="pt-BR" sz="1000">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rgbClr val="000000">
                        <a:lumMod val="65000"/>
                        <a:lumOff val="35000"/>
                      </a:srgbClr>
                    </a:solidFill>
                  </a:defRPr>
                </a:pPr>
                <a:endParaRPr lang="pt-B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rgbClr val="000000">
                      <a:lumMod val="65000"/>
                      <a:lumOff val="35000"/>
                    </a:srgbClr>
                  </a:solidFill>
                  <a:latin typeface="+mn-lt"/>
                  <a:ea typeface="+mn-ea"/>
                  <a:cs typeface="+mn-cs"/>
                </a:defRPr>
              </a:pPr>
              <a:endParaRPr lang="pt-B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0948321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c:style val="2"/>
  <c:chart>
    <c:title>
      <c:tx>
        <c:rich>
          <a:bodyPr/>
          <a:lstStyle/>
          <a:p>
            <a:pPr lvl="0">
              <a:defRPr b="0">
                <a:solidFill>
                  <a:srgbClr val="757575"/>
                </a:solidFill>
                <a:latin typeface="+mn-lt"/>
              </a:defRPr>
            </a:pPr>
            <a:r>
              <a:rPr b="0">
                <a:solidFill>
                  <a:srgbClr val="757575"/>
                </a:solidFill>
                <a:latin typeface="+mn-lt"/>
              </a:rPr>
              <a:t>Histogram of frequency</a:t>
            </a:r>
          </a:p>
        </c:rich>
      </c:tx>
      <c:overlay val="0"/>
    </c:title>
    <c:autoTitleDeleted val="0"/>
    <c:plotArea>
      <c:layout/>
      <c:barChart>
        <c:barDir val="bar"/>
        <c:grouping val="clustered"/>
        <c:varyColors val="1"/>
        <c:ser>
          <c:idx val="0"/>
          <c:order val="0"/>
          <c:tx>
            <c:strRef>
              <c:f>ingredients!$B$2</c:f>
              <c:strCache>
                <c:ptCount val="1"/>
                <c:pt idx="0">
                  <c:v>frequency</c:v>
                </c:pt>
              </c:strCache>
            </c:strRef>
          </c:tx>
          <c:spPr>
            <a:solidFill>
              <a:srgbClr val="4285F4"/>
            </a:solidFill>
            <a:ln cmpd="sng">
              <a:solidFill>
                <a:srgbClr val="000000"/>
              </a:solidFill>
            </a:ln>
          </c:spPr>
          <c:invertIfNegative val="1"/>
          <c:cat>
            <c:strRef>
              <c:f>ingredients!$A$3:$A$68</c:f>
              <c:strCache>
                <c:ptCount val="66"/>
                <c:pt idx="0">
                  <c:v>salt</c:v>
                </c:pt>
                <c:pt idx="1">
                  <c:v>black pepper</c:v>
                </c:pt>
                <c:pt idx="2">
                  <c:v>clove garlic</c:v>
                </c:pt>
                <c:pt idx="3">
                  <c:v>onion</c:v>
                </c:pt>
                <c:pt idx="4">
                  <c:v>vegetable oil</c:v>
                </c:pt>
                <c:pt idx="5">
                  <c:v>olive oil</c:v>
                </c:pt>
                <c:pt idx="6">
                  <c:v>parsley</c:v>
                </c:pt>
                <c:pt idx="7">
                  <c:v>butter</c:v>
                </c:pt>
                <c:pt idx="8">
                  <c:v>water</c:v>
                </c:pt>
                <c:pt idx="9">
                  <c:v>tomato</c:v>
                </c:pt>
                <c:pt idx="10">
                  <c:v>plain flour</c:v>
                </c:pt>
                <c:pt idx="11">
                  <c:v>lime</c:v>
                </c:pt>
                <c:pt idx="12">
                  <c:v>milk</c:v>
                </c:pt>
                <c:pt idx="13">
                  <c:v>egg</c:v>
                </c:pt>
                <c:pt idx="14">
                  <c:v>bay leaf</c:v>
                </c:pt>
                <c:pt idx="15">
                  <c:v>bacon</c:v>
                </c:pt>
                <c:pt idx="16">
                  <c:v>cilantro</c:v>
                </c:pt>
                <c:pt idx="17">
                  <c:v>spring onions</c:v>
                </c:pt>
                <c:pt idx="18">
                  <c:v>sausage</c:v>
                </c:pt>
                <c:pt idx="19">
                  <c:v>parmesan cheese</c:v>
                </c:pt>
                <c:pt idx="20">
                  <c:v>palm oil</c:v>
                </c:pt>
                <c:pt idx="21">
                  <c:v>shrimp</c:v>
                </c:pt>
                <c:pt idx="22">
                  <c:v>tomato paste</c:v>
                </c:pt>
                <c:pt idx="23">
                  <c:v>chicken broth</c:v>
                </c:pt>
                <c:pt idx="24">
                  <c:v>beef broth</c:v>
                </c:pt>
                <c:pt idx="25">
                  <c:v>coconut milk</c:v>
                </c:pt>
                <c:pt idx="26">
                  <c:v>heavy cream</c:v>
                </c:pt>
                <c:pt idx="27">
                  <c:v>mozzarella</c:v>
                </c:pt>
                <c:pt idx="28">
                  <c:v>potato</c:v>
                </c:pt>
                <c:pt idx="29">
                  <c:v>cassava flour</c:v>
                </c:pt>
                <c:pt idx="30">
                  <c:v>red bell pepper</c:v>
                </c:pt>
                <c:pt idx="31">
                  <c:v>cornstarch</c:v>
                </c:pt>
                <c:pt idx="32">
                  <c:v>beef jerky</c:v>
                </c:pt>
                <c:pt idx="33">
                  <c:v>cream cheese</c:v>
                </c:pt>
                <c:pt idx="34">
                  <c:v>breadcrumbs</c:v>
                </c:pt>
                <c:pt idx="35">
                  <c:v>sugar</c:v>
                </c:pt>
                <c:pt idx="36">
                  <c:v>banana</c:v>
                </c:pt>
                <c:pt idx="37">
                  <c:v>collard green</c:v>
                </c:pt>
                <c:pt idx="38">
                  <c:v>white fish</c:v>
                </c:pt>
                <c:pt idx="39">
                  <c:v>white rice</c:v>
                </c:pt>
                <c:pt idx="40">
                  <c:v>cachaça</c:v>
                </c:pt>
                <c:pt idx="41">
                  <c:v>red chilli pepper</c:v>
                </c:pt>
                <c:pt idx="42">
                  <c:v>chicken breast</c:v>
                </c:pt>
                <c:pt idx="43">
                  <c:v>worcetershire sauce</c:v>
                </c:pt>
                <c:pt idx="44">
                  <c:v>smooked paprika</c:v>
                </c:pt>
                <c:pt idx="45">
                  <c:v>nutmeg</c:v>
                </c:pt>
                <c:pt idx="46">
                  <c:v>cassava root</c:v>
                </c:pt>
                <c:pt idx="47">
                  <c:v>salt cod</c:v>
                </c:pt>
                <c:pt idx="48">
                  <c:v>egg yolk</c:v>
                </c:pt>
                <c:pt idx="49">
                  <c:v>tomato sauce</c:v>
                </c:pt>
                <c:pt idx="50">
                  <c:v>green olive</c:v>
                </c:pt>
                <c:pt idx="51">
                  <c:v>fillet steak</c:v>
                </c:pt>
                <c:pt idx="52">
                  <c:v>red onion</c:v>
                </c:pt>
                <c:pt idx="53">
                  <c:v>green bell pepper</c:v>
                </c:pt>
                <c:pt idx="54">
                  <c:v>yellow bell pepper</c:v>
                </c:pt>
                <c:pt idx="55">
                  <c:v>white wine</c:v>
                </c:pt>
                <c:pt idx="56">
                  <c:v>white wine vinegar</c:v>
                </c:pt>
                <c:pt idx="57">
                  <c:v>picanha</c:v>
                </c:pt>
                <c:pt idx="58">
                  <c:v>red wine</c:v>
                </c:pt>
                <c:pt idx="59">
                  <c:v>brown sugar</c:v>
                </c:pt>
                <c:pt idx="60">
                  <c:v>white pepper</c:v>
                </c:pt>
                <c:pt idx="61">
                  <c:v>peanuts</c:v>
                </c:pt>
                <c:pt idx="62">
                  <c:v>cassava starch</c:v>
                </c:pt>
                <c:pt idx="63">
                  <c:v>palm hearts</c:v>
                </c:pt>
                <c:pt idx="64">
                  <c:v>dijon mustard</c:v>
                </c:pt>
                <c:pt idx="65">
                  <c:v>sweet paprika</c:v>
                </c:pt>
              </c:strCache>
            </c:strRef>
          </c:cat>
          <c:val>
            <c:numRef>
              <c:f>ingredients!$B$3:$B$68</c:f>
              <c:numCache>
                <c:formatCode>General</c:formatCode>
                <c:ptCount val="66"/>
                <c:pt idx="0">
                  <c:v>87</c:v>
                </c:pt>
                <c:pt idx="1">
                  <c:v>62</c:v>
                </c:pt>
                <c:pt idx="2">
                  <c:v>56</c:v>
                </c:pt>
                <c:pt idx="3">
                  <c:v>55</c:v>
                </c:pt>
                <c:pt idx="4">
                  <c:v>49</c:v>
                </c:pt>
                <c:pt idx="5">
                  <c:v>43</c:v>
                </c:pt>
                <c:pt idx="6">
                  <c:v>36</c:v>
                </c:pt>
                <c:pt idx="7">
                  <c:v>29</c:v>
                </c:pt>
                <c:pt idx="8">
                  <c:v>28</c:v>
                </c:pt>
                <c:pt idx="9">
                  <c:v>24</c:v>
                </c:pt>
                <c:pt idx="10">
                  <c:v>21</c:v>
                </c:pt>
                <c:pt idx="11">
                  <c:v>15</c:v>
                </c:pt>
                <c:pt idx="12">
                  <c:v>13</c:v>
                </c:pt>
                <c:pt idx="13">
                  <c:v>13</c:v>
                </c:pt>
                <c:pt idx="14">
                  <c:v>12</c:v>
                </c:pt>
                <c:pt idx="15">
                  <c:v>10</c:v>
                </c:pt>
                <c:pt idx="16">
                  <c:v>9</c:v>
                </c:pt>
                <c:pt idx="17">
                  <c:v>10</c:v>
                </c:pt>
                <c:pt idx="18">
                  <c:v>9</c:v>
                </c:pt>
                <c:pt idx="19">
                  <c:v>9</c:v>
                </c:pt>
                <c:pt idx="20">
                  <c:v>9</c:v>
                </c:pt>
                <c:pt idx="21">
                  <c:v>9</c:v>
                </c:pt>
                <c:pt idx="22">
                  <c:v>8</c:v>
                </c:pt>
                <c:pt idx="23">
                  <c:v>8</c:v>
                </c:pt>
                <c:pt idx="24">
                  <c:v>8</c:v>
                </c:pt>
                <c:pt idx="25">
                  <c:v>7</c:v>
                </c:pt>
                <c:pt idx="26">
                  <c:v>7</c:v>
                </c:pt>
                <c:pt idx="27">
                  <c:v>7</c:v>
                </c:pt>
                <c:pt idx="28">
                  <c:v>7</c:v>
                </c:pt>
                <c:pt idx="29">
                  <c:v>6</c:v>
                </c:pt>
                <c:pt idx="30">
                  <c:v>6</c:v>
                </c:pt>
                <c:pt idx="31">
                  <c:v>6</c:v>
                </c:pt>
                <c:pt idx="32">
                  <c:v>6</c:v>
                </c:pt>
                <c:pt idx="33">
                  <c:v>6</c:v>
                </c:pt>
                <c:pt idx="34">
                  <c:v>6</c:v>
                </c:pt>
                <c:pt idx="35">
                  <c:v>5</c:v>
                </c:pt>
                <c:pt idx="36">
                  <c:v>5</c:v>
                </c:pt>
                <c:pt idx="37">
                  <c:v>5</c:v>
                </c:pt>
                <c:pt idx="38">
                  <c:v>5</c:v>
                </c:pt>
                <c:pt idx="39">
                  <c:v>5</c:v>
                </c:pt>
                <c:pt idx="40">
                  <c:v>5</c:v>
                </c:pt>
                <c:pt idx="41">
                  <c:v>5</c:v>
                </c:pt>
                <c:pt idx="42">
                  <c:v>5</c:v>
                </c:pt>
                <c:pt idx="43">
                  <c:v>5</c:v>
                </c:pt>
                <c:pt idx="44">
                  <c:v>4</c:v>
                </c:pt>
                <c:pt idx="45">
                  <c:v>4</c:v>
                </c:pt>
                <c:pt idx="46">
                  <c:v>4</c:v>
                </c:pt>
                <c:pt idx="47">
                  <c:v>4</c:v>
                </c:pt>
                <c:pt idx="48">
                  <c:v>4</c:v>
                </c:pt>
                <c:pt idx="49">
                  <c:v>4</c:v>
                </c:pt>
                <c:pt idx="50">
                  <c:v>4</c:v>
                </c:pt>
                <c:pt idx="51">
                  <c:v>4</c:v>
                </c:pt>
                <c:pt idx="52">
                  <c:v>3</c:v>
                </c:pt>
                <c:pt idx="53">
                  <c:v>3</c:v>
                </c:pt>
                <c:pt idx="54">
                  <c:v>3</c:v>
                </c:pt>
                <c:pt idx="55">
                  <c:v>3</c:v>
                </c:pt>
                <c:pt idx="56">
                  <c:v>3</c:v>
                </c:pt>
                <c:pt idx="57">
                  <c:v>3</c:v>
                </c:pt>
                <c:pt idx="58">
                  <c:v>3</c:v>
                </c:pt>
                <c:pt idx="59">
                  <c:v>3</c:v>
                </c:pt>
                <c:pt idx="60">
                  <c:v>3</c:v>
                </c:pt>
                <c:pt idx="61">
                  <c:v>3</c:v>
                </c:pt>
                <c:pt idx="62">
                  <c:v>3</c:v>
                </c:pt>
                <c:pt idx="63">
                  <c:v>3</c:v>
                </c:pt>
                <c:pt idx="64">
                  <c:v>3</c:v>
                </c:pt>
                <c:pt idx="65">
                  <c:v>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F84-411A-B490-E815C49C7786}"/>
            </c:ext>
          </c:extLst>
        </c:ser>
        <c:dLbls>
          <c:showLegendKey val="0"/>
          <c:showVal val="0"/>
          <c:showCatName val="0"/>
          <c:showSerName val="0"/>
          <c:showPercent val="0"/>
          <c:showBubbleSize val="0"/>
        </c:dLbls>
        <c:gapWidth val="150"/>
        <c:axId val="614599716"/>
        <c:axId val="825831740"/>
      </c:barChart>
      <c:catAx>
        <c:axId val="61459971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frequency</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pt-BR"/>
          </a:p>
        </c:txPr>
        <c:crossAx val="825831740"/>
        <c:crosses val="autoZero"/>
        <c:auto val="1"/>
        <c:lblAlgn val="ctr"/>
        <c:lblOffset val="100"/>
        <c:noMultiLvlLbl val="1"/>
      </c:catAx>
      <c:valAx>
        <c:axId val="82583174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pt-BR"/>
          </a:p>
        </c:txPr>
        <c:crossAx val="614599716"/>
        <c:crosses val="max"/>
        <c:crossBetween val="between"/>
      </c:valAx>
    </c:plotArea>
    <c:legend>
      <c:legendPos val="r"/>
      <c:overlay val="0"/>
      <c:txPr>
        <a:bodyPr/>
        <a:lstStyle/>
        <a:p>
          <a:pPr lvl="0">
            <a:defRPr b="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image" Target="../media/image3.png"/><Relationship Id="rId1" Type="http://schemas.openxmlformats.org/officeDocument/2006/relationships/chart" Target="../charts/chart6.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oneCellAnchor>
    <xdr:from>
      <xdr:col>8</xdr:col>
      <xdr:colOff>819150</xdr:colOff>
      <xdr:row>4</xdr:row>
      <xdr:rowOff>38100</xdr:rowOff>
    </xdr:from>
    <xdr:ext cx="5715000" cy="3533775"/>
    <xdr:graphicFrame macro="">
      <xdr:nvGraphicFramePr>
        <xdr:cNvPr id="2" name="Chart 1" title="Chart">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8</xdr:col>
      <xdr:colOff>923925</xdr:colOff>
      <xdr:row>43</xdr:row>
      <xdr:rowOff>190500</xdr:rowOff>
    </xdr:from>
    <xdr:ext cx="5715000" cy="3533775"/>
    <xdr:graphicFrame macro="">
      <xdr:nvGraphicFramePr>
        <xdr:cNvPr id="3" name="Chart 2" title="Chart">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8</xdr:col>
      <xdr:colOff>923925</xdr:colOff>
      <xdr:row>26</xdr:row>
      <xdr:rowOff>161925</xdr:rowOff>
    </xdr:from>
    <xdr:ext cx="5715000" cy="3533775"/>
    <xdr:graphicFrame macro="">
      <xdr:nvGraphicFramePr>
        <xdr:cNvPr id="4" name="Chart 3" title="Chart">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4</xdr:col>
      <xdr:colOff>1924050</xdr:colOff>
      <xdr:row>82</xdr:row>
      <xdr:rowOff>9525</xdr:rowOff>
    </xdr:from>
    <xdr:ext cx="5715000" cy="3533775"/>
    <xdr:graphicFrame macro="">
      <xdr:nvGraphicFramePr>
        <xdr:cNvPr id="4" name="Chart 4" title="Chart">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704850</xdr:colOff>
      <xdr:row>110</xdr:row>
      <xdr:rowOff>19050</xdr:rowOff>
    </xdr:from>
    <xdr:ext cx="5715000" cy="3533775"/>
    <xdr:pic>
      <xdr:nvPicPr>
        <xdr:cNvPr id="166070087" name="Chart5" title="Chart">
          <a:extLst>
            <a:ext uri="{FF2B5EF4-FFF2-40B4-BE49-F238E27FC236}">
              <a16:creationId xmlns:a16="http://schemas.microsoft.com/office/drawing/2014/main" id="{00000000-0008-0000-0400-00004707E609}"/>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3</xdr:col>
      <xdr:colOff>1876425</xdr:colOff>
      <xdr:row>115</xdr:row>
      <xdr:rowOff>76200</xdr:rowOff>
    </xdr:from>
    <xdr:ext cx="5715000" cy="3533775"/>
    <xdr:pic>
      <xdr:nvPicPr>
        <xdr:cNvPr id="248960935" name="Chart6" title="Chart">
          <a:extLst>
            <a:ext uri="{FF2B5EF4-FFF2-40B4-BE49-F238E27FC236}">
              <a16:creationId xmlns:a16="http://schemas.microsoft.com/office/drawing/2014/main" id="{00000000-0008-0000-0500-0000A7D7D60E}"/>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2152650</xdr:colOff>
      <xdr:row>137</xdr:row>
      <xdr:rowOff>19050</xdr:rowOff>
    </xdr:from>
    <xdr:ext cx="5715000" cy="3533775"/>
    <xdr:graphicFrame macro="">
      <xdr:nvGraphicFramePr>
        <xdr:cNvPr id="7" name="Chart 7" title="Chart">
          <a:extLst>
            <a:ext uri="{FF2B5EF4-FFF2-40B4-BE49-F238E27FC236}">
              <a16:creationId xmlns:a16="http://schemas.microsoft.com/office/drawing/2014/main" id="{00000000-0008-0000-05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9</xdr:col>
      <xdr:colOff>19050</xdr:colOff>
      <xdr:row>93</xdr:row>
      <xdr:rowOff>104775</xdr:rowOff>
    </xdr:from>
    <xdr:ext cx="5715000" cy="3533775"/>
    <xdr:graphicFrame macro="">
      <xdr:nvGraphicFramePr>
        <xdr:cNvPr id="8" name="Chart 8" title="Chart">
          <a:extLst>
            <a:ext uri="{FF2B5EF4-FFF2-40B4-BE49-F238E27FC236}">
              <a16:creationId xmlns:a16="http://schemas.microsoft.com/office/drawing/2014/main" id="{00000000-0008-0000-06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9</xdr:col>
      <xdr:colOff>19050</xdr:colOff>
      <xdr:row>112</xdr:row>
      <xdr:rowOff>95250</xdr:rowOff>
    </xdr:from>
    <xdr:ext cx="5715000" cy="3533775"/>
    <xdr:pic>
      <xdr:nvPicPr>
        <xdr:cNvPr id="380029053" name="Chart9" title="Chart">
          <a:extLst>
            <a:ext uri="{FF2B5EF4-FFF2-40B4-BE49-F238E27FC236}">
              <a16:creationId xmlns:a16="http://schemas.microsoft.com/office/drawing/2014/main" id="{00000000-0008-0000-0600-00007DC8A616}"/>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twoCellAnchor>
    <xdr:from>
      <xdr:col>0</xdr:col>
      <xdr:colOff>838200</xdr:colOff>
      <xdr:row>168</xdr:row>
      <xdr:rowOff>45720</xdr:rowOff>
    </xdr:from>
    <xdr:to>
      <xdr:col>7</xdr:col>
      <xdr:colOff>350520</xdr:colOff>
      <xdr:row>186</xdr:row>
      <xdr:rowOff>167640</xdr:rowOff>
    </xdr:to>
    <xdr:graphicFrame macro="">
      <xdr:nvGraphicFramePr>
        <xdr:cNvPr id="4" name="Gráfico 3">
          <a:extLst>
            <a:ext uri="{FF2B5EF4-FFF2-40B4-BE49-F238E27FC236}">
              <a16:creationId xmlns:a16="http://schemas.microsoft.com/office/drawing/2014/main" id="{90C75FB7-2134-F1CD-FA8E-4822BB6366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106680</xdr:colOff>
      <xdr:row>167</xdr:row>
      <xdr:rowOff>167640</xdr:rowOff>
    </xdr:from>
    <xdr:to>
      <xdr:col>15</xdr:col>
      <xdr:colOff>106680</xdr:colOff>
      <xdr:row>187</xdr:row>
      <xdr:rowOff>15240</xdr:rowOff>
    </xdr:to>
    <xdr:graphicFrame macro="">
      <xdr:nvGraphicFramePr>
        <xdr:cNvPr id="5" name="Gráfico 4">
          <a:extLst>
            <a:ext uri="{FF2B5EF4-FFF2-40B4-BE49-F238E27FC236}">
              <a16:creationId xmlns:a16="http://schemas.microsoft.com/office/drawing/2014/main" id="{B9018020-17BD-B4C1-59CA-F03C8E2DC8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358140</xdr:colOff>
      <xdr:row>187</xdr:row>
      <xdr:rowOff>114300</xdr:rowOff>
    </xdr:from>
    <xdr:to>
      <xdr:col>6</xdr:col>
      <xdr:colOff>746760</xdr:colOff>
      <xdr:row>203</xdr:row>
      <xdr:rowOff>175260</xdr:rowOff>
    </xdr:to>
    <xdr:graphicFrame macro="">
      <xdr:nvGraphicFramePr>
        <xdr:cNvPr id="6" name="Gráfico 5">
          <a:extLst>
            <a:ext uri="{FF2B5EF4-FFF2-40B4-BE49-F238E27FC236}">
              <a16:creationId xmlns:a16="http://schemas.microsoft.com/office/drawing/2014/main" id="{1DC9C33B-369F-D04C-F0F8-C4C5F873BD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495300</xdr:colOff>
      <xdr:row>168</xdr:row>
      <xdr:rowOff>137160</xdr:rowOff>
    </xdr:from>
    <xdr:to>
      <xdr:col>23</xdr:col>
      <xdr:colOff>594360</xdr:colOff>
      <xdr:row>186</xdr:row>
      <xdr:rowOff>83820</xdr:rowOff>
    </xdr:to>
    <xdr:graphicFrame macro="">
      <xdr:nvGraphicFramePr>
        <xdr:cNvPr id="3" name="Gráfico 2">
          <a:extLst>
            <a:ext uri="{FF2B5EF4-FFF2-40B4-BE49-F238E27FC236}">
              <a16:creationId xmlns:a16="http://schemas.microsoft.com/office/drawing/2014/main" id="{9F1252D1-69AD-3220-13B2-A120C15031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53340</xdr:colOff>
      <xdr:row>187</xdr:row>
      <xdr:rowOff>152400</xdr:rowOff>
    </xdr:from>
    <xdr:to>
      <xdr:col>14</xdr:col>
      <xdr:colOff>662940</xdr:colOff>
      <xdr:row>205</xdr:row>
      <xdr:rowOff>175260</xdr:rowOff>
    </xdr:to>
    <xdr:graphicFrame macro="">
      <xdr:nvGraphicFramePr>
        <xdr:cNvPr id="2" name="Gráfico 1">
          <a:extLst>
            <a:ext uri="{FF2B5EF4-FFF2-40B4-BE49-F238E27FC236}">
              <a16:creationId xmlns:a16="http://schemas.microsoft.com/office/drawing/2014/main" id="{1DFA9026-F8D5-A7AC-2ECF-8A71D7749B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350520</xdr:colOff>
      <xdr:row>187</xdr:row>
      <xdr:rowOff>175260</xdr:rowOff>
    </xdr:from>
    <xdr:to>
      <xdr:col>23</xdr:col>
      <xdr:colOff>312420</xdr:colOff>
      <xdr:row>206</xdr:row>
      <xdr:rowOff>114300</xdr:rowOff>
    </xdr:to>
    <xdr:graphicFrame macro="">
      <xdr:nvGraphicFramePr>
        <xdr:cNvPr id="10" name="Gráfico 9">
          <a:extLst>
            <a:ext uri="{FF2B5EF4-FFF2-40B4-BE49-F238E27FC236}">
              <a16:creationId xmlns:a16="http://schemas.microsoft.com/office/drawing/2014/main" id="{2387F9B5-45C0-B979-2828-7598A66DDF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13</xdr:col>
      <xdr:colOff>923925</xdr:colOff>
      <xdr:row>50</xdr:row>
      <xdr:rowOff>133350</xdr:rowOff>
    </xdr:from>
    <xdr:ext cx="15001875" cy="9286875"/>
    <xdr:graphicFrame macro="">
      <xdr:nvGraphicFramePr>
        <xdr:cNvPr id="12" name="Chart 12" title="Chart">
          <a:extLst>
            <a:ext uri="{FF2B5EF4-FFF2-40B4-BE49-F238E27FC236}">
              <a16:creationId xmlns:a16="http://schemas.microsoft.com/office/drawing/2014/main" id="{00000000-0008-0000-09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tudogostoso.com.br/receita/53631-bolo-de-cenoura-fofinho.html" TargetMode="External"/><Relationship Id="rId21" Type="http://schemas.openxmlformats.org/officeDocument/2006/relationships/hyperlink" Target="https://www.tudogostoso.com.br/receita/9589-pao-caseiro.html" TargetMode="External"/><Relationship Id="rId42" Type="http://schemas.openxmlformats.org/officeDocument/2006/relationships/hyperlink" Target="https://www.tudogostoso.com.br/receita/76049-bolinho-de-chuva.html" TargetMode="External"/><Relationship Id="rId63" Type="http://schemas.openxmlformats.org/officeDocument/2006/relationships/hyperlink" Target="https://www.tudogostoso.com.br/receita/1598-rocambole-de-carne-moida-maravilhoso.html" TargetMode="External"/><Relationship Id="rId84" Type="http://schemas.openxmlformats.org/officeDocument/2006/relationships/hyperlink" Target="https://www.tudogostoso.com.br/receita/59-pure-de-batata.html" TargetMode="External"/><Relationship Id="rId16" Type="http://schemas.openxmlformats.org/officeDocument/2006/relationships/hyperlink" Target="https://www.tudogostoso.com.br/receita/130871-chocolate-quente-cremoso.html" TargetMode="External"/><Relationship Id="rId107" Type="http://schemas.openxmlformats.org/officeDocument/2006/relationships/hyperlink" Target="https://www.tudogostoso.com.br/receita/2477-pastel-de-forno.html" TargetMode="External"/><Relationship Id="rId11" Type="http://schemas.openxmlformats.org/officeDocument/2006/relationships/hyperlink" Target="https://www.tudogostoso.com.br/receita/19728-danoninho-caseiro.html" TargetMode="External"/><Relationship Id="rId32" Type="http://schemas.openxmlformats.org/officeDocument/2006/relationships/hyperlink" Target="https://www.tudogostoso.com.br/receita/8072-molho-branco-para-macarrao.html" TargetMode="External"/><Relationship Id="rId37" Type="http://schemas.openxmlformats.org/officeDocument/2006/relationships/hyperlink" Target="https://www.tudogostoso.com.br/receita/8054-empadao-de-frango-delicioso.html" TargetMode="External"/><Relationship Id="rId53" Type="http://schemas.openxmlformats.org/officeDocument/2006/relationships/hyperlink" Target="https://www.tudogostoso.com.br/receita/109535-bolo-de-maca-de-liquidificador-o-melhor-do-mundo.html" TargetMode="External"/><Relationship Id="rId58" Type="http://schemas.openxmlformats.org/officeDocument/2006/relationships/hyperlink" Target="https://www.tudogostoso.com.br/receita/4224-bolinho-de-arroz.html" TargetMode="External"/><Relationship Id="rId74" Type="http://schemas.openxmlformats.org/officeDocument/2006/relationships/hyperlink" Target="https://www.tudogostoso.com.br/receita/2513-mousse-de-chocolate.html" TargetMode="External"/><Relationship Id="rId79" Type="http://schemas.openxmlformats.org/officeDocument/2006/relationships/hyperlink" Target="https://www.tudogostoso.com.br/receita/49802-bombom-de-travessa.html" TargetMode="External"/><Relationship Id="rId102" Type="http://schemas.openxmlformats.org/officeDocument/2006/relationships/hyperlink" Target="https://www.tudogostoso.com.br/receita/80342-biscoito-de-maisena.html" TargetMode="External"/><Relationship Id="rId123" Type="http://schemas.openxmlformats.org/officeDocument/2006/relationships/hyperlink" Target="https://www.tudogostoso.com.br/receita/38921-gelatina-ao-creme-com-morangos.html" TargetMode="External"/><Relationship Id="rId128" Type="http://schemas.openxmlformats.org/officeDocument/2006/relationships/hyperlink" Target="https://www.tudogostoso.com.br/receita/18593-a-mousse-de-maracuja.html" TargetMode="External"/><Relationship Id="rId5" Type="http://schemas.openxmlformats.org/officeDocument/2006/relationships/hyperlink" Target="https://www.tudogostoso.com.br/receita/951-bolo-de-chocolate-molhadinho.html" TargetMode="External"/><Relationship Id="rId90" Type="http://schemas.openxmlformats.org/officeDocument/2006/relationships/hyperlink" Target="https://www.tudogostoso.com.br/receita/4730-sorvete-facil.html" TargetMode="External"/><Relationship Id="rId95" Type="http://schemas.openxmlformats.org/officeDocument/2006/relationships/hyperlink" Target="https://www.tudogostoso.com.br/receita/55-bife-a-milanesa.html" TargetMode="External"/><Relationship Id="rId22" Type="http://schemas.openxmlformats.org/officeDocument/2006/relationships/hyperlink" Target="https://www.tudogostoso.com.br/receita/119737-bolo-de-banana-rapido-de-liquidificador.html" TargetMode="External"/><Relationship Id="rId27" Type="http://schemas.openxmlformats.org/officeDocument/2006/relationships/hyperlink" Target="https://www.tudogostoso.com.br/receita/1599-mousse-de-maracuja.html" TargetMode="External"/><Relationship Id="rId43" Type="http://schemas.openxmlformats.org/officeDocument/2006/relationships/hyperlink" Target="https://www.tudogostoso.com.br/receita/2211-torta-de-banana-rapida.html" TargetMode="External"/><Relationship Id="rId48" Type="http://schemas.openxmlformats.org/officeDocument/2006/relationships/hyperlink" Target="https://www.tudogostoso.com.br/receita/60429-bolo-de-caneca-micro-ondas.html" TargetMode="External"/><Relationship Id="rId64" Type="http://schemas.openxmlformats.org/officeDocument/2006/relationships/hyperlink" Target="https://www.tudogostoso.com.br/receita/9254-bolo-de-fuba.html" TargetMode="External"/><Relationship Id="rId69" Type="http://schemas.openxmlformats.org/officeDocument/2006/relationships/hyperlink" Target="https://www.tudogostoso.com.br/receita/69649-brigadeiro-sem-leite-condensado.html" TargetMode="External"/><Relationship Id="rId113" Type="http://schemas.openxmlformats.org/officeDocument/2006/relationships/hyperlink" Target="https://www.tudogostoso.com.br/receita/44278-bolo-de-fuba-simples-mas-maravilhoso.html" TargetMode="External"/><Relationship Id="rId118" Type="http://schemas.openxmlformats.org/officeDocument/2006/relationships/hyperlink" Target="https://www.tudogostoso.com.br/receita/3114-lanche-rapido.html" TargetMode="External"/><Relationship Id="rId134" Type="http://schemas.openxmlformats.org/officeDocument/2006/relationships/hyperlink" Target="https://www.tudogostoso.com.br/receita/44199-molho-branco-simples.html" TargetMode="External"/><Relationship Id="rId80" Type="http://schemas.openxmlformats.org/officeDocument/2006/relationships/hyperlink" Target="https://www.tudogostoso.com.br/receita/3623-brigadeirao-de-micro-ondas.html" TargetMode="External"/><Relationship Id="rId85" Type="http://schemas.openxmlformats.org/officeDocument/2006/relationships/hyperlink" Target="https://www.tudogostoso.com.br/receita/91302-frango-ao-creme-de-milho.html" TargetMode="External"/><Relationship Id="rId12" Type="http://schemas.openxmlformats.org/officeDocument/2006/relationships/hyperlink" Target="https://www.tudogostoso.com.br/receita/114-brigadeiro.html" TargetMode="External"/><Relationship Id="rId17" Type="http://schemas.openxmlformats.org/officeDocument/2006/relationships/hyperlink" Target="https://www.tudogostoso.com.br/receita/3468-bolo-de-fuba-cremoso.html" TargetMode="External"/><Relationship Id="rId33" Type="http://schemas.openxmlformats.org/officeDocument/2006/relationships/hyperlink" Target="https://www.tudogostoso.com.br/receita/35829-pao-caseiro-rapido-e-fofo.html" TargetMode="External"/><Relationship Id="rId38" Type="http://schemas.openxmlformats.org/officeDocument/2006/relationships/hyperlink" Target="https://www.tudogostoso.com.br/receita/143393-bolo-de-milho-de-lata-no-liquidificador.html" TargetMode="External"/><Relationship Id="rId59" Type="http://schemas.openxmlformats.org/officeDocument/2006/relationships/hyperlink" Target="https://www.tudogostoso.com.br/receita/82681-massa-de-panqueca.html" TargetMode="External"/><Relationship Id="rId103" Type="http://schemas.openxmlformats.org/officeDocument/2006/relationships/hyperlink" Target="https://www.tudogostoso.com.br/receita/20768-escondidinho-de-carne-seca.html" TargetMode="External"/><Relationship Id="rId108" Type="http://schemas.openxmlformats.org/officeDocument/2006/relationships/hyperlink" Target="https://www.tudogostoso.com.br/receita/80686-massa-de-coxinha-facil-da-andriele.html" TargetMode="External"/><Relationship Id="rId124" Type="http://schemas.openxmlformats.org/officeDocument/2006/relationships/hyperlink" Target="https://www.tudogostoso.com.br/receita/2608-bolo-pao-de-lo.html" TargetMode="External"/><Relationship Id="rId129" Type="http://schemas.openxmlformats.org/officeDocument/2006/relationships/hyperlink" Target="https://www.tudogostoso.com.br/receita/2228-pao-de-queijo-mineiro.html" TargetMode="External"/><Relationship Id="rId54" Type="http://schemas.openxmlformats.org/officeDocument/2006/relationships/hyperlink" Target="https://www.tudogostoso.com.br/receita/1438-carne-de-panela-de-pressao.html" TargetMode="External"/><Relationship Id="rId70" Type="http://schemas.openxmlformats.org/officeDocument/2006/relationships/hyperlink" Target="https://www.tudogostoso.com.br/receita/1412-torta-alema-facil-simples-e-deliciosa.html" TargetMode="External"/><Relationship Id="rId75" Type="http://schemas.openxmlformats.org/officeDocument/2006/relationships/hyperlink" Target="https://www.tudogostoso.com.br/receita/112-bobo-de-camarao.html" TargetMode="External"/><Relationship Id="rId91" Type="http://schemas.openxmlformats.org/officeDocument/2006/relationships/hyperlink" Target="https://www.tudogostoso.com.br/receita/2921-leite-condensado-caseiro.html" TargetMode="External"/><Relationship Id="rId96" Type="http://schemas.openxmlformats.org/officeDocument/2006/relationships/hyperlink" Target="https://www.tudogostoso.com.br/receita/11659-brownie-super-facil.html" TargetMode="External"/><Relationship Id="rId1" Type="http://schemas.openxmlformats.org/officeDocument/2006/relationships/hyperlink" Target="https://www.tudogostoso.com.br/receita/23-bolo-de-cenoura.html" TargetMode="External"/><Relationship Id="rId6" Type="http://schemas.openxmlformats.org/officeDocument/2006/relationships/hyperlink" Target="https://www.tudogostoso.com.br/receita/760-panqueca-de-carne-moida.html" TargetMode="External"/><Relationship Id="rId23" Type="http://schemas.openxmlformats.org/officeDocument/2006/relationships/hyperlink" Target="https://www.tudogostoso.com.br/receita/1621-mousse-de-limao.html" TargetMode="External"/><Relationship Id="rId28" Type="http://schemas.openxmlformats.org/officeDocument/2006/relationships/hyperlink" Target="https://www.tudogostoso.com.br/receita/94018-bolo-de-milho-cremoso.html" TargetMode="External"/><Relationship Id="rId49" Type="http://schemas.openxmlformats.org/officeDocument/2006/relationships/hyperlink" Target="https://www.tudogostoso.com.br/receita/41516-bolo-de-banana-caramelada.html" TargetMode="External"/><Relationship Id="rId114" Type="http://schemas.openxmlformats.org/officeDocument/2006/relationships/hyperlink" Target="https://www.tudogostoso.com.br/receita/24-bolo-de-laranja.html" TargetMode="External"/><Relationship Id="rId119" Type="http://schemas.openxmlformats.org/officeDocument/2006/relationships/hyperlink" Target="https://www.tudogostoso.com.br/receita/735-docinho-de-leite-ninho.html" TargetMode="External"/><Relationship Id="rId44" Type="http://schemas.openxmlformats.org/officeDocument/2006/relationships/hyperlink" Target="https://www.tudogostoso.com.br/receita/1363-coxinha-pratica-deliciosa.html" TargetMode="External"/><Relationship Id="rId60" Type="http://schemas.openxmlformats.org/officeDocument/2006/relationships/hyperlink" Target="https://www.tudogostoso.com.br/receita/3004-bolo-de-fuba-com-goiabada.html" TargetMode="External"/><Relationship Id="rId65" Type="http://schemas.openxmlformats.org/officeDocument/2006/relationships/hyperlink" Target="https://www.tudogostoso.com.br/receita/11252-bolo-de-liquidificador.html" TargetMode="External"/><Relationship Id="rId81" Type="http://schemas.openxmlformats.org/officeDocument/2006/relationships/hyperlink" Target="https://www.tudogostoso.com.br/receita/94434-cookie-americano-perfeito.html" TargetMode="External"/><Relationship Id="rId86" Type="http://schemas.openxmlformats.org/officeDocument/2006/relationships/hyperlink" Target="https://www.tudogostoso.com.br/receita/2085-yakissoba-da-casa.html" TargetMode="External"/><Relationship Id="rId130" Type="http://schemas.openxmlformats.org/officeDocument/2006/relationships/hyperlink" Target="https://www.tudogostoso.com.br/receita/2532-bolo-de-cenoura-com-cobertura-de-chocolate.html" TargetMode="External"/><Relationship Id="rId135" Type="http://schemas.openxmlformats.org/officeDocument/2006/relationships/hyperlink" Target="https://www.tudogostoso.com.br/receita/1117-mousse-de-chocolate.html" TargetMode="External"/><Relationship Id="rId13" Type="http://schemas.openxmlformats.org/officeDocument/2006/relationships/hyperlink" Target="https://www.tudogostoso.com.br/receita/62547-a-melhor-receita-de-bolo-de-chocolate.html" TargetMode="External"/><Relationship Id="rId18" Type="http://schemas.openxmlformats.org/officeDocument/2006/relationships/hyperlink" Target="https://www.tudogostoso.com.br/receita/155693-mousse-de-limao-rapido.html" TargetMode="External"/><Relationship Id="rId39" Type="http://schemas.openxmlformats.org/officeDocument/2006/relationships/hyperlink" Target="https://www.tudogostoso.com.br/receita/16-mousse-de-maracuja-facil.html" TargetMode="External"/><Relationship Id="rId109" Type="http://schemas.openxmlformats.org/officeDocument/2006/relationships/hyperlink" Target="https://www.tudogostoso.com.br/receita/109052-file-de-peixe-assado.html" TargetMode="External"/><Relationship Id="rId34" Type="http://schemas.openxmlformats.org/officeDocument/2006/relationships/hyperlink" Target="https://www.tudogostoso.com.br/receita/9614-bolo-de-chocolate-de-liquidificador.html" TargetMode="External"/><Relationship Id="rId50" Type="http://schemas.openxmlformats.org/officeDocument/2006/relationships/hyperlink" Target="https://www.tudogostoso.com.br/receita/139339-bolo-pega-marido.html" TargetMode="External"/><Relationship Id="rId55" Type="http://schemas.openxmlformats.org/officeDocument/2006/relationships/hyperlink" Target="https://www.tudogostoso.com.br/receita/113143-massa-de-panqueca-simples.html" TargetMode="External"/><Relationship Id="rId76" Type="http://schemas.openxmlformats.org/officeDocument/2006/relationships/hyperlink" Target="https://www.tudogostoso.com.br/receita/4255-panqueca.html" TargetMode="External"/><Relationship Id="rId97" Type="http://schemas.openxmlformats.org/officeDocument/2006/relationships/hyperlink" Target="https://www.tudogostoso.com.br/receita/1348-nhoque-de-batata.html" TargetMode="External"/><Relationship Id="rId104" Type="http://schemas.openxmlformats.org/officeDocument/2006/relationships/hyperlink" Target="https://www.tudogostoso.com.br/receita/38-molho-branco.html" TargetMode="External"/><Relationship Id="rId120" Type="http://schemas.openxmlformats.org/officeDocument/2006/relationships/hyperlink" Target="https://www.tudogostoso.com.br/receita/28-arroz-a-grega.html" TargetMode="External"/><Relationship Id="rId125" Type="http://schemas.openxmlformats.org/officeDocument/2006/relationships/hyperlink" Target="https://www.tudogostoso.com.br/receita/6796-bolo-de-laranja-com-casca.html" TargetMode="External"/><Relationship Id="rId7" Type="http://schemas.openxmlformats.org/officeDocument/2006/relationships/hyperlink" Target="https://www.tudogostoso.com.br/receita/3687-pudim-de-leite-condensado.html" TargetMode="External"/><Relationship Id="rId71" Type="http://schemas.openxmlformats.org/officeDocument/2006/relationships/hyperlink" Target="https://www.tudogostoso.com.br/receita/7269-pipoca-doce.html" TargetMode="External"/><Relationship Id="rId92" Type="http://schemas.openxmlformats.org/officeDocument/2006/relationships/hyperlink" Target="https://www.tudogostoso.com.br/receita/1045-pudim-de-leite-moca.html" TargetMode="External"/><Relationship Id="rId2" Type="http://schemas.openxmlformats.org/officeDocument/2006/relationships/hyperlink" Target="https://www.tudogostoso.com.br/receita/2313-bolo-gelado.html" TargetMode="External"/><Relationship Id="rId29" Type="http://schemas.openxmlformats.org/officeDocument/2006/relationships/hyperlink" Target="https://www.tudogostoso.com.br/receita/53203-torta-de-frango-de-liquidificador-deliciosa-e-facil.html" TargetMode="External"/><Relationship Id="rId24" Type="http://schemas.openxmlformats.org/officeDocument/2006/relationships/hyperlink" Target="https://www.tudogostoso.com.br/receita/51484-bolo-prestigio.html" TargetMode="External"/><Relationship Id="rId40" Type="http://schemas.openxmlformats.org/officeDocument/2006/relationships/hyperlink" Target="https://www.tudogostoso.com.br/receita/144162-bolo-de-fuba-super-fofo.html" TargetMode="External"/><Relationship Id="rId45" Type="http://schemas.openxmlformats.org/officeDocument/2006/relationships/hyperlink" Target="https://www.tudogostoso.com.br/receita/612-pave-de-bis.html" TargetMode="External"/><Relationship Id="rId66" Type="http://schemas.openxmlformats.org/officeDocument/2006/relationships/hyperlink" Target="https://www.tudogostoso.com.br/receita/1558-pudim-de-pao.html" TargetMode="External"/><Relationship Id="rId87" Type="http://schemas.openxmlformats.org/officeDocument/2006/relationships/hyperlink" Target="https://www.tudogostoso.com.br/receita/104383-torta-de-limao.html" TargetMode="External"/><Relationship Id="rId110" Type="http://schemas.openxmlformats.org/officeDocument/2006/relationships/hyperlink" Target="https://www.tudogostoso.com.br/receita/100781-bolo-de-banana-e-aveia.html" TargetMode="External"/><Relationship Id="rId115" Type="http://schemas.openxmlformats.org/officeDocument/2006/relationships/hyperlink" Target="https://www.tudogostoso.com.br/receita/712-risolis.html" TargetMode="External"/><Relationship Id="rId131" Type="http://schemas.openxmlformats.org/officeDocument/2006/relationships/hyperlink" Target="https://www.tudogostoso.com.br/receita/74231-bolo-salgado-de-pao-de-forma-e-frango.html" TargetMode="External"/><Relationship Id="rId61" Type="http://schemas.openxmlformats.org/officeDocument/2006/relationships/hyperlink" Target="https://www.tudogostoso.com.br/receita/592-brigadeirao.html" TargetMode="External"/><Relationship Id="rId82" Type="http://schemas.openxmlformats.org/officeDocument/2006/relationships/hyperlink" Target="https://www.tudogostoso.com.br/receita/1650-bolo-de-milho.html" TargetMode="External"/><Relationship Id="rId19" Type="http://schemas.openxmlformats.org/officeDocument/2006/relationships/hyperlink" Target="https://www.tudogostoso.com.br/receita/93498-pizza-de-liquidificador-facil.html" TargetMode="External"/><Relationship Id="rId14" Type="http://schemas.openxmlformats.org/officeDocument/2006/relationships/hyperlink" Target="https://www.tudogostoso.com.br/receita/1316-panquecas-receita-da-vovo.html" TargetMode="External"/><Relationship Id="rId30" Type="http://schemas.openxmlformats.org/officeDocument/2006/relationships/hyperlink" Target="https://www.tudogostoso.com.br/receita/6662-creme-de-milho.html" TargetMode="External"/><Relationship Id="rId35" Type="http://schemas.openxmlformats.org/officeDocument/2006/relationships/hyperlink" Target="https://www.tudogostoso.com.br/receita/1600-torta-salgada-de-liquidificador.html" TargetMode="External"/><Relationship Id="rId56" Type="http://schemas.openxmlformats.org/officeDocument/2006/relationships/hyperlink" Target="https://www.tudogostoso.com.br/receita/33-chocolate-quente-especial.html" TargetMode="External"/><Relationship Id="rId77" Type="http://schemas.openxmlformats.org/officeDocument/2006/relationships/hyperlink" Target="https://www.tudogostoso.com.br/receita/59066-bolo-de-cenoura-com-calda-de-chocolate-que-derrete-na-boca.html" TargetMode="External"/><Relationship Id="rId100" Type="http://schemas.openxmlformats.org/officeDocument/2006/relationships/hyperlink" Target="https://www.tudogostoso.com.br/receita/1278-frango-cremoso.html" TargetMode="External"/><Relationship Id="rId105" Type="http://schemas.openxmlformats.org/officeDocument/2006/relationships/hyperlink" Target="https://www.tudogostoso.com.br/receita/68-biscoitos-amanteigados.html" TargetMode="External"/><Relationship Id="rId126" Type="http://schemas.openxmlformats.org/officeDocument/2006/relationships/hyperlink" Target="https://www.tudogostoso.com.br/receita/11217-lasanha-de-frango-com-queijo.html" TargetMode="External"/><Relationship Id="rId8" Type="http://schemas.openxmlformats.org/officeDocument/2006/relationships/hyperlink" Target="https://www.tudogostoso.com.br/receita/29124-bolo-simples.html" TargetMode="External"/><Relationship Id="rId51" Type="http://schemas.openxmlformats.org/officeDocument/2006/relationships/hyperlink" Target="https://www.tudogostoso.com.br/receita/25518-bolo-de-fuba-de-liquidificador.html" TargetMode="External"/><Relationship Id="rId72" Type="http://schemas.openxmlformats.org/officeDocument/2006/relationships/hyperlink" Target="https://www.tudogostoso.com.br/receita/79996-pao-de-queijo-3-ingredientes.html" TargetMode="External"/><Relationship Id="rId93" Type="http://schemas.openxmlformats.org/officeDocument/2006/relationships/hyperlink" Target="https://www.tudogostoso.com.br/receita/136814-escondidinho-de-carne-moida.html" TargetMode="External"/><Relationship Id="rId98" Type="http://schemas.openxmlformats.org/officeDocument/2006/relationships/hyperlink" Target="https://www.tudogostoso.com.br/receita/116-gratinado-de-frango.html" TargetMode="External"/><Relationship Id="rId121" Type="http://schemas.openxmlformats.org/officeDocument/2006/relationships/hyperlink" Target="https://www.tudogostoso.com.br/receita/64879-almondegas.html" TargetMode="External"/><Relationship Id="rId3" Type="http://schemas.openxmlformats.org/officeDocument/2006/relationships/hyperlink" Target="https://www.tudogostoso.com.br/receita/1362-torta-de-liquidificador.html" TargetMode="External"/><Relationship Id="rId25" Type="http://schemas.openxmlformats.org/officeDocument/2006/relationships/hyperlink" Target="https://www.tudogostoso.com.br/receita/73135-brigadeirao-rapido-e-facil.html" TargetMode="External"/><Relationship Id="rId46" Type="http://schemas.openxmlformats.org/officeDocument/2006/relationships/hyperlink" Target="https://www.tudogostoso.com.br/receita/138603-misto-quente-de-forno-a-minha-moda.html" TargetMode="External"/><Relationship Id="rId67" Type="http://schemas.openxmlformats.org/officeDocument/2006/relationships/hyperlink" Target="https://www.tudogostoso.com.br/receita/5966-arroz-doce-verdadeiro.html" TargetMode="External"/><Relationship Id="rId116" Type="http://schemas.openxmlformats.org/officeDocument/2006/relationships/hyperlink" Target="https://www.tudogostoso.com.br/receita/1443-pao-de-queijo.html" TargetMode="External"/><Relationship Id="rId20" Type="http://schemas.openxmlformats.org/officeDocument/2006/relationships/hyperlink" Target="https://www.tudogostoso.com.br/receita/140770-doce-gelado-de-coco-com-chocolate.html" TargetMode="External"/><Relationship Id="rId41" Type="http://schemas.openxmlformats.org/officeDocument/2006/relationships/hyperlink" Target="https://www.tudogostoso.com.br/receita/324-massa-de-pizza.html" TargetMode="External"/><Relationship Id="rId62" Type="http://schemas.openxmlformats.org/officeDocument/2006/relationships/hyperlink" Target="https://www.tudogostoso.com.br/receita/897-frango-xadrez.html" TargetMode="External"/><Relationship Id="rId83" Type="http://schemas.openxmlformats.org/officeDocument/2006/relationships/hyperlink" Target="https://www.tudogostoso.com.br/receita/85429-bolo-de-laranja-de-liquidificador.html" TargetMode="External"/><Relationship Id="rId88" Type="http://schemas.openxmlformats.org/officeDocument/2006/relationships/hyperlink" Target="https://www.tudogostoso.com.br/receita/456-brigadeiro-de-micro-ondas.html" TargetMode="External"/><Relationship Id="rId111" Type="http://schemas.openxmlformats.org/officeDocument/2006/relationships/hyperlink" Target="https://www.tudogostoso.com.br/receita/178357-pao-caseiro.html" TargetMode="External"/><Relationship Id="rId132" Type="http://schemas.openxmlformats.org/officeDocument/2006/relationships/hyperlink" Target="https://www.tudogostoso.com.br/receita/37290-churros.html" TargetMode="External"/><Relationship Id="rId15" Type="http://schemas.openxmlformats.org/officeDocument/2006/relationships/hyperlink" Target="https://www.tudogostoso.com.br/receita/79-bolo-de-fuba-da-vo-maria.html" TargetMode="External"/><Relationship Id="rId36" Type="http://schemas.openxmlformats.org/officeDocument/2006/relationships/hyperlink" Target="https://www.tudogostoso.com.br/receita/876-lasanha-de-carne-moida.html" TargetMode="External"/><Relationship Id="rId57" Type="http://schemas.openxmlformats.org/officeDocument/2006/relationships/hyperlink" Target="https://www.tudogostoso.com.br/receita/9031-caldo-verde.html" TargetMode="External"/><Relationship Id="rId106" Type="http://schemas.openxmlformats.org/officeDocument/2006/relationships/hyperlink" Target="https://www.tudogostoso.com.br/receita/1106-camarao-na-moranga.html" TargetMode="External"/><Relationship Id="rId127" Type="http://schemas.openxmlformats.org/officeDocument/2006/relationships/hyperlink" Target="https://www.tudogostoso.com.br/receita/188775-bolo-de-cenoura-fofinho.html" TargetMode="External"/><Relationship Id="rId10" Type="http://schemas.openxmlformats.org/officeDocument/2006/relationships/hyperlink" Target="https://www.tudogostoso.com.br/receita/1282-torta-de-frango.html" TargetMode="External"/><Relationship Id="rId31" Type="http://schemas.openxmlformats.org/officeDocument/2006/relationships/hyperlink" Target="https://www.tudogostoso.com.br/receita/13110-panqueca-americana.html" TargetMode="External"/><Relationship Id="rId52" Type="http://schemas.openxmlformats.org/officeDocument/2006/relationships/hyperlink" Target="https://www.tudogostoso.com.br/receita/31593-pudim-de-leite-condensado.html" TargetMode="External"/><Relationship Id="rId73" Type="http://schemas.openxmlformats.org/officeDocument/2006/relationships/hyperlink" Target="https://www.tudogostoso.com.br/receita/114041-arroz-de-forma.html" TargetMode="External"/><Relationship Id="rId78" Type="http://schemas.openxmlformats.org/officeDocument/2006/relationships/hyperlink" Target="https://www.tudogostoso.com.br/receita/6179-petit-gateau.html" TargetMode="External"/><Relationship Id="rId94" Type="http://schemas.openxmlformats.org/officeDocument/2006/relationships/hyperlink" Target="https://www.tudogostoso.com.br/receita/538-bolinhos-de-chuva.html" TargetMode="External"/><Relationship Id="rId99" Type="http://schemas.openxmlformats.org/officeDocument/2006/relationships/hyperlink" Target="https://www.tudogostoso.com.br/receita/7201-joelho.html" TargetMode="External"/><Relationship Id="rId101" Type="http://schemas.openxmlformats.org/officeDocument/2006/relationships/hyperlink" Target="https://www.tudogostoso.com.br/receita/249-picanha-ao-forno-com-sal-grosso.html" TargetMode="External"/><Relationship Id="rId122" Type="http://schemas.openxmlformats.org/officeDocument/2006/relationships/hyperlink" Target="https://www.tudogostoso.com.br/receita/15150-coxinha.html" TargetMode="External"/><Relationship Id="rId4" Type="http://schemas.openxmlformats.org/officeDocument/2006/relationships/hyperlink" Target="https://www.tudogostoso.com.br/receita/10254-fricasse-de-frango.html" TargetMode="External"/><Relationship Id="rId9" Type="http://schemas.openxmlformats.org/officeDocument/2006/relationships/hyperlink" Target="https://www.tudogostoso.com.br/receita/4683-bolinho-de-chuva.html" TargetMode="External"/><Relationship Id="rId26" Type="http://schemas.openxmlformats.org/officeDocument/2006/relationships/hyperlink" Target="https://www.tudogostoso.com.br/receita/2462-strogonoff-de-frango.html" TargetMode="External"/><Relationship Id="rId47" Type="http://schemas.openxmlformats.org/officeDocument/2006/relationships/hyperlink" Target="https://www.tudogostoso.com.br/receita/1511-pao-segura-marido.html" TargetMode="External"/><Relationship Id="rId68" Type="http://schemas.openxmlformats.org/officeDocument/2006/relationships/hyperlink" Target="https://www.tudogostoso.com.br/receita/431-nhoque-facil.html" TargetMode="External"/><Relationship Id="rId89" Type="http://schemas.openxmlformats.org/officeDocument/2006/relationships/hyperlink" Target="https://www.tudogostoso.com.br/receita/2082-bolinha-de-queijo.html" TargetMode="External"/><Relationship Id="rId112" Type="http://schemas.openxmlformats.org/officeDocument/2006/relationships/hyperlink" Target="https://www.tudogostoso.com.br/receita/1408-strogonoff-de-carne.html" TargetMode="External"/><Relationship Id="rId133" Type="http://schemas.openxmlformats.org/officeDocument/2006/relationships/hyperlink" Target="https://www.tudogostoso.com.br/receita/15939-pave-de-chocolate.html"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tudogostoso.com.br/receita/53631-bolo-de-cenoura-fofinho.html" TargetMode="External"/><Relationship Id="rId21" Type="http://schemas.openxmlformats.org/officeDocument/2006/relationships/hyperlink" Target="https://www.tudogostoso.com.br/receita/9589-pao-caseiro.html" TargetMode="External"/><Relationship Id="rId42" Type="http://schemas.openxmlformats.org/officeDocument/2006/relationships/hyperlink" Target="https://www.tudogostoso.com.br/receita/76049-bolinho-de-chuva.html" TargetMode="External"/><Relationship Id="rId63" Type="http://schemas.openxmlformats.org/officeDocument/2006/relationships/hyperlink" Target="https://www.tudogostoso.com.br/receita/1598-rocambole-de-carne-moida-maravilhoso.html" TargetMode="External"/><Relationship Id="rId84" Type="http://schemas.openxmlformats.org/officeDocument/2006/relationships/hyperlink" Target="https://www.tudogostoso.com.br/receita/59-pure-de-batata.html" TargetMode="External"/><Relationship Id="rId16" Type="http://schemas.openxmlformats.org/officeDocument/2006/relationships/hyperlink" Target="https://www.tudogostoso.com.br/receita/130871-chocolate-quente-cremoso.html" TargetMode="External"/><Relationship Id="rId107" Type="http://schemas.openxmlformats.org/officeDocument/2006/relationships/hyperlink" Target="https://www.tudogostoso.com.br/receita/2477-pastel-de-forno.html" TargetMode="External"/><Relationship Id="rId11" Type="http://schemas.openxmlformats.org/officeDocument/2006/relationships/hyperlink" Target="https://www.tudogostoso.com.br/receita/19728-danoninho-caseiro.html" TargetMode="External"/><Relationship Id="rId32" Type="http://schemas.openxmlformats.org/officeDocument/2006/relationships/hyperlink" Target="https://www.tudogostoso.com.br/receita/8072-molho-branco-para-macarrao.html" TargetMode="External"/><Relationship Id="rId37" Type="http://schemas.openxmlformats.org/officeDocument/2006/relationships/hyperlink" Target="https://www.tudogostoso.com.br/receita/8054-empadao-de-frango-delicioso.html" TargetMode="External"/><Relationship Id="rId53" Type="http://schemas.openxmlformats.org/officeDocument/2006/relationships/hyperlink" Target="https://www.tudogostoso.com.br/receita/109535-bolo-de-maca-de-liquidificador-o-melhor-do-mundo.html" TargetMode="External"/><Relationship Id="rId58" Type="http://schemas.openxmlformats.org/officeDocument/2006/relationships/hyperlink" Target="https://www.tudogostoso.com.br/receita/4224-bolinho-de-arroz.html" TargetMode="External"/><Relationship Id="rId74" Type="http://schemas.openxmlformats.org/officeDocument/2006/relationships/hyperlink" Target="https://www.tudogostoso.com.br/receita/2513-mousse-de-chocolate.html" TargetMode="External"/><Relationship Id="rId79" Type="http://schemas.openxmlformats.org/officeDocument/2006/relationships/hyperlink" Target="https://www.tudogostoso.com.br/receita/49802-bombom-de-travessa.html" TargetMode="External"/><Relationship Id="rId102" Type="http://schemas.openxmlformats.org/officeDocument/2006/relationships/hyperlink" Target="https://www.tudogostoso.com.br/receita/80342-biscoito-de-maisena.html" TargetMode="External"/><Relationship Id="rId123" Type="http://schemas.openxmlformats.org/officeDocument/2006/relationships/hyperlink" Target="https://www.tudogostoso.com.br/receita/38921-gelatina-ao-creme-com-morangos.html" TargetMode="External"/><Relationship Id="rId128" Type="http://schemas.openxmlformats.org/officeDocument/2006/relationships/hyperlink" Target="https://www.tudogostoso.com.br/receita/18593-a-mousse-de-maracuja.html" TargetMode="External"/><Relationship Id="rId5" Type="http://schemas.openxmlformats.org/officeDocument/2006/relationships/hyperlink" Target="https://www.tudogostoso.com.br/receita/951-bolo-de-chocolate-molhadinho.html" TargetMode="External"/><Relationship Id="rId90" Type="http://schemas.openxmlformats.org/officeDocument/2006/relationships/hyperlink" Target="https://www.tudogostoso.com.br/receita/4730-sorvete-facil.html" TargetMode="External"/><Relationship Id="rId95" Type="http://schemas.openxmlformats.org/officeDocument/2006/relationships/hyperlink" Target="https://www.tudogostoso.com.br/receita/55-bife-a-milanesa.html" TargetMode="External"/><Relationship Id="rId22" Type="http://schemas.openxmlformats.org/officeDocument/2006/relationships/hyperlink" Target="https://www.tudogostoso.com.br/receita/119737-bolo-de-banana-rapido-de-liquidificador.html" TargetMode="External"/><Relationship Id="rId27" Type="http://schemas.openxmlformats.org/officeDocument/2006/relationships/hyperlink" Target="https://www.tudogostoso.com.br/receita/1599-mousse-de-maracuja.html" TargetMode="External"/><Relationship Id="rId43" Type="http://schemas.openxmlformats.org/officeDocument/2006/relationships/hyperlink" Target="https://www.tudogostoso.com.br/receita/2211-torta-de-banana-rapida.html" TargetMode="External"/><Relationship Id="rId48" Type="http://schemas.openxmlformats.org/officeDocument/2006/relationships/hyperlink" Target="https://www.tudogostoso.com.br/receita/60429-bolo-de-caneca-micro-ondas.html" TargetMode="External"/><Relationship Id="rId64" Type="http://schemas.openxmlformats.org/officeDocument/2006/relationships/hyperlink" Target="https://www.tudogostoso.com.br/receita/9254-bolo-de-fuba.html" TargetMode="External"/><Relationship Id="rId69" Type="http://schemas.openxmlformats.org/officeDocument/2006/relationships/hyperlink" Target="https://www.tudogostoso.com.br/receita/69649-brigadeiro-sem-leite-condensado.html" TargetMode="External"/><Relationship Id="rId113" Type="http://schemas.openxmlformats.org/officeDocument/2006/relationships/hyperlink" Target="https://www.tudogostoso.com.br/receita/44278-bolo-de-fuba-simples-mas-maravilhoso.html" TargetMode="External"/><Relationship Id="rId118" Type="http://schemas.openxmlformats.org/officeDocument/2006/relationships/hyperlink" Target="https://www.tudogostoso.com.br/receita/3114-lanche-rapido.html" TargetMode="External"/><Relationship Id="rId134" Type="http://schemas.openxmlformats.org/officeDocument/2006/relationships/hyperlink" Target="https://www.tudogostoso.com.br/receita/44199-molho-branco-simples.html" TargetMode="External"/><Relationship Id="rId80" Type="http://schemas.openxmlformats.org/officeDocument/2006/relationships/hyperlink" Target="https://www.tudogostoso.com.br/receita/3623-brigadeirao-de-micro-ondas.html" TargetMode="External"/><Relationship Id="rId85" Type="http://schemas.openxmlformats.org/officeDocument/2006/relationships/hyperlink" Target="https://www.tudogostoso.com.br/receita/91302-frango-ao-creme-de-milho.html" TargetMode="External"/><Relationship Id="rId12" Type="http://schemas.openxmlformats.org/officeDocument/2006/relationships/hyperlink" Target="https://www.tudogostoso.com.br/receita/114-brigadeiro.html" TargetMode="External"/><Relationship Id="rId17" Type="http://schemas.openxmlformats.org/officeDocument/2006/relationships/hyperlink" Target="https://www.tudogostoso.com.br/receita/3468-bolo-de-fuba-cremoso.html" TargetMode="External"/><Relationship Id="rId33" Type="http://schemas.openxmlformats.org/officeDocument/2006/relationships/hyperlink" Target="https://www.tudogostoso.com.br/receita/35829-pao-caseiro-rapido-e-fofo.html" TargetMode="External"/><Relationship Id="rId38" Type="http://schemas.openxmlformats.org/officeDocument/2006/relationships/hyperlink" Target="https://www.tudogostoso.com.br/receita/143393-bolo-de-milho-de-lata-no-liquidificador.html" TargetMode="External"/><Relationship Id="rId59" Type="http://schemas.openxmlformats.org/officeDocument/2006/relationships/hyperlink" Target="https://www.tudogostoso.com.br/receita/82681-massa-de-panqueca.html" TargetMode="External"/><Relationship Id="rId103" Type="http://schemas.openxmlformats.org/officeDocument/2006/relationships/hyperlink" Target="https://www.tudogostoso.com.br/receita/20768-escondidinho-de-carne-seca.html" TargetMode="External"/><Relationship Id="rId108" Type="http://schemas.openxmlformats.org/officeDocument/2006/relationships/hyperlink" Target="https://www.tudogostoso.com.br/receita/80686-massa-de-coxinha-facil-da-andriele.html" TargetMode="External"/><Relationship Id="rId124" Type="http://schemas.openxmlformats.org/officeDocument/2006/relationships/hyperlink" Target="https://www.tudogostoso.com.br/receita/2608-bolo-pao-de-lo.html" TargetMode="External"/><Relationship Id="rId129" Type="http://schemas.openxmlformats.org/officeDocument/2006/relationships/hyperlink" Target="https://www.tudogostoso.com.br/receita/2228-pao-de-queijo-mineiro.html" TargetMode="External"/><Relationship Id="rId54" Type="http://schemas.openxmlformats.org/officeDocument/2006/relationships/hyperlink" Target="https://www.tudogostoso.com.br/receita/1438-carne-de-panela-de-pressao.html" TargetMode="External"/><Relationship Id="rId70" Type="http://schemas.openxmlformats.org/officeDocument/2006/relationships/hyperlink" Target="https://www.tudogostoso.com.br/receita/1412-torta-alema-facil-simples-e-deliciosa.html" TargetMode="External"/><Relationship Id="rId75" Type="http://schemas.openxmlformats.org/officeDocument/2006/relationships/hyperlink" Target="https://www.tudogostoso.com.br/receita/112-bobo-de-camarao.html" TargetMode="External"/><Relationship Id="rId91" Type="http://schemas.openxmlformats.org/officeDocument/2006/relationships/hyperlink" Target="https://www.tudogostoso.com.br/receita/2921-leite-condensado-caseiro.html" TargetMode="External"/><Relationship Id="rId96" Type="http://schemas.openxmlformats.org/officeDocument/2006/relationships/hyperlink" Target="https://www.tudogostoso.com.br/receita/11659-brownie-super-facil.html" TargetMode="External"/><Relationship Id="rId1" Type="http://schemas.openxmlformats.org/officeDocument/2006/relationships/hyperlink" Target="https://www.tudogostoso.com.br/receita/23-bolo-de-cenoura.html" TargetMode="External"/><Relationship Id="rId6" Type="http://schemas.openxmlformats.org/officeDocument/2006/relationships/hyperlink" Target="https://www.tudogostoso.com.br/receita/760-panqueca-de-carne-moida.html" TargetMode="External"/><Relationship Id="rId23" Type="http://schemas.openxmlformats.org/officeDocument/2006/relationships/hyperlink" Target="https://www.tudogostoso.com.br/receita/1621-mousse-de-limao.html" TargetMode="External"/><Relationship Id="rId28" Type="http://schemas.openxmlformats.org/officeDocument/2006/relationships/hyperlink" Target="https://www.tudogostoso.com.br/receita/94018-bolo-de-milho-cremoso.html" TargetMode="External"/><Relationship Id="rId49" Type="http://schemas.openxmlformats.org/officeDocument/2006/relationships/hyperlink" Target="https://www.tudogostoso.com.br/receita/41516-bolo-de-banana-caramelada.html" TargetMode="External"/><Relationship Id="rId114" Type="http://schemas.openxmlformats.org/officeDocument/2006/relationships/hyperlink" Target="https://www.tudogostoso.com.br/receita/24-bolo-de-laranja.html" TargetMode="External"/><Relationship Id="rId119" Type="http://schemas.openxmlformats.org/officeDocument/2006/relationships/hyperlink" Target="https://www.tudogostoso.com.br/receita/735-docinho-de-leite-ninho.html" TargetMode="External"/><Relationship Id="rId44" Type="http://schemas.openxmlformats.org/officeDocument/2006/relationships/hyperlink" Target="https://www.tudogostoso.com.br/receita/1363-coxinha-pratica-deliciosa.html" TargetMode="External"/><Relationship Id="rId60" Type="http://schemas.openxmlformats.org/officeDocument/2006/relationships/hyperlink" Target="https://www.tudogostoso.com.br/receita/3004-bolo-de-fuba-com-goiabada.html" TargetMode="External"/><Relationship Id="rId65" Type="http://schemas.openxmlformats.org/officeDocument/2006/relationships/hyperlink" Target="https://www.tudogostoso.com.br/receita/11252-bolo-de-liquidificador.html" TargetMode="External"/><Relationship Id="rId81" Type="http://schemas.openxmlformats.org/officeDocument/2006/relationships/hyperlink" Target="https://www.tudogostoso.com.br/receita/94434-cookie-americano-perfeito.html" TargetMode="External"/><Relationship Id="rId86" Type="http://schemas.openxmlformats.org/officeDocument/2006/relationships/hyperlink" Target="https://www.tudogostoso.com.br/receita/2085-yakissoba-da-casa.html" TargetMode="External"/><Relationship Id="rId130" Type="http://schemas.openxmlformats.org/officeDocument/2006/relationships/hyperlink" Target="https://www.tudogostoso.com.br/receita/2532-bolo-de-cenoura-com-cobertura-de-chocolate.html" TargetMode="External"/><Relationship Id="rId135" Type="http://schemas.openxmlformats.org/officeDocument/2006/relationships/hyperlink" Target="https://www.tudogostoso.com.br/receita/1117-mousse-de-chocolate.html" TargetMode="External"/><Relationship Id="rId13" Type="http://schemas.openxmlformats.org/officeDocument/2006/relationships/hyperlink" Target="https://www.tudogostoso.com.br/receita/62547-a-melhor-receita-de-bolo-de-chocolate.html" TargetMode="External"/><Relationship Id="rId18" Type="http://schemas.openxmlformats.org/officeDocument/2006/relationships/hyperlink" Target="https://www.tudogostoso.com.br/receita/155693-mousse-de-limao-rapido.html" TargetMode="External"/><Relationship Id="rId39" Type="http://schemas.openxmlformats.org/officeDocument/2006/relationships/hyperlink" Target="https://www.tudogostoso.com.br/receita/16-mousse-de-maracuja-facil.html" TargetMode="External"/><Relationship Id="rId109" Type="http://schemas.openxmlformats.org/officeDocument/2006/relationships/hyperlink" Target="https://www.tudogostoso.com.br/receita/109052-file-de-peixe-assado.html" TargetMode="External"/><Relationship Id="rId34" Type="http://schemas.openxmlformats.org/officeDocument/2006/relationships/hyperlink" Target="https://www.tudogostoso.com.br/receita/9614-bolo-de-chocolate-de-liquidificador.html" TargetMode="External"/><Relationship Id="rId50" Type="http://schemas.openxmlformats.org/officeDocument/2006/relationships/hyperlink" Target="https://www.tudogostoso.com.br/receita/139339-bolo-pega-marido.html" TargetMode="External"/><Relationship Id="rId55" Type="http://schemas.openxmlformats.org/officeDocument/2006/relationships/hyperlink" Target="https://www.tudogostoso.com.br/receita/113143-massa-de-panqueca-simples.html" TargetMode="External"/><Relationship Id="rId76" Type="http://schemas.openxmlformats.org/officeDocument/2006/relationships/hyperlink" Target="https://www.tudogostoso.com.br/receita/4255-panqueca.html" TargetMode="External"/><Relationship Id="rId97" Type="http://schemas.openxmlformats.org/officeDocument/2006/relationships/hyperlink" Target="https://www.tudogostoso.com.br/receita/1348-nhoque-de-batata.html" TargetMode="External"/><Relationship Id="rId104" Type="http://schemas.openxmlformats.org/officeDocument/2006/relationships/hyperlink" Target="https://www.tudogostoso.com.br/receita/38-molho-branco.html" TargetMode="External"/><Relationship Id="rId120" Type="http://schemas.openxmlformats.org/officeDocument/2006/relationships/hyperlink" Target="https://www.tudogostoso.com.br/receita/28-arroz-a-grega.html" TargetMode="External"/><Relationship Id="rId125" Type="http://schemas.openxmlformats.org/officeDocument/2006/relationships/hyperlink" Target="https://www.tudogostoso.com.br/receita/6796-bolo-de-laranja-com-casca.html" TargetMode="External"/><Relationship Id="rId7" Type="http://schemas.openxmlformats.org/officeDocument/2006/relationships/hyperlink" Target="https://www.tudogostoso.com.br/receita/3687-pudim-de-leite-condensado.html" TargetMode="External"/><Relationship Id="rId71" Type="http://schemas.openxmlformats.org/officeDocument/2006/relationships/hyperlink" Target="https://www.tudogostoso.com.br/receita/7269-pipoca-doce.html" TargetMode="External"/><Relationship Id="rId92" Type="http://schemas.openxmlformats.org/officeDocument/2006/relationships/hyperlink" Target="https://www.tudogostoso.com.br/receita/1045-pudim-de-leite-moca.html" TargetMode="External"/><Relationship Id="rId2" Type="http://schemas.openxmlformats.org/officeDocument/2006/relationships/hyperlink" Target="https://www.tudogostoso.com.br/receita/2313-bolo-gelado.html" TargetMode="External"/><Relationship Id="rId29" Type="http://schemas.openxmlformats.org/officeDocument/2006/relationships/hyperlink" Target="https://www.tudogostoso.com.br/receita/53203-torta-de-frango-de-liquidificador-deliciosa-e-facil.html" TargetMode="External"/><Relationship Id="rId24" Type="http://schemas.openxmlformats.org/officeDocument/2006/relationships/hyperlink" Target="https://www.tudogostoso.com.br/receita/51484-bolo-prestigio.html" TargetMode="External"/><Relationship Id="rId40" Type="http://schemas.openxmlformats.org/officeDocument/2006/relationships/hyperlink" Target="https://www.tudogostoso.com.br/receita/144162-bolo-de-fuba-super-fofo.html" TargetMode="External"/><Relationship Id="rId45" Type="http://schemas.openxmlformats.org/officeDocument/2006/relationships/hyperlink" Target="https://www.tudogostoso.com.br/receita/612-pave-de-bis.html" TargetMode="External"/><Relationship Id="rId66" Type="http://schemas.openxmlformats.org/officeDocument/2006/relationships/hyperlink" Target="https://www.tudogostoso.com.br/receita/1558-pudim-de-pao.html" TargetMode="External"/><Relationship Id="rId87" Type="http://schemas.openxmlformats.org/officeDocument/2006/relationships/hyperlink" Target="https://www.tudogostoso.com.br/receita/104383-torta-de-limao.html" TargetMode="External"/><Relationship Id="rId110" Type="http://schemas.openxmlformats.org/officeDocument/2006/relationships/hyperlink" Target="https://www.tudogostoso.com.br/receita/100781-bolo-de-banana-e-aveia.html" TargetMode="External"/><Relationship Id="rId115" Type="http://schemas.openxmlformats.org/officeDocument/2006/relationships/hyperlink" Target="https://www.tudogostoso.com.br/receita/712-risolis.html" TargetMode="External"/><Relationship Id="rId131" Type="http://schemas.openxmlformats.org/officeDocument/2006/relationships/hyperlink" Target="https://www.tudogostoso.com.br/receita/74231-bolo-salgado-de-pao-de-forma-e-frango.html" TargetMode="External"/><Relationship Id="rId61" Type="http://schemas.openxmlformats.org/officeDocument/2006/relationships/hyperlink" Target="https://www.tudogostoso.com.br/receita/592-brigadeirao.html" TargetMode="External"/><Relationship Id="rId82" Type="http://schemas.openxmlformats.org/officeDocument/2006/relationships/hyperlink" Target="https://www.tudogostoso.com.br/receita/1650-bolo-de-milho.html" TargetMode="External"/><Relationship Id="rId19" Type="http://schemas.openxmlformats.org/officeDocument/2006/relationships/hyperlink" Target="https://www.tudogostoso.com.br/receita/93498-pizza-de-liquidificador-facil.html" TargetMode="External"/><Relationship Id="rId14" Type="http://schemas.openxmlformats.org/officeDocument/2006/relationships/hyperlink" Target="https://www.tudogostoso.com.br/receita/1316-panquecas-receita-da-vovo.html" TargetMode="External"/><Relationship Id="rId30" Type="http://schemas.openxmlformats.org/officeDocument/2006/relationships/hyperlink" Target="https://www.tudogostoso.com.br/receita/6662-creme-de-milho.html" TargetMode="External"/><Relationship Id="rId35" Type="http://schemas.openxmlformats.org/officeDocument/2006/relationships/hyperlink" Target="https://www.tudogostoso.com.br/receita/1600-torta-salgada-de-liquidificador.html" TargetMode="External"/><Relationship Id="rId56" Type="http://schemas.openxmlformats.org/officeDocument/2006/relationships/hyperlink" Target="https://www.tudogostoso.com.br/receita/33-chocolate-quente-especial.html" TargetMode="External"/><Relationship Id="rId77" Type="http://schemas.openxmlformats.org/officeDocument/2006/relationships/hyperlink" Target="https://www.tudogostoso.com.br/receita/59066-bolo-de-cenoura-com-calda-de-chocolate-que-derrete-na-boca.html" TargetMode="External"/><Relationship Id="rId100" Type="http://schemas.openxmlformats.org/officeDocument/2006/relationships/hyperlink" Target="https://www.tudogostoso.com.br/receita/1278-frango-cremoso.html" TargetMode="External"/><Relationship Id="rId105" Type="http://schemas.openxmlformats.org/officeDocument/2006/relationships/hyperlink" Target="https://www.tudogostoso.com.br/receita/68-biscoitos-amanteigados.html" TargetMode="External"/><Relationship Id="rId126" Type="http://schemas.openxmlformats.org/officeDocument/2006/relationships/hyperlink" Target="https://www.tudogostoso.com.br/receita/11217-lasanha-de-frango-com-queijo.html" TargetMode="External"/><Relationship Id="rId8" Type="http://schemas.openxmlformats.org/officeDocument/2006/relationships/hyperlink" Target="https://www.tudogostoso.com.br/receita/29124-bolo-simples.html" TargetMode="External"/><Relationship Id="rId51" Type="http://schemas.openxmlformats.org/officeDocument/2006/relationships/hyperlink" Target="https://www.tudogostoso.com.br/receita/25518-bolo-de-fuba-de-liquidificador.html" TargetMode="External"/><Relationship Id="rId72" Type="http://schemas.openxmlformats.org/officeDocument/2006/relationships/hyperlink" Target="https://www.tudogostoso.com.br/receita/79996-pao-de-queijo-3-ingredientes.html" TargetMode="External"/><Relationship Id="rId93" Type="http://schemas.openxmlformats.org/officeDocument/2006/relationships/hyperlink" Target="https://www.tudogostoso.com.br/receita/136814-escondidinho-de-carne-moida.html" TargetMode="External"/><Relationship Id="rId98" Type="http://schemas.openxmlformats.org/officeDocument/2006/relationships/hyperlink" Target="https://www.tudogostoso.com.br/receita/116-gratinado-de-frango.html" TargetMode="External"/><Relationship Id="rId121" Type="http://schemas.openxmlformats.org/officeDocument/2006/relationships/hyperlink" Target="https://www.tudogostoso.com.br/receita/64879-almondegas.html" TargetMode="External"/><Relationship Id="rId3" Type="http://schemas.openxmlformats.org/officeDocument/2006/relationships/hyperlink" Target="https://www.tudogostoso.com.br/receita/1362-torta-de-liquidificador.html" TargetMode="External"/><Relationship Id="rId25" Type="http://schemas.openxmlformats.org/officeDocument/2006/relationships/hyperlink" Target="https://www.tudogostoso.com.br/receita/73135-brigadeirao-rapido-e-facil.html" TargetMode="External"/><Relationship Id="rId46" Type="http://schemas.openxmlformats.org/officeDocument/2006/relationships/hyperlink" Target="https://www.tudogostoso.com.br/receita/138603-misto-quente-de-forno-a-minha-moda.html" TargetMode="External"/><Relationship Id="rId67" Type="http://schemas.openxmlformats.org/officeDocument/2006/relationships/hyperlink" Target="https://www.tudogostoso.com.br/receita/5966-arroz-doce-verdadeiro.html" TargetMode="External"/><Relationship Id="rId116" Type="http://schemas.openxmlformats.org/officeDocument/2006/relationships/hyperlink" Target="https://www.tudogostoso.com.br/receita/1443-pao-de-queijo.html" TargetMode="External"/><Relationship Id="rId20" Type="http://schemas.openxmlformats.org/officeDocument/2006/relationships/hyperlink" Target="https://www.tudogostoso.com.br/receita/140770-doce-gelado-de-coco-com-chocolate.html" TargetMode="External"/><Relationship Id="rId41" Type="http://schemas.openxmlformats.org/officeDocument/2006/relationships/hyperlink" Target="https://www.tudogostoso.com.br/receita/324-massa-de-pizza.html" TargetMode="External"/><Relationship Id="rId62" Type="http://schemas.openxmlformats.org/officeDocument/2006/relationships/hyperlink" Target="https://www.tudogostoso.com.br/receita/897-frango-xadrez.html" TargetMode="External"/><Relationship Id="rId83" Type="http://schemas.openxmlformats.org/officeDocument/2006/relationships/hyperlink" Target="https://www.tudogostoso.com.br/receita/85429-bolo-de-laranja-de-liquidificador.html" TargetMode="External"/><Relationship Id="rId88" Type="http://schemas.openxmlformats.org/officeDocument/2006/relationships/hyperlink" Target="https://www.tudogostoso.com.br/receita/456-brigadeiro-de-micro-ondas.html" TargetMode="External"/><Relationship Id="rId111" Type="http://schemas.openxmlformats.org/officeDocument/2006/relationships/hyperlink" Target="https://www.tudogostoso.com.br/receita/178357-pao-caseiro.html" TargetMode="External"/><Relationship Id="rId132" Type="http://schemas.openxmlformats.org/officeDocument/2006/relationships/hyperlink" Target="https://www.tudogostoso.com.br/receita/37290-churros.html" TargetMode="External"/><Relationship Id="rId15" Type="http://schemas.openxmlformats.org/officeDocument/2006/relationships/hyperlink" Target="https://www.tudogostoso.com.br/receita/79-bolo-de-fuba-da-vo-maria.html" TargetMode="External"/><Relationship Id="rId36" Type="http://schemas.openxmlformats.org/officeDocument/2006/relationships/hyperlink" Target="https://www.tudogostoso.com.br/receita/876-lasanha-de-carne-moida.html" TargetMode="External"/><Relationship Id="rId57" Type="http://schemas.openxmlformats.org/officeDocument/2006/relationships/hyperlink" Target="https://www.tudogostoso.com.br/receita/9031-caldo-verde.html" TargetMode="External"/><Relationship Id="rId106" Type="http://schemas.openxmlformats.org/officeDocument/2006/relationships/hyperlink" Target="https://www.tudogostoso.com.br/receita/1106-camarao-na-moranga.html" TargetMode="External"/><Relationship Id="rId127" Type="http://schemas.openxmlformats.org/officeDocument/2006/relationships/hyperlink" Target="https://www.tudogostoso.com.br/receita/188775-bolo-de-cenoura-fofinho.html" TargetMode="External"/><Relationship Id="rId10" Type="http://schemas.openxmlformats.org/officeDocument/2006/relationships/hyperlink" Target="https://www.tudogostoso.com.br/receita/1282-torta-de-frango.html" TargetMode="External"/><Relationship Id="rId31" Type="http://schemas.openxmlformats.org/officeDocument/2006/relationships/hyperlink" Target="https://www.tudogostoso.com.br/receita/13110-panqueca-americana.html" TargetMode="External"/><Relationship Id="rId52" Type="http://schemas.openxmlformats.org/officeDocument/2006/relationships/hyperlink" Target="https://www.tudogostoso.com.br/receita/31593-pudim-de-leite-condensado.html" TargetMode="External"/><Relationship Id="rId73" Type="http://schemas.openxmlformats.org/officeDocument/2006/relationships/hyperlink" Target="https://www.tudogostoso.com.br/receita/114041-arroz-de-forma.html" TargetMode="External"/><Relationship Id="rId78" Type="http://schemas.openxmlformats.org/officeDocument/2006/relationships/hyperlink" Target="https://www.tudogostoso.com.br/receita/6179-petit-gateau.html" TargetMode="External"/><Relationship Id="rId94" Type="http://schemas.openxmlformats.org/officeDocument/2006/relationships/hyperlink" Target="https://www.tudogostoso.com.br/receita/538-bolinhos-de-chuva.html" TargetMode="External"/><Relationship Id="rId99" Type="http://schemas.openxmlformats.org/officeDocument/2006/relationships/hyperlink" Target="https://www.tudogostoso.com.br/receita/7201-joelho.html" TargetMode="External"/><Relationship Id="rId101" Type="http://schemas.openxmlformats.org/officeDocument/2006/relationships/hyperlink" Target="https://www.tudogostoso.com.br/receita/249-picanha-ao-forno-com-sal-grosso.html" TargetMode="External"/><Relationship Id="rId122" Type="http://schemas.openxmlformats.org/officeDocument/2006/relationships/hyperlink" Target="https://www.tudogostoso.com.br/receita/15150-coxinha.html" TargetMode="External"/><Relationship Id="rId4" Type="http://schemas.openxmlformats.org/officeDocument/2006/relationships/hyperlink" Target="https://www.tudogostoso.com.br/receita/10254-fricasse-de-frango.html" TargetMode="External"/><Relationship Id="rId9" Type="http://schemas.openxmlformats.org/officeDocument/2006/relationships/hyperlink" Target="https://www.tudogostoso.com.br/receita/4683-bolinho-de-chuva.html" TargetMode="External"/><Relationship Id="rId26" Type="http://schemas.openxmlformats.org/officeDocument/2006/relationships/hyperlink" Target="https://www.tudogostoso.com.br/receita/2462-strogonoff-de-frango.html" TargetMode="External"/><Relationship Id="rId47" Type="http://schemas.openxmlformats.org/officeDocument/2006/relationships/hyperlink" Target="https://www.tudogostoso.com.br/receita/1511-pao-segura-marido.html" TargetMode="External"/><Relationship Id="rId68" Type="http://schemas.openxmlformats.org/officeDocument/2006/relationships/hyperlink" Target="https://www.tudogostoso.com.br/receita/431-nhoque-facil.html" TargetMode="External"/><Relationship Id="rId89" Type="http://schemas.openxmlformats.org/officeDocument/2006/relationships/hyperlink" Target="https://www.tudogostoso.com.br/receita/2082-bolinha-de-queijo.html" TargetMode="External"/><Relationship Id="rId112" Type="http://schemas.openxmlformats.org/officeDocument/2006/relationships/hyperlink" Target="https://www.tudogostoso.com.br/receita/1408-strogonoff-de-carne.html" TargetMode="External"/><Relationship Id="rId133" Type="http://schemas.openxmlformats.org/officeDocument/2006/relationships/hyperlink" Target="https://www.tudogostoso.com.br/receita/15939-pave-de-chocolate.html"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26" Type="http://schemas.openxmlformats.org/officeDocument/2006/relationships/hyperlink" Target="https://biblioteca.ibge.gov.br/visualizacao/livros/liv50000.pdf" TargetMode="External"/><Relationship Id="rId21" Type="http://schemas.openxmlformats.org/officeDocument/2006/relationships/hyperlink" Target="https://www.aqua-calc.com/page/density-table/substance/tomato-blank-sauce-coma-and-blank-upc-column--blank-011110816351" TargetMode="External"/><Relationship Id="rId42" Type="http://schemas.openxmlformats.org/officeDocument/2006/relationships/hyperlink" Target="https://periodicos.utfpr.edu.br/rbta/article/viewFile/17567/10358" TargetMode="External"/><Relationship Id="rId47" Type="http://schemas.openxmlformats.org/officeDocument/2006/relationships/hyperlink" Target="https://www.aqua-calc.com/page/density-table/substance/worcestershire-blank-sauce-coma-and-blank-upc-column--blank-041512092442" TargetMode="External"/><Relationship Id="rId63" Type="http://schemas.openxmlformats.org/officeDocument/2006/relationships/hyperlink" Target="https://biblioteca.ibge.gov.br/visualizacao/livros/liv50000.pdf" TargetMode="External"/><Relationship Id="rId68" Type="http://schemas.openxmlformats.org/officeDocument/2006/relationships/hyperlink" Target="https://www.aqua-calc.com/page/density-table/substance/hot-blank-pepper-blank-sauce" TargetMode="External"/><Relationship Id="rId16" Type="http://schemas.openxmlformats.org/officeDocument/2006/relationships/hyperlink" Target="https://www.aqua-calc.com/page/density-table/substance/lime-blank-juice-coma-and-blank-raw" TargetMode="External"/><Relationship Id="rId11" Type="http://schemas.openxmlformats.org/officeDocument/2006/relationships/hyperlink" Target="https://pubchem.ncbi.nlm.nih.gov/compound/Olive-Oil" TargetMode="External"/><Relationship Id="rId24" Type="http://schemas.openxmlformats.org/officeDocument/2006/relationships/hyperlink" Target="https://www.fao.org/fileadmin/templates/food_composition/documents/density_DB_v2_0_01.pdf" TargetMode="External"/><Relationship Id="rId32" Type="http://schemas.openxmlformats.org/officeDocument/2006/relationships/hyperlink" Target="https://hannaone.com/Recipe/weightchili.html" TargetMode="External"/><Relationship Id="rId37" Type="http://schemas.openxmlformats.org/officeDocument/2006/relationships/hyperlink" Target="https://www.fao.org/fileadmin/templates/food_composition/documents/density_DB_v2_0_01.pdf" TargetMode="External"/><Relationship Id="rId40" Type="http://schemas.openxmlformats.org/officeDocument/2006/relationships/hyperlink" Target="https://biblioteca.ibge.gov.br/visualizacao/livros/liv50000.pdf" TargetMode="External"/><Relationship Id="rId45" Type="http://schemas.openxmlformats.org/officeDocument/2006/relationships/hyperlink" Target="https://www.fda.gov/food/nutrition-food-labeling-and-critical-foods/nutrition-information-raw-vegetables" TargetMode="External"/><Relationship Id="rId53" Type="http://schemas.openxmlformats.org/officeDocument/2006/relationships/hyperlink" Target="https://www.aqua-calc.com/page/density-table/substance/heinz-blank-tomato-blank-ketchup-coma-and-blank-upc-column--blank-00013000004664" TargetMode="External"/><Relationship Id="rId58" Type="http://schemas.openxmlformats.org/officeDocument/2006/relationships/hyperlink" Target="https://sistemasdeproducao.cnptia.embrapa.br/FontesHTML/Vinagre/SistemaProducaoVinagre/composicao.htm" TargetMode="External"/><Relationship Id="rId66" Type="http://schemas.openxmlformats.org/officeDocument/2006/relationships/hyperlink" Target="https://www.alibaba.com/product-insights/clove-spice-exact-measurements-cooking-ratios-bitterness-prevention-guide.html" TargetMode="External"/><Relationship Id="rId74" Type="http://schemas.openxmlformats.org/officeDocument/2006/relationships/hyperlink" Target="https://www.aqua-calc.com/page/density-table/substance/red-blank-chili-blank-flakes-coma-and-blank-upc-column--blank-016291441859" TargetMode="External"/><Relationship Id="rId79" Type="http://schemas.openxmlformats.org/officeDocument/2006/relationships/hyperlink" Target="https://www.alibaba.com/product-insights/how-much-ground-cinnamon-equals-one-stick-teaspoon-conversion.html" TargetMode="External"/><Relationship Id="rId5" Type="http://schemas.openxmlformats.org/officeDocument/2006/relationships/hyperlink" Target="https://biblioteca.ibge.gov.br/visualizacao/livros/liv50000.pdf" TargetMode="External"/><Relationship Id="rId61" Type="http://schemas.openxmlformats.org/officeDocument/2006/relationships/hyperlink" Target="https://www.aqua-calc.com/page/density-table/substance/smoked-blank-paprika-coma-and-blank-upc-column--blank-016291441842" TargetMode="External"/><Relationship Id="rId19" Type="http://schemas.openxmlformats.org/officeDocument/2006/relationships/hyperlink" Target="https://spo.nmfs.noaa.gov/sites/default/files/pdf-content/MFR/mfr408/mfr4084.pdf" TargetMode="External"/><Relationship Id="rId14" Type="http://schemas.openxmlformats.org/officeDocument/2006/relationships/hyperlink" Target="https://biblioteca.ibge.gov.br/visualizacao/livros/liv50000.pdf" TargetMode="External"/><Relationship Id="rId22" Type="http://schemas.openxmlformats.org/officeDocument/2006/relationships/hyperlink" Target="https://biblioteca.ibge.gov.br/visualizacao/livros/liv50000.pdf" TargetMode="External"/><Relationship Id="rId27" Type="http://schemas.openxmlformats.org/officeDocument/2006/relationships/hyperlink" Target="https://biblioteca.ibge.gov.br/visualizacao/livros/liv50000.pdf" TargetMode="External"/><Relationship Id="rId30" Type="http://schemas.openxmlformats.org/officeDocument/2006/relationships/hyperlink" Target="https://biblioteca.ibge.gov.br/visualizacao/livros/liv50000.pdf" TargetMode="External"/><Relationship Id="rId35" Type="http://schemas.openxmlformats.org/officeDocument/2006/relationships/hyperlink" Target="https://www.fao.org/fileadmin/templates/food_composition/documents/density_DB_v2_0_01.pdf" TargetMode="External"/><Relationship Id="rId43" Type="http://schemas.openxmlformats.org/officeDocument/2006/relationships/hyperlink" Target="https://biblioteca.ibge.gov.br/visualizacao/livros/liv50000.pdf" TargetMode="External"/><Relationship Id="rId48" Type="http://schemas.openxmlformats.org/officeDocument/2006/relationships/hyperlink" Target="https://biblioteca.ibge.gov.br/visualizacao/livros/liv50000.pdf" TargetMode="External"/><Relationship Id="rId56" Type="http://schemas.openxmlformats.org/officeDocument/2006/relationships/hyperlink" Target="https://www.aqua-calc.com/page/density-table/substance/heinz-blank-tomato-blank-ketchup-coma-and-blank-upc-column--blank-00013000004664" TargetMode="External"/><Relationship Id="rId64" Type="http://schemas.openxmlformats.org/officeDocument/2006/relationships/hyperlink" Target="https://pmc.ncbi.nlm.nih.gov/articles/PMC10835713/" TargetMode="External"/><Relationship Id="rId69" Type="http://schemas.openxmlformats.org/officeDocument/2006/relationships/hyperlink" Target="https://www.aqua-calc.com/page/density-table/substance/spices-coma-and-blank-nutmeg-coma-and-blank-ground" TargetMode="External"/><Relationship Id="rId77" Type="http://schemas.openxmlformats.org/officeDocument/2006/relationships/hyperlink" Target="https://www.aqua-calc.com/page/density-table/substance/spices-coma-and-blank-allspice-coma-and-blank-ground" TargetMode="External"/><Relationship Id="rId8" Type="http://schemas.openxmlformats.org/officeDocument/2006/relationships/hyperlink" Target="https://biblioteca.ibge.gov.br/visualizacao/livros/liv50000.pdf" TargetMode="External"/><Relationship Id="rId51" Type="http://schemas.openxmlformats.org/officeDocument/2006/relationships/hyperlink" Target="https://www.fao.org/fileadmin/templates/food_composition/documents/upload/Density_databse_v1_final.pdf" TargetMode="External"/><Relationship Id="rId72" Type="http://schemas.openxmlformats.org/officeDocument/2006/relationships/hyperlink" Target="https://www.alibaba.com/product-insights/how-much-is-a-sprig-of-thyme-verified-measurements.html" TargetMode="External"/><Relationship Id="rId80" Type="http://schemas.openxmlformats.org/officeDocument/2006/relationships/hyperlink" Target="https://www.aqua-calc.com/page/density-table/substance/spices-coma-and-blank-turmeric-coma-and-blank-ground" TargetMode="External"/><Relationship Id="rId3" Type="http://schemas.openxmlformats.org/officeDocument/2006/relationships/hyperlink" Target="https://www.fao.org/fileadmin/templates/food_composition/documents/density_DB_v2_0_01.pdf" TargetMode="External"/><Relationship Id="rId12" Type="http://schemas.openxmlformats.org/officeDocument/2006/relationships/hyperlink" Target="https://biblioteca.ibge.gov.br/visualizacao/livros/liv50000.pdf" TargetMode="External"/><Relationship Id="rId17" Type="http://schemas.openxmlformats.org/officeDocument/2006/relationships/hyperlink" Target="https://biblioteca.ibge.gov.br/visualizacao/livros/liv50000.pdf" TargetMode="External"/><Relationship Id="rId25" Type="http://schemas.openxmlformats.org/officeDocument/2006/relationships/hyperlink" Target="https://pubchem.ncbi.nlm.nih.gov/compound/Olive-Oil" TargetMode="External"/><Relationship Id="rId33" Type="http://schemas.openxmlformats.org/officeDocument/2006/relationships/hyperlink" Target="https://www.fao.org/fileadmin/templates/food_composition/documents/density_DB_v2_0_01.pdf" TargetMode="External"/><Relationship Id="rId38" Type="http://schemas.openxmlformats.org/officeDocument/2006/relationships/hyperlink" Target="https://biblioteca.ibge.gov.br/visualizacao/livros/liv50000.pdf" TargetMode="External"/><Relationship Id="rId46" Type="http://schemas.openxmlformats.org/officeDocument/2006/relationships/hyperlink" Target="https://biblioteca.ibge.gov.br/visualizacao/livros/liv50000.pdf" TargetMode="External"/><Relationship Id="rId59" Type="http://schemas.openxmlformats.org/officeDocument/2006/relationships/hyperlink" Target="https://sistemasdeproducao.cnptia.embrapa.br/FontesHTML/Vinagre/SistemaProducaoVinagre/composicao.htm" TargetMode="External"/><Relationship Id="rId67" Type="http://schemas.openxmlformats.org/officeDocument/2006/relationships/hyperlink" Target="https://herbmedicineindonesia.com/spices/how-much-do-5-bay-leaves-weigh-in-grams/" TargetMode="External"/><Relationship Id="rId20" Type="http://schemas.openxmlformats.org/officeDocument/2006/relationships/hyperlink" Target="https://biblioteca.ibge.gov.br/visualizacao/livros/liv50000.pdf" TargetMode="External"/><Relationship Id="rId41" Type="http://schemas.openxmlformats.org/officeDocument/2006/relationships/hyperlink" Target="https://sistemasdeproducao.cnptia.embrapa.br/FontesHTML/Vinagre/SistemaProducaoVinagre/composicao.htm" TargetMode="External"/><Relationship Id="rId54" Type="http://schemas.openxmlformats.org/officeDocument/2006/relationships/hyperlink" Target="https://www.aqua-calc.com/page/density-table/substance/ginger-blank-root-coma-and-blank-raw" TargetMode="External"/><Relationship Id="rId62" Type="http://schemas.openxmlformats.org/officeDocument/2006/relationships/hyperlink" Target="https://www.fao.org/fileadmin/templates/food_composition/documents/upload/Density_databse_v1_final.pdf" TargetMode="External"/><Relationship Id="rId70" Type="http://schemas.openxmlformats.org/officeDocument/2006/relationships/hyperlink" Target="https://www.aqua-calc.com/page/density-table/substance/spices-coma-and-blank-pepper-coma-and-blank-black-blank--op-ground-cp-" TargetMode="External"/><Relationship Id="rId75" Type="http://schemas.openxmlformats.org/officeDocument/2006/relationships/hyperlink" Target="https://www.sciencedirect.com/science/article/pii/S0260877406002226" TargetMode="External"/><Relationship Id="rId1" Type="http://schemas.openxmlformats.org/officeDocument/2006/relationships/hyperlink" Target="https://biblioteca.ibge.gov.br/visualizacao/livros/liv50000.pdf" TargetMode="External"/><Relationship Id="rId6" Type="http://schemas.openxmlformats.org/officeDocument/2006/relationships/hyperlink" Target="https://biblioteca.ibge.gov.br/visualizacao/livros/liv50000.pdf" TargetMode="External"/><Relationship Id="rId15" Type="http://schemas.openxmlformats.org/officeDocument/2006/relationships/hyperlink" Target="https://biblioteca.ibge.gov.br/visualizacao/livros/liv50000.pdf" TargetMode="External"/><Relationship Id="rId23" Type="http://schemas.openxmlformats.org/officeDocument/2006/relationships/hyperlink" Target="https://biblioteca.ibge.gov.br/visualizacao/livros/liv50000.pdf" TargetMode="External"/><Relationship Id="rId28" Type="http://schemas.openxmlformats.org/officeDocument/2006/relationships/hyperlink" Target="http://aqua-calc.com/page/density-table/substance/pineapple-blank-juice-coma-and-blank-canned-coma-and-blank-not-blank-from-blank-concentrate-coma-and-blank-unsweetened-coma-and-blank-with-blank-added-blank-vitamins-blank-a-coma-and-blank-c-blank-and-blank-e" TargetMode="External"/><Relationship Id="rId36" Type="http://schemas.openxmlformats.org/officeDocument/2006/relationships/hyperlink" Target="https://biblioteca.ibge.gov.br/visualizacao/livros/liv50000.pdf" TargetMode="External"/><Relationship Id="rId49" Type="http://schemas.openxmlformats.org/officeDocument/2006/relationships/hyperlink" Target="https://www.fao.org/fileadmin/templates/food_composition/documents/density_DB_v2_0_01.pdf" TargetMode="External"/><Relationship Id="rId57" Type="http://schemas.openxmlformats.org/officeDocument/2006/relationships/hyperlink" Target="https://sistemasdeproducao.cnptia.embrapa.br/FontesHTML/Vinagre/SistemaProducaoVinagre/composicao.htm" TargetMode="External"/><Relationship Id="rId10" Type="http://schemas.openxmlformats.org/officeDocument/2006/relationships/hyperlink" Target="https://www.aqua-calc.com/page/density-table/substance/coconut-blank-milk-coma-and-blank-upc-column--blank-044738018432" TargetMode="External"/><Relationship Id="rId31" Type="http://schemas.openxmlformats.org/officeDocument/2006/relationships/hyperlink" Target="https://www.fao.org/fileadmin/templates/food_composition/documents/density_DB_v2_0_01.pdf" TargetMode="External"/><Relationship Id="rId44" Type="http://schemas.openxmlformats.org/officeDocument/2006/relationships/hyperlink" Target="https://www.aqua-calc.com/page/density-table/substance/tomato-blank-paste-coma-and-blank-upc-column--blank-822356000868" TargetMode="External"/><Relationship Id="rId52" Type="http://schemas.openxmlformats.org/officeDocument/2006/relationships/hyperlink" Target="https://www.fao.org/fileadmin/templates/food_composition/documents/density_DB_v2_0_01.pdf" TargetMode="External"/><Relationship Id="rId60" Type="http://schemas.openxmlformats.org/officeDocument/2006/relationships/hyperlink" Target="https://pubchem.ncbi.nlm.nih.gov/compound/Sesame-Oil" TargetMode="External"/><Relationship Id="rId65" Type="http://schemas.openxmlformats.org/officeDocument/2006/relationships/hyperlink" Target="https://plantin.alibaba.com/plant-wiki/how-much-dried-rosemary-equals-a-sprig" TargetMode="External"/><Relationship Id="rId73" Type="http://schemas.openxmlformats.org/officeDocument/2006/relationships/hyperlink" Target="https://www.fao.org/fileadmin/templates/food_composition/documents/density_DB_v2_0_01.pdf" TargetMode="External"/><Relationship Id="rId78" Type="http://schemas.openxmlformats.org/officeDocument/2006/relationships/hyperlink" Target="https://www.aqua-calc.com/page/density-table/substance/fennel-blank-seeds-coma-and-blank-upc-column--blank-718343230557" TargetMode="External"/><Relationship Id="rId4" Type="http://schemas.openxmlformats.org/officeDocument/2006/relationships/hyperlink" Target="https://biblioteca.ibge.gov.br/visualizacao/livros/liv50000.pdf" TargetMode="External"/><Relationship Id="rId9" Type="http://schemas.openxmlformats.org/officeDocument/2006/relationships/hyperlink" Target="https://www.sciencedirect.com/science/article/abs/pii/S0048969724007125" TargetMode="External"/><Relationship Id="rId13" Type="http://schemas.openxmlformats.org/officeDocument/2006/relationships/hyperlink" Target="https://www.fao.org/fileadmin/templates/food_composition/documents/density_DB_v2_0_01.pdf" TargetMode="External"/><Relationship Id="rId18" Type="http://schemas.openxmlformats.org/officeDocument/2006/relationships/hyperlink" Target="https://biblioteca.ibge.gov.br/visualizacao/livros/liv50000.pdf" TargetMode="External"/><Relationship Id="rId39" Type="http://schemas.openxmlformats.org/officeDocument/2006/relationships/hyperlink" Target="https://biblioteca.ibge.gov.br/visualizacao/livros/liv50000.pdf" TargetMode="External"/><Relationship Id="rId34" Type="http://schemas.openxmlformats.org/officeDocument/2006/relationships/hyperlink" Target="https://biblioteca.ibge.gov.br/visualizacao/livros/liv50000.pdf" TargetMode="External"/><Relationship Id="rId50" Type="http://schemas.openxmlformats.org/officeDocument/2006/relationships/hyperlink" Target="https://www.sciencedirect.com/topics/food-science/egg-composition" TargetMode="External"/><Relationship Id="rId55" Type="http://schemas.openxmlformats.org/officeDocument/2006/relationships/hyperlink" Target="https://www.fao.org/fileadmin/templates/food_composition/documents/density_DB_v2_0_01.pdf" TargetMode="External"/><Relationship Id="rId76" Type="http://schemas.openxmlformats.org/officeDocument/2006/relationships/hyperlink" Target="https://www.aqua-calc.com/page/density-table/substance/spices-coma-and-blank-oregano-coma-and-blank-dried-blank--op-tsp-coma-and-blank-leaves-cp-" TargetMode="External"/><Relationship Id="rId7" Type="http://schemas.openxmlformats.org/officeDocument/2006/relationships/hyperlink" Target="https://www.fao.org/fileadmin/templates/food_composition/documents/density_DB_v2_0_01.pdf" TargetMode="External"/><Relationship Id="rId71" Type="http://schemas.openxmlformats.org/officeDocument/2006/relationships/hyperlink" Target="https://www.aqua-calc.com/page/density-table/substance/spices-coma-and-blank-pepper-coma-and-blank-white-blank--op-ground-cp-" TargetMode="External"/><Relationship Id="rId2" Type="http://schemas.openxmlformats.org/officeDocument/2006/relationships/hyperlink" Target="https://www.fao.org/fileadmin/templates/food_composition/documents/density_DB_v2_0_01.pdf" TargetMode="External"/><Relationship Id="rId29" Type="http://schemas.openxmlformats.org/officeDocument/2006/relationships/hyperlink" Target="https://biblioteca.ibge.gov.br/visualizacao/livros/liv50000.pdf" TargetMode="External"/></Relationships>
</file>

<file path=xl/worksheets/_rels/sheet10.xml.rels><?xml version="1.0" encoding="UTF-8" standalone="yes"?>
<Relationships xmlns="http://schemas.openxmlformats.org/package/2006/relationships"><Relationship Id="rId26" Type="http://schemas.openxmlformats.org/officeDocument/2006/relationships/hyperlink" Target="https://hannaone.com/Recipe/weightchili.html" TargetMode="External"/><Relationship Id="rId21" Type="http://schemas.openxmlformats.org/officeDocument/2006/relationships/hyperlink" Target="https://biblioteca.ibge.gov.br/visualizacao/livros/liv50000.pdf" TargetMode="External"/><Relationship Id="rId42" Type="http://schemas.openxmlformats.org/officeDocument/2006/relationships/hyperlink" Target="https://biblioteca.ibge.gov.br/visualizacao/livros/liv50000.pdf" TargetMode="External"/><Relationship Id="rId47" Type="http://schemas.openxmlformats.org/officeDocument/2006/relationships/hyperlink" Target="https://biblioteca.ibge.gov.br/visualizacao/livros/liv50000.pdf" TargetMode="External"/><Relationship Id="rId63" Type="http://schemas.openxmlformats.org/officeDocument/2006/relationships/hyperlink" Target="https://plantin.alibaba.com/plant-wiki/how-much-dried-rosemary-equals-a-sprig" TargetMode="External"/><Relationship Id="rId68" Type="http://schemas.openxmlformats.org/officeDocument/2006/relationships/hyperlink" Target="https://biblioteca.ibge.gov.br/visualizacao/livros/liv50000.pdf" TargetMode="External"/><Relationship Id="rId7" Type="http://schemas.openxmlformats.org/officeDocument/2006/relationships/hyperlink" Target="https://pubchem.ncbi.nlm.nih.gov/compound/Olive-Oil" TargetMode="External"/><Relationship Id="rId71" Type="http://schemas.openxmlformats.org/officeDocument/2006/relationships/drawing" Target="../drawings/drawing5.xml"/><Relationship Id="rId2" Type="http://schemas.openxmlformats.org/officeDocument/2006/relationships/hyperlink" Target="https://www.aqua-calc.com/page/density-table/substance/spices-coma-and-blank-pepper-coma-and-blank-black-blank--op-ground-cp-" TargetMode="External"/><Relationship Id="rId16" Type="http://schemas.openxmlformats.org/officeDocument/2006/relationships/hyperlink" Target="https://www.fao.org/fileadmin/templates/food_composition/documents/density_DB_v2_0_01.pdf" TargetMode="External"/><Relationship Id="rId29" Type="http://schemas.openxmlformats.org/officeDocument/2006/relationships/hyperlink" Target="https://www.sciencedirect.com/topics/food-science/egg-composition" TargetMode="External"/><Relationship Id="rId11" Type="http://schemas.openxmlformats.org/officeDocument/2006/relationships/hyperlink" Target="https://www.aqua-calc.com/page/density-table/substance/lime-blank-juice-coma-and-blank-raw" TargetMode="External"/><Relationship Id="rId24" Type="http://schemas.openxmlformats.org/officeDocument/2006/relationships/hyperlink" Target="https://biblioteca.ibge.gov.br/visualizacao/livros/liv50000.pdf" TargetMode="External"/><Relationship Id="rId32" Type="http://schemas.openxmlformats.org/officeDocument/2006/relationships/hyperlink" Target="https://biblioteca.ibge.gov.br/visualizacao/livros/liv50000.pdf" TargetMode="External"/><Relationship Id="rId37" Type="http://schemas.openxmlformats.org/officeDocument/2006/relationships/hyperlink" Target="https://www.fao.org/fileadmin/templates/food_composition/documents/density_DB_v2_0_01.pdf" TargetMode="External"/><Relationship Id="rId40" Type="http://schemas.openxmlformats.org/officeDocument/2006/relationships/hyperlink" Target="http://aqua-calc.com/page/density-table/substance/pineapple-blank-juice-coma-and-blank-canned-coma-and-blank-not-blank-from-blank-concentrate-coma-and-blank-unsweetened-coma-and-blank-with-blank-added-blank-vitamins-blank-a-coma-and-blank-c-blank-and-blank-e" TargetMode="External"/><Relationship Id="rId45" Type="http://schemas.openxmlformats.org/officeDocument/2006/relationships/hyperlink" Target="https://www.fda.gov/food/nutrition-food-labeling-and-critical-foods/nutrition-information-raw-vegetables" TargetMode="External"/><Relationship Id="rId53" Type="http://schemas.openxmlformats.org/officeDocument/2006/relationships/hyperlink" Target="https://www.fao.org/fileadmin/templates/food_composition/documents/density_DB_v2_0_01.pdf" TargetMode="External"/><Relationship Id="rId58" Type="http://schemas.openxmlformats.org/officeDocument/2006/relationships/hyperlink" Target="https://www.alibaba.com/product-insights/how-much-is-a-sprig-of-thyme-verified-measurements.html" TargetMode="External"/><Relationship Id="rId66" Type="http://schemas.openxmlformats.org/officeDocument/2006/relationships/hyperlink" Target="https://www.sciencedirect.com/science/article/pii/S0260877406002226" TargetMode="External"/><Relationship Id="rId5" Type="http://schemas.openxmlformats.org/officeDocument/2006/relationships/hyperlink" Target="https://www.fao.org/fileadmin/templates/food_composition/documents/density_DB_v2_0_01.pdf" TargetMode="External"/><Relationship Id="rId61" Type="http://schemas.openxmlformats.org/officeDocument/2006/relationships/hyperlink" Target="https://biblioteca.ibge.gov.br/visualizacao/livros/liv50000.pdf" TargetMode="External"/><Relationship Id="rId19" Type="http://schemas.openxmlformats.org/officeDocument/2006/relationships/hyperlink" Target="https://www.aqua-calc.com/page/density-table/substance/coconut-blank-milk-coma-and-blank-upc-column--blank-044738018432" TargetMode="External"/><Relationship Id="rId14" Type="http://schemas.openxmlformats.org/officeDocument/2006/relationships/hyperlink" Target="https://www.fao.org/fileadmin/templates/food_composition/documents/density_DB_v2_0_01.pdf" TargetMode="External"/><Relationship Id="rId22" Type="http://schemas.openxmlformats.org/officeDocument/2006/relationships/hyperlink" Target="https://biblioteca.ibge.gov.br/visualizacao/livros/liv50000.pdf" TargetMode="External"/><Relationship Id="rId27" Type="http://schemas.openxmlformats.org/officeDocument/2006/relationships/hyperlink" Target="https://www.aqua-calc.com/page/density-table/substance/worcestershire-blank-sauce-coma-and-blank-upc-column--blank-041512092442" TargetMode="External"/><Relationship Id="rId30" Type="http://schemas.openxmlformats.org/officeDocument/2006/relationships/hyperlink" Target="https://www.aqua-calc.com/page/density-table/substance/tomato-blank-sauce-coma-and-blank-upc-column--blank-011110816351" TargetMode="External"/><Relationship Id="rId35" Type="http://schemas.openxmlformats.org/officeDocument/2006/relationships/hyperlink" Target="https://sistemasdeproducao.cnptia.embrapa.br/FontesHTML/Vinagre/SistemaProducaoVinagre/composicao.htm" TargetMode="External"/><Relationship Id="rId43" Type="http://schemas.openxmlformats.org/officeDocument/2006/relationships/hyperlink" Target="https://www.fao.org/fileadmin/templates/food_composition/documents/density_DB_v2_0_01.pdf" TargetMode="External"/><Relationship Id="rId48" Type="http://schemas.openxmlformats.org/officeDocument/2006/relationships/hyperlink" Target="https://www.aqua-calc.com/page/density-table/substance/spices-coma-and-blank-oregano-coma-and-blank-dried-blank--op-tsp-coma-and-blank-leaves-cp-" TargetMode="External"/><Relationship Id="rId56" Type="http://schemas.openxmlformats.org/officeDocument/2006/relationships/hyperlink" Target="https://pmc.ncbi.nlm.nih.gov/articles/PMC10835713/" TargetMode="External"/><Relationship Id="rId64" Type="http://schemas.openxmlformats.org/officeDocument/2006/relationships/hyperlink" Target="https://sistemasdeproducao.cnptia.embrapa.br/FontesHTML/Vinagre/SistemaProducaoVinagre/composicao.htm" TargetMode="External"/><Relationship Id="rId69" Type="http://schemas.openxmlformats.org/officeDocument/2006/relationships/hyperlink" Target="https://biblioteca.ibge.gov.br/visualizacao/livros/liv50000.pdf" TargetMode="External"/><Relationship Id="rId8" Type="http://schemas.openxmlformats.org/officeDocument/2006/relationships/hyperlink" Target="https://www.fao.org/fileadmin/templates/food_composition/documents/density_DB_v2_0_01.pdf" TargetMode="External"/><Relationship Id="rId51" Type="http://schemas.openxmlformats.org/officeDocument/2006/relationships/hyperlink" Target="https://www.aqua-calc.com/page/density-table/substance/hot-blank-pepper-blank-sauce" TargetMode="External"/><Relationship Id="rId3" Type="http://schemas.openxmlformats.org/officeDocument/2006/relationships/hyperlink" Target="https://biblioteca.ibge.gov.br/visualizacao/livros/liv50000.pdf" TargetMode="External"/><Relationship Id="rId12" Type="http://schemas.openxmlformats.org/officeDocument/2006/relationships/hyperlink" Target="https://www.fao.org/fileadmin/templates/food_composition/documents/density_DB_v2_0_01.pdf" TargetMode="External"/><Relationship Id="rId17" Type="http://schemas.openxmlformats.org/officeDocument/2006/relationships/hyperlink" Target="https://www.sciencedirect.com/science/article/abs/pii/S0048969724007125" TargetMode="External"/><Relationship Id="rId25" Type="http://schemas.openxmlformats.org/officeDocument/2006/relationships/hyperlink" Target="https://periodicos.utfpr.edu.br/rbta/article/viewFile/17567/10358" TargetMode="External"/><Relationship Id="rId33" Type="http://schemas.openxmlformats.org/officeDocument/2006/relationships/hyperlink" Target="https://biblioteca.ibge.gov.br/visualizacao/livros/liv50000.pdf" TargetMode="External"/><Relationship Id="rId38" Type="http://schemas.openxmlformats.org/officeDocument/2006/relationships/hyperlink" Target="https://www.aqua-calc.com/page/density-table/substance/spices-coma-and-blank-pepper-coma-and-blank-white-blank--op-ground-cp-" TargetMode="External"/><Relationship Id="rId46" Type="http://schemas.openxmlformats.org/officeDocument/2006/relationships/hyperlink" Target="https://pubchem.ncbi.nlm.nih.gov/compound/Sesame-Oil" TargetMode="External"/><Relationship Id="rId59" Type="http://schemas.openxmlformats.org/officeDocument/2006/relationships/hyperlink" Target="https://biblioteca.ibge.gov.br/visualizacao/livros/liv50000.pdf" TargetMode="External"/><Relationship Id="rId67" Type="http://schemas.openxmlformats.org/officeDocument/2006/relationships/hyperlink" Target="https://biblioteca.ibge.gov.br/visualizacao/livros/liv50000.pdf" TargetMode="External"/><Relationship Id="rId20" Type="http://schemas.openxmlformats.org/officeDocument/2006/relationships/hyperlink" Target="https://biblioteca.ibge.gov.br/visualizacao/livros/liv50000.pdf" TargetMode="External"/><Relationship Id="rId41" Type="http://schemas.openxmlformats.org/officeDocument/2006/relationships/hyperlink" Target="https://biblioteca.ibge.gov.br/visualizacao/livros/liv50000.pdf" TargetMode="External"/><Relationship Id="rId54" Type="http://schemas.openxmlformats.org/officeDocument/2006/relationships/hyperlink" Target="https://www.fao.org/fileadmin/templates/food_composition/documents/upload/Density_databse_v1_final.pdf" TargetMode="External"/><Relationship Id="rId62" Type="http://schemas.openxmlformats.org/officeDocument/2006/relationships/hyperlink" Target="https://www.fao.org/fileadmin/templates/food_composition/documents/upload/Density_databse_v1_final.pdf" TargetMode="External"/><Relationship Id="rId70" Type="http://schemas.openxmlformats.org/officeDocument/2006/relationships/hyperlink" Target="https://www.alibaba.com/product-insights/how-much-ground-cinnamon-equals-one-stick-teaspoon-conversion.html" TargetMode="External"/><Relationship Id="rId1" Type="http://schemas.openxmlformats.org/officeDocument/2006/relationships/hyperlink" Target="https://www.fao.org/fileadmin/templates/food_composition/documents/density_DB_v2_0_01.pdf" TargetMode="External"/><Relationship Id="rId6" Type="http://schemas.openxmlformats.org/officeDocument/2006/relationships/hyperlink" Target="https://pubchem.ncbi.nlm.nih.gov/compound/Olive-Oil" TargetMode="External"/><Relationship Id="rId15" Type="http://schemas.openxmlformats.org/officeDocument/2006/relationships/hyperlink" Target="https://biblioteca.ibge.gov.br/visualizacao/livros/liv50000.pdf" TargetMode="External"/><Relationship Id="rId23" Type="http://schemas.openxmlformats.org/officeDocument/2006/relationships/hyperlink" Target="https://biblioteca.ibge.gov.br/visualizacao/livros/liv50000.pdf" TargetMode="External"/><Relationship Id="rId28" Type="http://schemas.openxmlformats.org/officeDocument/2006/relationships/hyperlink" Target="https://www.aqua-calc.com/page/density-table/substance/spices-coma-and-blank-nutmeg-coma-and-blank-ground" TargetMode="External"/><Relationship Id="rId36" Type="http://schemas.openxmlformats.org/officeDocument/2006/relationships/hyperlink" Target="https://www.fao.org/fileadmin/templates/food_composition/documents/density_DB_v2_0_01.pdf" TargetMode="External"/><Relationship Id="rId49" Type="http://schemas.openxmlformats.org/officeDocument/2006/relationships/hyperlink" Target="https://www.aqua-calc.com/page/density-table/substance/whole-blank-cloves-coma-and-blank-upc-column--blank-077636014237" TargetMode="External"/><Relationship Id="rId57" Type="http://schemas.openxmlformats.org/officeDocument/2006/relationships/hyperlink" Target="https://sistemasdeproducao.cnptia.embrapa.br/FontesHTML/Vinagre/SistemaProducaoVinagre/composicao.htm" TargetMode="External"/><Relationship Id="rId10" Type="http://schemas.openxmlformats.org/officeDocument/2006/relationships/hyperlink" Target="https://www.fao.org/fileadmin/templates/food_composition/documents/density_DB_v2_0_01.pdf" TargetMode="External"/><Relationship Id="rId31" Type="http://schemas.openxmlformats.org/officeDocument/2006/relationships/hyperlink" Target="https://biblioteca.ibge.gov.br/visualizacao/livros/liv50000.pdf" TargetMode="External"/><Relationship Id="rId44" Type="http://schemas.openxmlformats.org/officeDocument/2006/relationships/hyperlink" Target="https://sistemasdeproducao.cnptia.embrapa.br/FontesHTML/Vinagre/SistemaProducaoVinagre/composicao.htm" TargetMode="External"/><Relationship Id="rId52" Type="http://schemas.openxmlformats.org/officeDocument/2006/relationships/hyperlink" Target="https://biblioteca.ibge.gov.br/visualizacao/livros/liv50000.pdf" TargetMode="External"/><Relationship Id="rId60" Type="http://schemas.openxmlformats.org/officeDocument/2006/relationships/hyperlink" Target="https://www.fao.org/fileadmin/templates/food_composition/documents/density_DB_v2_0_01.pdf" TargetMode="External"/><Relationship Id="rId65" Type="http://schemas.openxmlformats.org/officeDocument/2006/relationships/hyperlink" Target="https://www.aqua-calc.com/page/density-table/substance/fennel-blank-seeds-coma-and-blank-upc-column--blank-718343230557" TargetMode="External"/><Relationship Id="rId4" Type="http://schemas.openxmlformats.org/officeDocument/2006/relationships/hyperlink" Target="https://biblioteca.ibge.gov.br/visualizacao/livros/liv50000.pdf" TargetMode="External"/><Relationship Id="rId9" Type="http://schemas.openxmlformats.org/officeDocument/2006/relationships/hyperlink" Target="https://biblioteca.ibge.gov.br/visualizacao/livros/liv50000.pdf" TargetMode="External"/><Relationship Id="rId13" Type="http://schemas.openxmlformats.org/officeDocument/2006/relationships/hyperlink" Target="https://herbmedicineindonesia.com/spices/how-much-do-5-bay-leaves-weigh-in-grams/" TargetMode="External"/><Relationship Id="rId18" Type="http://schemas.openxmlformats.org/officeDocument/2006/relationships/hyperlink" Target="https://www.aqua-calc.com/page/density-table/substance/tomato-blank-paste-coma-and-blank-upc-column--blank-822356000868" TargetMode="External"/><Relationship Id="rId39" Type="http://schemas.openxmlformats.org/officeDocument/2006/relationships/hyperlink" Target="https://www.aqua-calc.com/page/density-table/substance/heinz-blank-tomato-blank-ketchup-coma-and-blank-upc-column--blank-00013000004664" TargetMode="External"/><Relationship Id="rId34" Type="http://schemas.openxmlformats.org/officeDocument/2006/relationships/hyperlink" Target="https://www.fao.org/fileadmin/templates/food_composition/documents/density_DB_v2_0_01.pdf" TargetMode="External"/><Relationship Id="rId50" Type="http://schemas.openxmlformats.org/officeDocument/2006/relationships/hyperlink" Target="https://biblioteca.ibge.gov.br/visualizacao/livros/liv50000.pdf" TargetMode="External"/><Relationship Id="rId55" Type="http://schemas.openxmlformats.org/officeDocument/2006/relationships/hyperlink" Target="https://www.aqua-calc.com/page/density-table/substance/heinz-blank-tomato-blank-ketchup-coma-and-blank-upc-column--blank-00013000004664"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www.philco.com.br/batedeira-philco-500w-preta-paris-duo-mixer-turbo/p" TargetMode="External"/><Relationship Id="rId2" Type="http://schemas.openxmlformats.org/officeDocument/2006/relationships/hyperlink" Target="https://www.britania.com.br/liquidificador-britania-blq1100/p?srsltid=AfmBOorWsijXDa3A4E3WOAzy7kjO_JxApzk7eGz3XyNXXoxPNaUyR2c7" TargetMode="External"/><Relationship Id="rId1" Type="http://schemas.openxmlformats.org/officeDocument/2006/relationships/hyperlink" Target="https://mais.conteudo.wap.ind.br/wap/produtos/cozinha/fritadeira_eletrica/air_fryer_grand_family_5l_wafg1_fw009535_fw009536/arquivos/manual/manual_air_fryer_grand_family_5l_wafg1.pdf" TargetMode="External"/><Relationship Id="rId5" Type="http://schemas.openxmlformats.org/officeDocument/2006/relationships/hyperlink" Target="https://www.gov.br/inmetro/pt-br/assuntos/regulamentacao/avaliacao-da-conformidade/programa-brasileiro-de-etiquetagem/tabelas-de-eficiencia-energetica/fogoes-e-fornos-domesticos-a-gas/tabela-pbe-fogoes-2024.pdf" TargetMode="External"/><Relationship Id="rId4" Type="http://schemas.openxmlformats.org/officeDocument/2006/relationships/hyperlink" Target="https://loja.electrolux.com.br/fogao-de-embutir-inox-4-bocas-com-timer-digital-electrolux-52exr/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222"/>
  <sheetViews>
    <sheetView workbookViewId="0"/>
  </sheetViews>
  <sheetFormatPr defaultColWidth="12.6640625" defaultRowHeight="15.75" customHeight="1"/>
  <sheetData>
    <row r="1" spans="1:5" ht="15.75" customHeight="1">
      <c r="A1" s="1"/>
      <c r="B1" s="2" t="s">
        <v>0</v>
      </c>
      <c r="C1" s="2" t="s">
        <v>1</v>
      </c>
      <c r="D1" s="2" t="s">
        <v>2</v>
      </c>
      <c r="E1" s="2" t="s">
        <v>3</v>
      </c>
    </row>
    <row r="2" spans="1:5" ht="15.75" customHeight="1">
      <c r="A2" s="2">
        <v>0</v>
      </c>
      <c r="B2" s="1" t="s">
        <v>4</v>
      </c>
      <c r="C2" s="1" t="s">
        <v>5</v>
      </c>
      <c r="D2" s="1" t="s">
        <v>6</v>
      </c>
      <c r="E2" s="3" t="s">
        <v>7</v>
      </c>
    </row>
    <row r="3" spans="1:5" ht="15.75" customHeight="1">
      <c r="A3" s="2">
        <v>1</v>
      </c>
      <c r="B3" s="1" t="s">
        <v>8</v>
      </c>
      <c r="C3" s="1" t="s">
        <v>9</v>
      </c>
      <c r="D3" s="1" t="s">
        <v>10</v>
      </c>
      <c r="E3" s="3" t="s">
        <v>11</v>
      </c>
    </row>
    <row r="4" spans="1:5" ht="15.75" customHeight="1">
      <c r="A4" s="2">
        <v>2</v>
      </c>
      <c r="B4" s="1" t="s">
        <v>12</v>
      </c>
      <c r="C4" s="1" t="s">
        <v>13</v>
      </c>
      <c r="D4" s="1" t="s">
        <v>14</v>
      </c>
      <c r="E4" s="3" t="s">
        <v>15</v>
      </c>
    </row>
    <row r="5" spans="1:5" ht="15.75" customHeight="1">
      <c r="A5" s="2">
        <v>3</v>
      </c>
      <c r="B5" s="1" t="s">
        <v>16</v>
      </c>
      <c r="C5" s="1" t="s">
        <v>17</v>
      </c>
      <c r="D5" s="1" t="s">
        <v>18</v>
      </c>
      <c r="E5" s="3" t="s">
        <v>19</v>
      </c>
    </row>
    <row r="6" spans="1:5" ht="15.75" customHeight="1">
      <c r="A6" s="2">
        <v>4</v>
      </c>
      <c r="B6" s="1" t="s">
        <v>20</v>
      </c>
      <c r="C6" s="1" t="s">
        <v>21</v>
      </c>
      <c r="D6" s="1" t="s">
        <v>22</v>
      </c>
      <c r="E6" s="3" t="s">
        <v>23</v>
      </c>
    </row>
    <row r="7" spans="1:5" ht="15.75" customHeight="1">
      <c r="A7" s="2">
        <v>5</v>
      </c>
      <c r="B7" s="1" t="s">
        <v>24</v>
      </c>
      <c r="C7" s="1" t="s">
        <v>25</v>
      </c>
      <c r="D7" s="1" t="s">
        <v>26</v>
      </c>
      <c r="E7" s="3" t="s">
        <v>27</v>
      </c>
    </row>
    <row r="8" spans="1:5" ht="15.75" customHeight="1">
      <c r="A8" s="2">
        <v>6</v>
      </c>
      <c r="B8" s="1" t="s">
        <v>28</v>
      </c>
      <c r="C8" s="1" t="s">
        <v>29</v>
      </c>
      <c r="D8" s="1" t="s">
        <v>30</v>
      </c>
      <c r="E8" s="3" t="s">
        <v>31</v>
      </c>
    </row>
    <row r="9" spans="1:5" ht="15.75" customHeight="1">
      <c r="A9" s="2">
        <v>7</v>
      </c>
      <c r="B9" s="1" t="s">
        <v>32</v>
      </c>
      <c r="C9" s="1" t="s">
        <v>33</v>
      </c>
      <c r="D9" s="1" t="s">
        <v>34</v>
      </c>
      <c r="E9" s="3" t="s">
        <v>35</v>
      </c>
    </row>
    <row r="10" spans="1:5" ht="15.75" customHeight="1">
      <c r="A10" s="2">
        <v>8</v>
      </c>
      <c r="B10" s="1" t="s">
        <v>36</v>
      </c>
      <c r="C10" s="1" t="s">
        <v>37</v>
      </c>
      <c r="D10" s="1" t="s">
        <v>38</v>
      </c>
      <c r="E10" s="3" t="s">
        <v>39</v>
      </c>
    </row>
    <row r="11" spans="1:5" ht="15.75" customHeight="1">
      <c r="A11" s="2">
        <v>9</v>
      </c>
      <c r="B11" s="1" t="s">
        <v>40</v>
      </c>
      <c r="C11" s="1" t="s">
        <v>41</v>
      </c>
      <c r="D11" s="1" t="s">
        <v>42</v>
      </c>
      <c r="E11" s="3" t="s">
        <v>43</v>
      </c>
    </row>
    <row r="12" spans="1:5" ht="15.75" customHeight="1">
      <c r="A12" s="2">
        <v>10</v>
      </c>
      <c r="B12" s="1" t="s">
        <v>44</v>
      </c>
      <c r="C12" s="1" t="s">
        <v>45</v>
      </c>
      <c r="D12" s="1" t="s">
        <v>46</v>
      </c>
      <c r="E12" s="3" t="s">
        <v>47</v>
      </c>
    </row>
    <row r="13" spans="1:5" ht="15.75" customHeight="1">
      <c r="A13" s="2">
        <v>11</v>
      </c>
      <c r="B13" s="1" t="s">
        <v>48</v>
      </c>
      <c r="C13" s="1" t="s">
        <v>49</v>
      </c>
      <c r="D13" s="1" t="s">
        <v>50</v>
      </c>
      <c r="E13" s="3" t="s">
        <v>51</v>
      </c>
    </row>
    <row r="14" spans="1:5" ht="15.75" customHeight="1">
      <c r="A14" s="2">
        <v>12</v>
      </c>
      <c r="B14" s="1" t="s">
        <v>52</v>
      </c>
      <c r="C14" s="1" t="s">
        <v>53</v>
      </c>
      <c r="D14" s="1" t="s">
        <v>54</v>
      </c>
      <c r="E14" s="3" t="s">
        <v>55</v>
      </c>
    </row>
    <row r="15" spans="1:5" ht="15.75" customHeight="1">
      <c r="A15" s="2">
        <v>13</v>
      </c>
      <c r="B15" s="1" t="s">
        <v>56</v>
      </c>
      <c r="C15" s="1" t="s">
        <v>57</v>
      </c>
      <c r="D15" s="1" t="s">
        <v>58</v>
      </c>
      <c r="E15" s="3" t="s">
        <v>59</v>
      </c>
    </row>
    <row r="16" spans="1:5" ht="15.75" customHeight="1">
      <c r="A16" s="2">
        <v>14</v>
      </c>
      <c r="B16" s="1" t="s">
        <v>60</v>
      </c>
      <c r="C16" s="1" t="s">
        <v>61</v>
      </c>
      <c r="D16" s="1" t="s">
        <v>62</v>
      </c>
      <c r="E16" s="3" t="s">
        <v>63</v>
      </c>
    </row>
    <row r="17" spans="1:5" ht="15.75" customHeight="1">
      <c r="A17" s="2">
        <v>15</v>
      </c>
      <c r="B17" s="1" t="s">
        <v>64</v>
      </c>
      <c r="C17" s="1" t="s">
        <v>65</v>
      </c>
      <c r="D17" s="1" t="s">
        <v>66</v>
      </c>
      <c r="E17" s="3" t="s">
        <v>67</v>
      </c>
    </row>
    <row r="18" spans="1:5" ht="15.75" customHeight="1">
      <c r="A18" s="2">
        <v>16</v>
      </c>
      <c r="B18" s="1" t="s">
        <v>68</v>
      </c>
      <c r="C18" s="1" t="s">
        <v>69</v>
      </c>
      <c r="D18" s="1" t="s">
        <v>70</v>
      </c>
      <c r="E18" s="3" t="s">
        <v>71</v>
      </c>
    </row>
    <row r="19" spans="1:5" ht="15.75" customHeight="1">
      <c r="A19" s="2">
        <v>17</v>
      </c>
      <c r="B19" s="1" t="s">
        <v>72</v>
      </c>
      <c r="C19" s="1" t="s">
        <v>73</v>
      </c>
      <c r="D19" s="1" t="s">
        <v>74</v>
      </c>
      <c r="E19" s="3" t="s">
        <v>75</v>
      </c>
    </row>
    <row r="20" spans="1:5" ht="15.75" customHeight="1">
      <c r="A20" s="2">
        <v>18</v>
      </c>
      <c r="B20" s="1" t="s">
        <v>76</v>
      </c>
      <c r="C20" s="1" t="s">
        <v>77</v>
      </c>
      <c r="D20" s="1" t="s">
        <v>78</v>
      </c>
      <c r="E20" s="3" t="s">
        <v>79</v>
      </c>
    </row>
    <row r="21" spans="1:5" ht="15.75" customHeight="1">
      <c r="A21" s="2">
        <v>19</v>
      </c>
      <c r="B21" s="1" t="s">
        <v>80</v>
      </c>
      <c r="C21" s="1" t="s">
        <v>81</v>
      </c>
      <c r="D21" s="1" t="s">
        <v>82</v>
      </c>
      <c r="E21" s="3" t="s">
        <v>83</v>
      </c>
    </row>
    <row r="22" spans="1:5" ht="15.75" customHeight="1">
      <c r="A22" s="2">
        <v>20</v>
      </c>
      <c r="B22" s="1" t="s">
        <v>84</v>
      </c>
      <c r="C22" s="1" t="s">
        <v>85</v>
      </c>
      <c r="D22" s="1" t="s">
        <v>86</v>
      </c>
      <c r="E22" s="3" t="s">
        <v>87</v>
      </c>
    </row>
    <row r="23" spans="1:5" ht="15.75" customHeight="1">
      <c r="A23" s="2">
        <v>21</v>
      </c>
      <c r="B23" s="1" t="s">
        <v>88</v>
      </c>
      <c r="C23" s="1" t="s">
        <v>89</v>
      </c>
      <c r="D23" s="1" t="s">
        <v>90</v>
      </c>
      <c r="E23" s="3" t="s">
        <v>91</v>
      </c>
    </row>
    <row r="24" spans="1:5" ht="15.75" customHeight="1">
      <c r="A24" s="2">
        <v>22</v>
      </c>
      <c r="B24" s="1" t="s">
        <v>92</v>
      </c>
      <c r="C24" s="1" t="s">
        <v>93</v>
      </c>
      <c r="D24" s="1" t="s">
        <v>94</v>
      </c>
      <c r="E24" s="3" t="s">
        <v>95</v>
      </c>
    </row>
    <row r="25" spans="1:5" ht="15.75" customHeight="1">
      <c r="A25" s="2">
        <v>23</v>
      </c>
      <c r="B25" s="1" t="s">
        <v>96</v>
      </c>
      <c r="C25" s="1" t="s">
        <v>97</v>
      </c>
      <c r="D25" s="1" t="s">
        <v>98</v>
      </c>
      <c r="E25" s="3" t="s">
        <v>99</v>
      </c>
    </row>
    <row r="26" spans="1:5" ht="15.75" customHeight="1">
      <c r="A26" s="2">
        <v>24</v>
      </c>
      <c r="B26" s="1" t="s">
        <v>100</v>
      </c>
      <c r="C26" s="1" t="s">
        <v>101</v>
      </c>
      <c r="D26" s="1" t="s">
        <v>102</v>
      </c>
      <c r="E26" s="3" t="s">
        <v>103</v>
      </c>
    </row>
    <row r="27" spans="1:5" ht="14.4">
      <c r="A27" s="2">
        <v>25</v>
      </c>
      <c r="B27" s="1" t="s">
        <v>104</v>
      </c>
      <c r="C27" s="1" t="s">
        <v>105</v>
      </c>
      <c r="D27" s="1" t="s">
        <v>106</v>
      </c>
      <c r="E27" s="3" t="s">
        <v>107</v>
      </c>
    </row>
    <row r="28" spans="1:5" ht="14.4">
      <c r="A28" s="2">
        <v>26</v>
      </c>
      <c r="B28" s="1" t="s">
        <v>108</v>
      </c>
      <c r="C28" s="1" t="s">
        <v>109</v>
      </c>
      <c r="D28" s="1" t="s">
        <v>110</v>
      </c>
      <c r="E28" s="3" t="s">
        <v>111</v>
      </c>
    </row>
    <row r="29" spans="1:5" ht="14.4">
      <c r="A29" s="2">
        <v>27</v>
      </c>
      <c r="B29" s="1" t="s">
        <v>112</v>
      </c>
      <c r="C29" s="1" t="s">
        <v>113</v>
      </c>
      <c r="D29" s="1" t="s">
        <v>114</v>
      </c>
      <c r="E29" s="3" t="s">
        <v>115</v>
      </c>
    </row>
    <row r="30" spans="1:5" ht="14.4">
      <c r="A30" s="2">
        <v>28</v>
      </c>
      <c r="B30" s="1" t="s">
        <v>116</v>
      </c>
      <c r="C30" s="1" t="s">
        <v>117</v>
      </c>
      <c r="D30" s="1" t="s">
        <v>118</v>
      </c>
      <c r="E30" s="3" t="s">
        <v>119</v>
      </c>
    </row>
    <row r="31" spans="1:5" ht="14.4">
      <c r="A31" s="2">
        <v>29</v>
      </c>
      <c r="B31" s="1" t="s">
        <v>120</v>
      </c>
      <c r="C31" s="1" t="s">
        <v>121</v>
      </c>
      <c r="D31" s="1" t="s">
        <v>122</v>
      </c>
      <c r="E31" s="3" t="s">
        <v>123</v>
      </c>
    </row>
    <row r="32" spans="1:5" ht="14.4">
      <c r="A32" s="2">
        <v>30</v>
      </c>
      <c r="B32" s="1" t="s">
        <v>124</v>
      </c>
      <c r="C32" s="1" t="s">
        <v>125</v>
      </c>
      <c r="D32" s="1" t="s">
        <v>126</v>
      </c>
      <c r="E32" s="3" t="s">
        <v>127</v>
      </c>
    </row>
    <row r="33" spans="1:5" ht="14.4">
      <c r="A33" s="2">
        <v>31</v>
      </c>
      <c r="B33" s="1" t="s">
        <v>128</v>
      </c>
      <c r="C33" s="1" t="s">
        <v>129</v>
      </c>
      <c r="D33" s="1" t="s">
        <v>130</v>
      </c>
      <c r="E33" s="3" t="s">
        <v>131</v>
      </c>
    </row>
    <row r="34" spans="1:5" ht="14.4">
      <c r="A34" s="2">
        <v>32</v>
      </c>
      <c r="B34" s="1" t="s">
        <v>132</v>
      </c>
      <c r="C34" s="1" t="s">
        <v>133</v>
      </c>
      <c r="D34" s="1" t="s">
        <v>134</v>
      </c>
      <c r="E34" s="3" t="s">
        <v>135</v>
      </c>
    </row>
    <row r="35" spans="1:5" ht="14.4">
      <c r="A35" s="2">
        <v>33</v>
      </c>
      <c r="B35" s="1" t="s">
        <v>136</v>
      </c>
      <c r="C35" s="1" t="s">
        <v>137</v>
      </c>
      <c r="D35" s="1" t="s">
        <v>138</v>
      </c>
      <c r="E35" s="3" t="s">
        <v>139</v>
      </c>
    </row>
    <row r="36" spans="1:5" ht="14.4">
      <c r="A36" s="2">
        <v>34</v>
      </c>
      <c r="B36" s="1" t="s">
        <v>140</v>
      </c>
      <c r="C36" s="1" t="s">
        <v>141</v>
      </c>
      <c r="D36" s="1" t="s">
        <v>142</v>
      </c>
      <c r="E36" s="3" t="s">
        <v>143</v>
      </c>
    </row>
    <row r="37" spans="1:5" ht="14.4">
      <c r="A37" s="2">
        <v>35</v>
      </c>
      <c r="B37" s="1" t="s">
        <v>144</v>
      </c>
      <c r="C37" s="1" t="s">
        <v>145</v>
      </c>
      <c r="D37" s="1" t="s">
        <v>146</v>
      </c>
      <c r="E37" s="3" t="s">
        <v>147</v>
      </c>
    </row>
    <row r="38" spans="1:5" ht="14.4">
      <c r="A38" s="2">
        <v>36</v>
      </c>
      <c r="B38" s="1" t="s">
        <v>148</v>
      </c>
      <c r="C38" s="1" t="s">
        <v>149</v>
      </c>
      <c r="D38" s="1" t="s">
        <v>150</v>
      </c>
      <c r="E38" s="3" t="s">
        <v>151</v>
      </c>
    </row>
    <row r="39" spans="1:5" ht="14.4">
      <c r="A39" s="2">
        <v>37</v>
      </c>
      <c r="B39" s="1" t="s">
        <v>152</v>
      </c>
      <c r="C39" s="1" t="s">
        <v>153</v>
      </c>
      <c r="D39" s="1" t="s">
        <v>154</v>
      </c>
      <c r="E39" s="3" t="s">
        <v>155</v>
      </c>
    </row>
    <row r="40" spans="1:5" ht="14.4">
      <c r="A40" s="2">
        <v>38</v>
      </c>
      <c r="B40" s="1" t="s">
        <v>156</v>
      </c>
      <c r="C40" s="1" t="s">
        <v>157</v>
      </c>
      <c r="D40" s="1" t="s">
        <v>158</v>
      </c>
      <c r="E40" s="3" t="s">
        <v>159</v>
      </c>
    </row>
    <row r="41" spans="1:5" ht="14.4">
      <c r="A41" s="2">
        <v>39</v>
      </c>
      <c r="B41" s="1" t="s">
        <v>160</v>
      </c>
      <c r="C41" s="1" t="s">
        <v>161</v>
      </c>
      <c r="D41" s="1" t="s">
        <v>162</v>
      </c>
      <c r="E41" s="3" t="s">
        <v>163</v>
      </c>
    </row>
    <row r="42" spans="1:5" ht="14.4">
      <c r="A42" s="2">
        <v>40</v>
      </c>
      <c r="B42" s="1" t="s">
        <v>164</v>
      </c>
      <c r="C42" s="1" t="s">
        <v>165</v>
      </c>
      <c r="D42" s="1" t="s">
        <v>166</v>
      </c>
      <c r="E42" s="3" t="s">
        <v>167</v>
      </c>
    </row>
    <row r="43" spans="1:5" ht="14.4">
      <c r="A43" s="2">
        <v>41</v>
      </c>
      <c r="B43" s="1" t="s">
        <v>36</v>
      </c>
      <c r="C43" s="1" t="s">
        <v>168</v>
      </c>
      <c r="D43" s="1" t="s">
        <v>169</v>
      </c>
      <c r="E43" s="3" t="s">
        <v>170</v>
      </c>
    </row>
    <row r="44" spans="1:5" ht="14.4">
      <c r="A44" s="2">
        <v>42</v>
      </c>
      <c r="B44" s="1" t="s">
        <v>171</v>
      </c>
      <c r="C44" s="1" t="s">
        <v>172</v>
      </c>
      <c r="D44" s="1" t="s">
        <v>173</v>
      </c>
      <c r="E44" s="3" t="s">
        <v>174</v>
      </c>
    </row>
    <row r="45" spans="1:5" ht="14.4">
      <c r="A45" s="2">
        <v>43</v>
      </c>
      <c r="B45" s="1" t="s">
        <v>175</v>
      </c>
      <c r="C45" s="1" t="s">
        <v>176</v>
      </c>
      <c r="D45" s="1" t="s">
        <v>177</v>
      </c>
      <c r="E45" s="3" t="s">
        <v>178</v>
      </c>
    </row>
    <row r="46" spans="1:5" ht="14.4">
      <c r="A46" s="2">
        <v>44</v>
      </c>
      <c r="B46" s="1" t="s">
        <v>179</v>
      </c>
      <c r="C46" s="1" t="s">
        <v>180</v>
      </c>
      <c r="D46" s="1" t="s">
        <v>181</v>
      </c>
      <c r="E46" s="3" t="s">
        <v>182</v>
      </c>
    </row>
    <row r="47" spans="1:5" ht="14.4">
      <c r="A47" s="2">
        <v>45</v>
      </c>
      <c r="B47" s="1" t="s">
        <v>183</v>
      </c>
      <c r="C47" s="1" t="s">
        <v>184</v>
      </c>
      <c r="D47" s="1" t="s">
        <v>185</v>
      </c>
      <c r="E47" s="3" t="s">
        <v>186</v>
      </c>
    </row>
    <row r="48" spans="1:5" ht="14.4">
      <c r="A48" s="2">
        <v>46</v>
      </c>
      <c r="B48" s="1" t="s">
        <v>187</v>
      </c>
      <c r="C48" s="1" t="s">
        <v>188</v>
      </c>
      <c r="D48" s="1" t="s">
        <v>189</v>
      </c>
      <c r="E48" s="3" t="s">
        <v>190</v>
      </c>
    </row>
    <row r="49" spans="1:5" ht="14.4">
      <c r="A49" s="2">
        <v>47</v>
      </c>
      <c r="B49" s="1" t="s">
        <v>191</v>
      </c>
      <c r="C49" s="1" t="s">
        <v>192</v>
      </c>
      <c r="D49" s="1" t="s">
        <v>193</v>
      </c>
      <c r="E49" s="3" t="s">
        <v>194</v>
      </c>
    </row>
    <row r="50" spans="1:5" ht="14.4">
      <c r="A50" s="2">
        <v>48</v>
      </c>
      <c r="B50" s="1" t="s">
        <v>195</v>
      </c>
      <c r="C50" s="1" t="s">
        <v>196</v>
      </c>
      <c r="D50" s="1" t="s">
        <v>197</v>
      </c>
      <c r="E50" s="3" t="s">
        <v>198</v>
      </c>
    </row>
    <row r="51" spans="1:5" ht="14.4">
      <c r="A51" s="2">
        <v>49</v>
      </c>
      <c r="B51" s="1" t="s">
        <v>199</v>
      </c>
      <c r="C51" s="1" t="s">
        <v>200</v>
      </c>
      <c r="D51" s="1" t="s">
        <v>201</v>
      </c>
      <c r="E51" s="3" t="s">
        <v>202</v>
      </c>
    </row>
    <row r="52" spans="1:5" ht="14.4">
      <c r="A52" s="2">
        <v>50</v>
      </c>
      <c r="B52" s="1" t="s">
        <v>203</v>
      </c>
      <c r="C52" s="1" t="s">
        <v>204</v>
      </c>
      <c r="D52" s="1" t="s">
        <v>205</v>
      </c>
      <c r="E52" s="3" t="s">
        <v>206</v>
      </c>
    </row>
    <row r="53" spans="1:5" ht="14.4">
      <c r="A53" s="2">
        <v>51</v>
      </c>
      <c r="B53" s="1" t="s">
        <v>207</v>
      </c>
      <c r="C53" s="1" t="s">
        <v>208</v>
      </c>
      <c r="D53" s="1" t="s">
        <v>209</v>
      </c>
      <c r="E53" s="3" t="s">
        <v>210</v>
      </c>
    </row>
    <row r="54" spans="1:5" ht="14.4">
      <c r="A54" s="2">
        <v>52</v>
      </c>
      <c r="B54" s="1" t="s">
        <v>211</v>
      </c>
      <c r="C54" s="1" t="s">
        <v>212</v>
      </c>
      <c r="D54" s="1" t="s">
        <v>213</v>
      </c>
      <c r="E54" s="3" t="s">
        <v>214</v>
      </c>
    </row>
    <row r="55" spans="1:5" ht="14.4">
      <c r="A55" s="2">
        <v>53</v>
      </c>
      <c r="B55" s="1" t="s">
        <v>215</v>
      </c>
      <c r="C55" s="1" t="s">
        <v>216</v>
      </c>
      <c r="D55" s="1" t="s">
        <v>217</v>
      </c>
      <c r="E55" s="3" t="s">
        <v>218</v>
      </c>
    </row>
    <row r="56" spans="1:5" ht="14.4">
      <c r="A56" s="2">
        <v>54</v>
      </c>
      <c r="B56" s="1" t="s">
        <v>219</v>
      </c>
      <c r="C56" s="1" t="s">
        <v>220</v>
      </c>
      <c r="D56" s="1" t="s">
        <v>221</v>
      </c>
      <c r="E56" s="3" t="s">
        <v>222</v>
      </c>
    </row>
    <row r="57" spans="1:5" ht="14.4">
      <c r="A57" s="2">
        <v>55</v>
      </c>
      <c r="B57" s="1" t="s">
        <v>223</v>
      </c>
      <c r="C57" s="1" t="s">
        <v>224</v>
      </c>
      <c r="D57" s="1" t="s">
        <v>225</v>
      </c>
      <c r="E57" s="3" t="s">
        <v>226</v>
      </c>
    </row>
    <row r="58" spans="1:5" ht="14.4">
      <c r="A58" s="2">
        <v>56</v>
      </c>
      <c r="B58" s="1" t="s">
        <v>227</v>
      </c>
      <c r="C58" s="1" t="s">
        <v>228</v>
      </c>
      <c r="D58" s="1" t="s">
        <v>229</v>
      </c>
      <c r="E58" s="3" t="s">
        <v>230</v>
      </c>
    </row>
    <row r="59" spans="1:5" ht="14.4">
      <c r="A59" s="2">
        <v>57</v>
      </c>
      <c r="B59" s="1" t="s">
        <v>231</v>
      </c>
      <c r="C59" s="1" t="s">
        <v>232</v>
      </c>
      <c r="D59" s="1" t="s">
        <v>233</v>
      </c>
      <c r="E59" s="3" t="s">
        <v>234</v>
      </c>
    </row>
    <row r="60" spans="1:5" ht="14.4">
      <c r="A60" s="2">
        <v>58</v>
      </c>
      <c r="B60" s="1" t="s">
        <v>235</v>
      </c>
      <c r="C60" s="1" t="s">
        <v>236</v>
      </c>
      <c r="D60" s="1" t="s">
        <v>237</v>
      </c>
      <c r="E60" s="3" t="s">
        <v>238</v>
      </c>
    </row>
    <row r="61" spans="1:5" ht="14.4">
      <c r="A61" s="2">
        <v>59</v>
      </c>
      <c r="B61" s="1" t="s">
        <v>239</v>
      </c>
      <c r="C61" s="1" t="s">
        <v>240</v>
      </c>
      <c r="D61" s="1" t="s">
        <v>241</v>
      </c>
      <c r="E61" s="3" t="s">
        <v>242</v>
      </c>
    </row>
    <row r="62" spans="1:5" ht="14.4">
      <c r="A62" s="2">
        <v>60</v>
      </c>
      <c r="B62" s="1" t="s">
        <v>243</v>
      </c>
      <c r="C62" s="1" t="s">
        <v>244</v>
      </c>
      <c r="D62" s="1" t="s">
        <v>245</v>
      </c>
      <c r="E62" s="3" t="s">
        <v>246</v>
      </c>
    </row>
    <row r="63" spans="1:5" ht="14.4">
      <c r="A63" s="2">
        <v>61</v>
      </c>
      <c r="B63" s="1" t="s">
        <v>247</v>
      </c>
      <c r="C63" s="1" t="s">
        <v>248</v>
      </c>
      <c r="D63" s="1" t="s">
        <v>249</v>
      </c>
      <c r="E63" s="3" t="s">
        <v>250</v>
      </c>
    </row>
    <row r="64" spans="1:5" ht="14.4">
      <c r="A64" s="2">
        <v>62</v>
      </c>
      <c r="B64" s="1" t="s">
        <v>251</v>
      </c>
      <c r="C64" s="1" t="s">
        <v>252</v>
      </c>
      <c r="D64" s="1" t="s">
        <v>253</v>
      </c>
      <c r="E64" s="3" t="s">
        <v>254</v>
      </c>
    </row>
    <row r="65" spans="1:5" ht="14.4">
      <c r="A65" s="2">
        <v>63</v>
      </c>
      <c r="B65" s="1" t="s">
        <v>255</v>
      </c>
      <c r="C65" s="1" t="s">
        <v>256</v>
      </c>
      <c r="D65" s="1" t="s">
        <v>257</v>
      </c>
      <c r="E65" s="3" t="s">
        <v>258</v>
      </c>
    </row>
    <row r="66" spans="1:5" ht="14.4">
      <c r="A66" s="2">
        <v>64</v>
      </c>
      <c r="B66" s="1" t="s">
        <v>259</v>
      </c>
      <c r="C66" s="1" t="s">
        <v>260</v>
      </c>
      <c r="D66" s="1" t="s">
        <v>261</v>
      </c>
      <c r="E66" s="3" t="s">
        <v>262</v>
      </c>
    </row>
    <row r="67" spans="1:5" ht="14.4">
      <c r="A67" s="2">
        <v>65</v>
      </c>
      <c r="B67" s="1" t="s">
        <v>263</v>
      </c>
      <c r="C67" s="1" t="s">
        <v>264</v>
      </c>
      <c r="D67" s="1" t="s">
        <v>265</v>
      </c>
      <c r="E67" s="3" t="s">
        <v>266</v>
      </c>
    </row>
    <row r="68" spans="1:5" ht="14.4">
      <c r="A68" s="2">
        <v>66</v>
      </c>
      <c r="B68" s="1" t="s">
        <v>267</v>
      </c>
      <c r="C68" s="1" t="s">
        <v>268</v>
      </c>
      <c r="D68" s="1" t="s">
        <v>269</v>
      </c>
      <c r="E68" s="3" t="s">
        <v>270</v>
      </c>
    </row>
    <row r="69" spans="1:5" ht="14.4">
      <c r="A69" s="2">
        <v>67</v>
      </c>
      <c r="B69" s="1" t="s">
        <v>271</v>
      </c>
      <c r="C69" s="1" t="s">
        <v>272</v>
      </c>
      <c r="D69" s="1" t="s">
        <v>273</v>
      </c>
      <c r="E69" s="3" t="s">
        <v>274</v>
      </c>
    </row>
    <row r="70" spans="1:5" ht="14.4">
      <c r="A70" s="2">
        <v>68</v>
      </c>
      <c r="B70" s="1" t="s">
        <v>275</v>
      </c>
      <c r="C70" s="1" t="s">
        <v>276</v>
      </c>
      <c r="D70" s="1" t="s">
        <v>277</v>
      </c>
      <c r="E70" s="3" t="s">
        <v>278</v>
      </c>
    </row>
    <row r="71" spans="1:5" ht="14.4">
      <c r="A71" s="2">
        <v>69</v>
      </c>
      <c r="B71" s="1" t="s">
        <v>279</v>
      </c>
      <c r="C71" s="1" t="s">
        <v>280</v>
      </c>
      <c r="D71" s="1" t="s">
        <v>281</v>
      </c>
      <c r="E71" s="3" t="s">
        <v>282</v>
      </c>
    </row>
    <row r="72" spans="1:5" ht="14.4">
      <c r="A72" s="2">
        <v>70</v>
      </c>
      <c r="B72" s="1" t="s">
        <v>283</v>
      </c>
      <c r="C72" s="1" t="s">
        <v>284</v>
      </c>
      <c r="D72" s="1" t="s">
        <v>285</v>
      </c>
      <c r="E72" s="3" t="s">
        <v>286</v>
      </c>
    </row>
    <row r="73" spans="1:5" ht="14.4">
      <c r="A73" s="2">
        <v>71</v>
      </c>
      <c r="B73" s="1" t="s">
        <v>287</v>
      </c>
      <c r="C73" s="1" t="s">
        <v>288</v>
      </c>
      <c r="D73" s="1" t="s">
        <v>289</v>
      </c>
      <c r="E73" s="3" t="s">
        <v>290</v>
      </c>
    </row>
    <row r="74" spans="1:5" ht="14.4">
      <c r="A74" s="2">
        <v>72</v>
      </c>
      <c r="B74" s="1" t="s">
        <v>291</v>
      </c>
      <c r="C74" s="1" t="s">
        <v>292</v>
      </c>
      <c r="D74" s="1" t="s">
        <v>293</v>
      </c>
      <c r="E74" s="3" t="s">
        <v>294</v>
      </c>
    </row>
    <row r="75" spans="1:5" ht="14.4">
      <c r="A75" s="2">
        <v>73</v>
      </c>
      <c r="B75" s="1" t="s">
        <v>295</v>
      </c>
      <c r="C75" s="1" t="s">
        <v>296</v>
      </c>
      <c r="D75" s="1" t="s">
        <v>297</v>
      </c>
      <c r="E75" s="3" t="s">
        <v>298</v>
      </c>
    </row>
    <row r="76" spans="1:5" ht="14.4">
      <c r="A76" s="2">
        <v>74</v>
      </c>
      <c r="B76" s="1" t="s">
        <v>299</v>
      </c>
      <c r="C76" s="1" t="s">
        <v>300</v>
      </c>
      <c r="D76" s="1" t="s">
        <v>301</v>
      </c>
      <c r="E76" s="3" t="s">
        <v>302</v>
      </c>
    </row>
    <row r="77" spans="1:5" ht="14.4">
      <c r="A77" s="2">
        <v>75</v>
      </c>
      <c r="B77" s="1" t="s">
        <v>303</v>
      </c>
      <c r="C77" s="1" t="s">
        <v>304</v>
      </c>
      <c r="D77" s="1" t="s">
        <v>305</v>
      </c>
      <c r="E77" s="3" t="s">
        <v>306</v>
      </c>
    </row>
    <row r="78" spans="1:5" ht="14.4">
      <c r="A78" s="2">
        <v>76</v>
      </c>
      <c r="B78" s="1" t="s">
        <v>307</v>
      </c>
      <c r="C78" s="1" t="s">
        <v>308</v>
      </c>
      <c r="D78" s="1" t="s">
        <v>309</v>
      </c>
      <c r="E78" s="3" t="s">
        <v>310</v>
      </c>
    </row>
    <row r="79" spans="1:5" ht="14.4">
      <c r="A79" s="2">
        <v>77</v>
      </c>
      <c r="B79" s="1" t="s">
        <v>311</v>
      </c>
      <c r="C79" s="1" t="s">
        <v>312</v>
      </c>
      <c r="D79" s="1" t="s">
        <v>313</v>
      </c>
      <c r="E79" s="3" t="s">
        <v>314</v>
      </c>
    </row>
    <row r="80" spans="1:5" ht="14.4">
      <c r="A80" s="2">
        <v>78</v>
      </c>
      <c r="B80" s="1" t="s">
        <v>315</v>
      </c>
      <c r="C80" s="1" t="s">
        <v>316</v>
      </c>
      <c r="D80" s="1" t="s">
        <v>317</v>
      </c>
      <c r="E80" s="3" t="s">
        <v>318</v>
      </c>
    </row>
    <row r="81" spans="1:5" ht="14.4">
      <c r="A81" s="2">
        <v>79</v>
      </c>
      <c r="B81" s="1" t="s">
        <v>319</v>
      </c>
      <c r="C81" s="1" t="s">
        <v>320</v>
      </c>
      <c r="D81" s="1" t="s">
        <v>321</v>
      </c>
      <c r="E81" s="3" t="s">
        <v>322</v>
      </c>
    </row>
    <row r="82" spans="1:5" ht="14.4">
      <c r="A82" s="2">
        <v>80</v>
      </c>
      <c r="B82" s="1" t="s">
        <v>323</v>
      </c>
      <c r="C82" s="1" t="s">
        <v>324</v>
      </c>
      <c r="D82" s="1" t="s">
        <v>325</v>
      </c>
      <c r="E82" s="3" t="s">
        <v>326</v>
      </c>
    </row>
    <row r="83" spans="1:5" ht="14.4">
      <c r="A83" s="2">
        <v>81</v>
      </c>
      <c r="B83" s="1" t="s">
        <v>327</v>
      </c>
      <c r="C83" s="1" t="s">
        <v>328</v>
      </c>
      <c r="D83" s="1" t="s">
        <v>329</v>
      </c>
      <c r="E83" s="3" t="s">
        <v>330</v>
      </c>
    </row>
    <row r="84" spans="1:5" ht="14.4">
      <c r="A84" s="2">
        <v>82</v>
      </c>
      <c r="B84" s="1" t="s">
        <v>331</v>
      </c>
      <c r="C84" s="1" t="s">
        <v>332</v>
      </c>
      <c r="D84" s="1" t="s">
        <v>333</v>
      </c>
      <c r="E84" s="3" t="s">
        <v>334</v>
      </c>
    </row>
    <row r="85" spans="1:5" ht="14.4">
      <c r="A85" s="2">
        <v>83</v>
      </c>
      <c r="B85" s="1" t="s">
        <v>335</v>
      </c>
      <c r="C85" s="1" t="s">
        <v>336</v>
      </c>
      <c r="D85" s="1" t="s">
        <v>337</v>
      </c>
      <c r="E85" s="3" t="s">
        <v>338</v>
      </c>
    </row>
    <row r="86" spans="1:5" ht="14.4">
      <c r="A86" s="2">
        <v>84</v>
      </c>
      <c r="B86" s="1" t="s">
        <v>339</v>
      </c>
      <c r="C86" s="1" t="s">
        <v>340</v>
      </c>
      <c r="D86" s="1" t="s">
        <v>341</v>
      </c>
      <c r="E86" s="3" t="s">
        <v>342</v>
      </c>
    </row>
    <row r="87" spans="1:5" ht="14.4">
      <c r="A87" s="2">
        <v>85</v>
      </c>
      <c r="B87" s="1" t="s">
        <v>343</v>
      </c>
      <c r="C87" s="1" t="s">
        <v>344</v>
      </c>
      <c r="D87" s="1" t="s">
        <v>345</v>
      </c>
      <c r="E87" s="3" t="s">
        <v>346</v>
      </c>
    </row>
    <row r="88" spans="1:5" ht="14.4">
      <c r="A88" s="2">
        <v>86</v>
      </c>
      <c r="B88" s="1" t="s">
        <v>347</v>
      </c>
      <c r="C88" s="1" t="s">
        <v>348</v>
      </c>
      <c r="D88" s="1" t="s">
        <v>349</v>
      </c>
      <c r="E88" s="3" t="s">
        <v>350</v>
      </c>
    </row>
    <row r="89" spans="1:5" ht="14.4">
      <c r="A89" s="2">
        <v>87</v>
      </c>
      <c r="B89" s="1" t="s">
        <v>351</v>
      </c>
      <c r="C89" s="1" t="s">
        <v>352</v>
      </c>
      <c r="D89" s="1" t="s">
        <v>353</v>
      </c>
      <c r="E89" s="3" t="s">
        <v>354</v>
      </c>
    </row>
    <row r="90" spans="1:5" ht="14.4">
      <c r="A90" s="2">
        <v>88</v>
      </c>
      <c r="B90" s="1" t="s">
        <v>355</v>
      </c>
      <c r="C90" s="1" t="s">
        <v>356</v>
      </c>
      <c r="D90" s="1" t="s">
        <v>357</v>
      </c>
      <c r="E90" s="3" t="s">
        <v>358</v>
      </c>
    </row>
    <row r="91" spans="1:5" ht="14.4">
      <c r="A91" s="2">
        <v>89</v>
      </c>
      <c r="B91" s="1" t="s">
        <v>359</v>
      </c>
      <c r="C91" s="1" t="s">
        <v>360</v>
      </c>
      <c r="D91" s="1" t="s">
        <v>361</v>
      </c>
      <c r="E91" s="3" t="s">
        <v>362</v>
      </c>
    </row>
    <row r="92" spans="1:5" ht="14.4">
      <c r="A92" s="2">
        <v>90</v>
      </c>
      <c r="B92" s="1" t="s">
        <v>363</v>
      </c>
      <c r="C92" s="1" t="s">
        <v>364</v>
      </c>
      <c r="D92" s="1" t="s">
        <v>365</v>
      </c>
      <c r="E92" s="3" t="s">
        <v>366</v>
      </c>
    </row>
    <row r="93" spans="1:5" ht="14.4">
      <c r="A93" s="2">
        <v>91</v>
      </c>
      <c r="B93" s="1" t="s">
        <v>367</v>
      </c>
      <c r="C93" s="1" t="s">
        <v>368</v>
      </c>
      <c r="D93" s="1" t="s">
        <v>369</v>
      </c>
      <c r="E93" s="3" t="s">
        <v>370</v>
      </c>
    </row>
    <row r="94" spans="1:5" ht="14.4">
      <c r="A94" s="2">
        <v>92</v>
      </c>
      <c r="B94" s="1" t="s">
        <v>371</v>
      </c>
      <c r="C94" s="1" t="s">
        <v>372</v>
      </c>
      <c r="D94" s="1" t="s">
        <v>373</v>
      </c>
      <c r="E94" s="3" t="s">
        <v>374</v>
      </c>
    </row>
    <row r="95" spans="1:5" ht="14.4">
      <c r="A95" s="2">
        <v>93</v>
      </c>
      <c r="B95" s="1" t="s">
        <v>375</v>
      </c>
      <c r="C95" s="1" t="s">
        <v>376</v>
      </c>
      <c r="D95" s="1" t="s">
        <v>377</v>
      </c>
      <c r="E95" s="3" t="s">
        <v>378</v>
      </c>
    </row>
    <row r="96" spans="1:5" ht="14.4">
      <c r="A96" s="2">
        <v>94</v>
      </c>
      <c r="B96" s="1" t="s">
        <v>379</v>
      </c>
      <c r="C96" s="1" t="s">
        <v>380</v>
      </c>
      <c r="D96" s="1" t="s">
        <v>381</v>
      </c>
      <c r="E96" s="3" t="s">
        <v>382</v>
      </c>
    </row>
    <row r="97" spans="1:5" ht="14.4">
      <c r="A97" s="2">
        <v>95</v>
      </c>
      <c r="B97" s="1" t="s">
        <v>383</v>
      </c>
      <c r="C97" s="1" t="s">
        <v>384</v>
      </c>
      <c r="D97" s="1" t="s">
        <v>385</v>
      </c>
      <c r="E97" s="3" t="s">
        <v>386</v>
      </c>
    </row>
    <row r="98" spans="1:5" ht="14.4">
      <c r="A98" s="2">
        <v>96</v>
      </c>
      <c r="B98" s="1" t="s">
        <v>387</v>
      </c>
      <c r="C98" s="1" t="s">
        <v>388</v>
      </c>
      <c r="D98" s="1" t="s">
        <v>389</v>
      </c>
      <c r="E98" s="3" t="s">
        <v>390</v>
      </c>
    </row>
    <row r="99" spans="1:5" ht="14.4">
      <c r="A99" s="2">
        <v>97</v>
      </c>
      <c r="B99" s="1" t="s">
        <v>391</v>
      </c>
      <c r="C99" s="1" t="s">
        <v>392</v>
      </c>
      <c r="D99" s="1" t="s">
        <v>393</v>
      </c>
      <c r="E99" s="3" t="s">
        <v>394</v>
      </c>
    </row>
    <row r="100" spans="1:5" ht="14.4">
      <c r="A100" s="2">
        <v>98</v>
      </c>
      <c r="B100" s="1" t="s">
        <v>395</v>
      </c>
      <c r="C100" s="1" t="s">
        <v>396</v>
      </c>
      <c r="D100" s="1" t="s">
        <v>397</v>
      </c>
      <c r="E100" s="3" t="s">
        <v>398</v>
      </c>
    </row>
    <row r="101" spans="1:5" ht="14.4">
      <c r="A101" s="2">
        <v>99</v>
      </c>
      <c r="B101" s="1" t="s">
        <v>399</v>
      </c>
      <c r="C101" s="1" t="s">
        <v>400</v>
      </c>
      <c r="D101" s="1" t="s">
        <v>401</v>
      </c>
      <c r="E101" s="3" t="s">
        <v>402</v>
      </c>
    </row>
    <row r="102" spans="1:5" ht="14.4">
      <c r="A102" s="2">
        <v>100</v>
      </c>
      <c r="B102" s="1" t="s">
        <v>403</v>
      </c>
      <c r="C102" s="1" t="s">
        <v>404</v>
      </c>
      <c r="D102" s="1" t="s">
        <v>405</v>
      </c>
      <c r="E102" s="3" t="s">
        <v>406</v>
      </c>
    </row>
    <row r="103" spans="1:5" ht="14.4">
      <c r="A103" s="2">
        <v>101</v>
      </c>
      <c r="B103" s="1" t="s">
        <v>407</v>
      </c>
      <c r="C103" s="1" t="s">
        <v>408</v>
      </c>
      <c r="D103" s="1" t="s">
        <v>409</v>
      </c>
      <c r="E103" s="3" t="s">
        <v>410</v>
      </c>
    </row>
    <row r="104" spans="1:5" ht="14.4">
      <c r="A104" s="2">
        <v>102</v>
      </c>
      <c r="B104" s="1" t="s">
        <v>411</v>
      </c>
      <c r="C104" s="1" t="s">
        <v>412</v>
      </c>
      <c r="D104" s="1" t="s">
        <v>413</v>
      </c>
      <c r="E104" s="3" t="s">
        <v>414</v>
      </c>
    </row>
    <row r="105" spans="1:5" ht="14.4">
      <c r="A105" s="2">
        <v>103</v>
      </c>
      <c r="B105" s="1" t="s">
        <v>415</v>
      </c>
      <c r="C105" s="1" t="s">
        <v>416</v>
      </c>
      <c r="D105" s="1" t="s">
        <v>417</v>
      </c>
      <c r="E105" s="3" t="s">
        <v>418</v>
      </c>
    </row>
    <row r="106" spans="1:5" ht="14.4">
      <c r="A106" s="2">
        <v>104</v>
      </c>
      <c r="B106" s="1" t="s">
        <v>419</v>
      </c>
      <c r="C106" s="1" t="s">
        <v>420</v>
      </c>
      <c r="D106" s="1" t="s">
        <v>421</v>
      </c>
      <c r="E106" s="3" t="s">
        <v>422</v>
      </c>
    </row>
    <row r="107" spans="1:5" ht="14.4">
      <c r="A107" s="2">
        <v>105</v>
      </c>
      <c r="B107" s="1" t="s">
        <v>423</v>
      </c>
      <c r="C107" s="1" t="s">
        <v>424</v>
      </c>
      <c r="D107" s="1" t="s">
        <v>425</v>
      </c>
      <c r="E107" s="3" t="s">
        <v>426</v>
      </c>
    </row>
    <row r="108" spans="1:5" ht="14.4">
      <c r="A108" s="2">
        <v>106</v>
      </c>
      <c r="B108" s="1" t="s">
        <v>427</v>
      </c>
      <c r="C108" s="1" t="s">
        <v>428</v>
      </c>
      <c r="D108" s="1" t="s">
        <v>429</v>
      </c>
      <c r="E108" s="3" t="s">
        <v>430</v>
      </c>
    </row>
    <row r="109" spans="1:5" ht="14.4">
      <c r="A109" s="2">
        <v>107</v>
      </c>
      <c r="B109" s="1" t="s">
        <v>431</v>
      </c>
      <c r="C109" s="1" t="s">
        <v>432</v>
      </c>
      <c r="D109" s="1" t="s">
        <v>433</v>
      </c>
      <c r="E109" s="3" t="s">
        <v>434</v>
      </c>
    </row>
    <row r="110" spans="1:5" ht="14.4">
      <c r="A110" s="2">
        <v>108</v>
      </c>
      <c r="B110" s="1" t="s">
        <v>435</v>
      </c>
      <c r="C110" s="1" t="s">
        <v>436</v>
      </c>
      <c r="D110" s="1" t="s">
        <v>437</v>
      </c>
      <c r="E110" s="3" t="s">
        <v>438</v>
      </c>
    </row>
    <row r="111" spans="1:5" ht="14.4">
      <c r="A111" s="2">
        <v>109</v>
      </c>
      <c r="B111" s="1" t="s">
        <v>439</v>
      </c>
      <c r="C111" s="1" t="s">
        <v>440</v>
      </c>
      <c r="D111" s="1" t="s">
        <v>441</v>
      </c>
      <c r="E111" s="3" t="s">
        <v>442</v>
      </c>
    </row>
    <row r="112" spans="1:5" ht="14.4">
      <c r="A112" s="2">
        <v>110</v>
      </c>
      <c r="B112" s="1" t="s">
        <v>84</v>
      </c>
      <c r="C112" s="1" t="s">
        <v>443</v>
      </c>
      <c r="D112" s="1" t="s">
        <v>444</v>
      </c>
      <c r="E112" s="3" t="s">
        <v>445</v>
      </c>
    </row>
    <row r="113" spans="1:5" ht="14.4">
      <c r="A113" s="2">
        <v>111</v>
      </c>
      <c r="B113" s="1" t="s">
        <v>446</v>
      </c>
      <c r="C113" s="1" t="s">
        <v>447</v>
      </c>
      <c r="D113" s="1" t="s">
        <v>448</v>
      </c>
      <c r="E113" s="3" t="s">
        <v>449</v>
      </c>
    </row>
    <row r="114" spans="1:5" ht="14.4">
      <c r="A114" s="2">
        <v>112</v>
      </c>
      <c r="B114" s="1" t="s">
        <v>450</v>
      </c>
      <c r="C114" s="1" t="s">
        <v>451</v>
      </c>
      <c r="D114" s="1" t="s">
        <v>452</v>
      </c>
      <c r="E114" s="3" t="s">
        <v>453</v>
      </c>
    </row>
    <row r="115" spans="1:5" ht="14.4">
      <c r="A115" s="2">
        <v>113</v>
      </c>
      <c r="B115" s="1" t="s">
        <v>454</v>
      </c>
      <c r="C115" s="1" t="s">
        <v>455</v>
      </c>
      <c r="D115" s="1" t="s">
        <v>456</v>
      </c>
      <c r="E115" s="3" t="s">
        <v>457</v>
      </c>
    </row>
    <row r="116" spans="1:5" ht="14.4">
      <c r="A116" s="2">
        <v>114</v>
      </c>
      <c r="B116" s="1" t="s">
        <v>458</v>
      </c>
      <c r="C116" s="1" t="s">
        <v>459</v>
      </c>
      <c r="D116" s="1" t="s">
        <v>460</v>
      </c>
      <c r="E116" s="3" t="s">
        <v>461</v>
      </c>
    </row>
    <row r="117" spans="1:5" ht="14.4">
      <c r="A117" s="2">
        <v>115</v>
      </c>
      <c r="B117" s="1" t="s">
        <v>462</v>
      </c>
      <c r="C117" s="1" t="s">
        <v>463</v>
      </c>
      <c r="D117" s="1" t="s">
        <v>464</v>
      </c>
      <c r="E117" s="3" t="s">
        <v>465</v>
      </c>
    </row>
    <row r="118" spans="1:5" ht="14.4">
      <c r="A118" s="2">
        <v>116</v>
      </c>
      <c r="B118" s="1" t="s">
        <v>466</v>
      </c>
      <c r="C118" s="1" t="s">
        <v>467</v>
      </c>
      <c r="D118" s="1" t="s">
        <v>468</v>
      </c>
      <c r="E118" s="3" t="s">
        <v>469</v>
      </c>
    </row>
    <row r="119" spans="1:5" ht="14.4">
      <c r="A119" s="2">
        <v>117</v>
      </c>
      <c r="B119" s="1" t="s">
        <v>470</v>
      </c>
      <c r="C119" s="1" t="s">
        <v>471</v>
      </c>
      <c r="D119" s="1" t="s">
        <v>472</v>
      </c>
      <c r="E119" s="3" t="s">
        <v>473</v>
      </c>
    </row>
    <row r="120" spans="1:5" ht="14.4">
      <c r="A120" s="2">
        <v>118</v>
      </c>
      <c r="B120" s="1" t="s">
        <v>474</v>
      </c>
      <c r="C120" s="1" t="s">
        <v>475</v>
      </c>
      <c r="D120" s="1" t="s">
        <v>476</v>
      </c>
      <c r="E120" s="3" t="s">
        <v>477</v>
      </c>
    </row>
    <row r="121" spans="1:5" ht="14.4">
      <c r="A121" s="2">
        <v>119</v>
      </c>
      <c r="B121" s="1" t="s">
        <v>478</v>
      </c>
      <c r="C121" s="1" t="s">
        <v>479</v>
      </c>
      <c r="D121" s="1" t="s">
        <v>480</v>
      </c>
      <c r="E121" s="3" t="s">
        <v>481</v>
      </c>
    </row>
    <row r="122" spans="1:5" ht="14.4">
      <c r="A122" s="2">
        <v>120</v>
      </c>
      <c r="B122" s="1" t="s">
        <v>482</v>
      </c>
      <c r="C122" s="1" t="s">
        <v>483</v>
      </c>
      <c r="D122" s="1" t="s">
        <v>484</v>
      </c>
      <c r="E122" s="3" t="s">
        <v>485</v>
      </c>
    </row>
    <row r="123" spans="1:5" ht="14.4">
      <c r="A123" s="2">
        <v>121</v>
      </c>
      <c r="B123" s="1" t="s">
        <v>486</v>
      </c>
      <c r="C123" s="1" t="s">
        <v>487</v>
      </c>
      <c r="D123" s="1" t="s">
        <v>488</v>
      </c>
      <c r="E123" s="3" t="s">
        <v>489</v>
      </c>
    </row>
    <row r="124" spans="1:5" ht="14.4">
      <c r="A124" s="2">
        <v>122</v>
      </c>
      <c r="B124" s="1" t="s">
        <v>490</v>
      </c>
      <c r="C124" s="1" t="s">
        <v>491</v>
      </c>
      <c r="D124" s="1" t="s">
        <v>492</v>
      </c>
      <c r="E124" s="3" t="s">
        <v>493</v>
      </c>
    </row>
    <row r="125" spans="1:5" ht="14.4">
      <c r="A125" s="2">
        <v>123</v>
      </c>
      <c r="B125" s="1" t="s">
        <v>494</v>
      </c>
      <c r="C125" s="1" t="s">
        <v>495</v>
      </c>
      <c r="D125" s="1" t="s">
        <v>496</v>
      </c>
      <c r="E125" s="3" t="s">
        <v>497</v>
      </c>
    </row>
    <row r="126" spans="1:5" ht="14.4">
      <c r="A126" s="2">
        <v>124</v>
      </c>
      <c r="B126" s="1" t="s">
        <v>498</v>
      </c>
      <c r="C126" s="1" t="s">
        <v>499</v>
      </c>
      <c r="D126" s="1" t="s">
        <v>500</v>
      </c>
      <c r="E126" s="3" t="s">
        <v>501</v>
      </c>
    </row>
    <row r="127" spans="1:5" ht="14.4">
      <c r="A127" s="2">
        <v>125</v>
      </c>
      <c r="B127" s="1" t="s">
        <v>502</v>
      </c>
      <c r="C127" s="1" t="s">
        <v>503</v>
      </c>
      <c r="D127" s="1" t="s">
        <v>504</v>
      </c>
      <c r="E127" s="3" t="s">
        <v>505</v>
      </c>
    </row>
    <row r="128" spans="1:5" ht="14.4">
      <c r="A128" s="2">
        <v>126</v>
      </c>
      <c r="B128" s="1" t="s">
        <v>466</v>
      </c>
      <c r="C128" s="1" t="s">
        <v>506</v>
      </c>
      <c r="D128" s="1" t="s">
        <v>507</v>
      </c>
      <c r="E128" s="3" t="s">
        <v>508</v>
      </c>
    </row>
    <row r="129" spans="1:7" ht="14.4">
      <c r="A129" s="2">
        <v>127</v>
      </c>
      <c r="B129" s="1" t="s">
        <v>509</v>
      </c>
      <c r="C129" s="1" t="s">
        <v>510</v>
      </c>
      <c r="D129" s="1" t="s">
        <v>511</v>
      </c>
      <c r="E129" s="3" t="s">
        <v>512</v>
      </c>
    </row>
    <row r="130" spans="1:7" ht="14.4">
      <c r="A130" s="2">
        <v>128</v>
      </c>
      <c r="B130" s="1" t="s">
        <v>513</v>
      </c>
      <c r="C130" s="1" t="s">
        <v>514</v>
      </c>
      <c r="D130" s="1" t="s">
        <v>515</v>
      </c>
      <c r="E130" s="3" t="s">
        <v>516</v>
      </c>
    </row>
    <row r="131" spans="1:7" ht="14.4">
      <c r="A131" s="2">
        <v>129</v>
      </c>
      <c r="B131" s="1" t="s">
        <v>517</v>
      </c>
      <c r="C131" s="1" t="s">
        <v>518</v>
      </c>
      <c r="D131" s="1" t="s">
        <v>519</v>
      </c>
      <c r="E131" s="3" t="s">
        <v>520</v>
      </c>
    </row>
    <row r="132" spans="1:7" ht="14.4">
      <c r="A132" s="2">
        <v>130</v>
      </c>
      <c r="B132" s="1" t="s">
        <v>521</v>
      </c>
      <c r="C132" s="1" t="s">
        <v>522</v>
      </c>
      <c r="D132" s="1" t="s">
        <v>523</v>
      </c>
      <c r="E132" s="3" t="s">
        <v>524</v>
      </c>
    </row>
    <row r="133" spans="1:7" ht="14.4">
      <c r="A133" s="2">
        <v>131</v>
      </c>
      <c r="B133" s="1" t="s">
        <v>525</v>
      </c>
      <c r="C133" s="1" t="s">
        <v>526</v>
      </c>
      <c r="D133" s="1" t="s">
        <v>527</v>
      </c>
      <c r="E133" s="3" t="s">
        <v>528</v>
      </c>
    </row>
    <row r="134" spans="1:7" ht="14.4">
      <c r="A134" s="2">
        <v>132</v>
      </c>
      <c r="B134" s="1" t="s">
        <v>529</v>
      </c>
      <c r="C134" s="1" t="s">
        <v>530</v>
      </c>
      <c r="D134" s="1" t="s">
        <v>531</v>
      </c>
      <c r="E134" s="3" t="s">
        <v>532</v>
      </c>
    </row>
    <row r="135" spans="1:7" ht="14.4">
      <c r="A135" s="2">
        <v>133</v>
      </c>
      <c r="B135" s="1" t="s">
        <v>533</v>
      </c>
      <c r="C135" s="1" t="s">
        <v>534</v>
      </c>
      <c r="D135" s="1" t="s">
        <v>535</v>
      </c>
      <c r="E135" s="3" t="s">
        <v>536</v>
      </c>
    </row>
    <row r="136" spans="1:7" ht="14.4">
      <c r="A136" s="2">
        <v>134</v>
      </c>
      <c r="B136" s="1" t="s">
        <v>295</v>
      </c>
      <c r="C136" s="1" t="s">
        <v>537</v>
      </c>
      <c r="D136" s="1" t="s">
        <v>538</v>
      </c>
      <c r="E136" s="3" t="s">
        <v>539</v>
      </c>
    </row>
    <row r="139" spans="1:7" ht="13.2">
      <c r="A139" s="179" t="s">
        <v>540</v>
      </c>
      <c r="B139" s="180"/>
      <c r="C139" s="180"/>
      <c r="E139" s="179" t="s">
        <v>541</v>
      </c>
      <c r="F139" s="180"/>
      <c r="G139" s="180"/>
    </row>
    <row r="140" spans="1:7" ht="14.4">
      <c r="A140" s="1"/>
      <c r="B140" s="2" t="s">
        <v>542</v>
      </c>
      <c r="C140" s="2" t="s">
        <v>543</v>
      </c>
      <c r="E140" s="1"/>
      <c r="F140" s="2" t="s">
        <v>542</v>
      </c>
      <c r="G140" s="2" t="s">
        <v>543</v>
      </c>
    </row>
    <row r="141" spans="1:7" ht="14.4">
      <c r="A141" s="2">
        <v>8</v>
      </c>
      <c r="B141" s="1" t="s">
        <v>544</v>
      </c>
      <c r="C141" s="4">
        <v>41</v>
      </c>
      <c r="E141" s="2">
        <v>8</v>
      </c>
      <c r="F141" s="1" t="s">
        <v>544</v>
      </c>
      <c r="G141" s="4">
        <v>65</v>
      </c>
    </row>
    <row r="142" spans="1:7" ht="14.4">
      <c r="A142" s="2">
        <v>3</v>
      </c>
      <c r="B142" s="1" t="s">
        <v>545</v>
      </c>
      <c r="C142" s="4">
        <v>37</v>
      </c>
      <c r="E142" s="2">
        <v>3</v>
      </c>
      <c r="F142" s="1" t="s">
        <v>545</v>
      </c>
      <c r="G142" s="4">
        <v>62</v>
      </c>
    </row>
    <row r="143" spans="1:7" ht="14.4">
      <c r="A143" s="2">
        <v>2</v>
      </c>
      <c r="B143" s="1" t="s">
        <v>546</v>
      </c>
      <c r="C143" s="4">
        <v>36</v>
      </c>
      <c r="E143" s="2">
        <v>2</v>
      </c>
      <c r="F143" s="1" t="s">
        <v>546</v>
      </c>
      <c r="G143" s="4">
        <v>62</v>
      </c>
    </row>
    <row r="144" spans="1:7" ht="14.4">
      <c r="A144" s="2">
        <v>4</v>
      </c>
      <c r="B144" s="1" t="s">
        <v>547</v>
      </c>
      <c r="C144" s="4">
        <v>35</v>
      </c>
      <c r="E144" s="2">
        <v>4</v>
      </c>
      <c r="F144" s="1" t="s">
        <v>547</v>
      </c>
      <c r="G144" s="4">
        <v>58</v>
      </c>
    </row>
    <row r="145" spans="1:7" ht="14.4">
      <c r="A145" s="2">
        <v>5</v>
      </c>
      <c r="B145" s="1" t="s">
        <v>548</v>
      </c>
      <c r="C145" s="4">
        <v>27</v>
      </c>
      <c r="E145" s="2">
        <v>5</v>
      </c>
      <c r="F145" s="1" t="s">
        <v>548</v>
      </c>
      <c r="G145" s="4">
        <v>40</v>
      </c>
    </row>
    <row r="146" spans="1:7" ht="14.4">
      <c r="A146" s="2">
        <v>0</v>
      </c>
      <c r="B146" s="1" t="s">
        <v>549</v>
      </c>
      <c r="C146" s="4">
        <v>24</v>
      </c>
      <c r="E146" s="2">
        <v>16</v>
      </c>
      <c r="F146" s="1" t="s">
        <v>550</v>
      </c>
      <c r="G146" s="4">
        <v>40</v>
      </c>
    </row>
    <row r="147" spans="1:7" ht="14.4">
      <c r="A147" s="2">
        <v>7</v>
      </c>
      <c r="B147" s="1" t="s">
        <v>551</v>
      </c>
      <c r="C147" s="4">
        <v>21</v>
      </c>
      <c r="E147" s="2">
        <v>0</v>
      </c>
      <c r="F147" s="1" t="s">
        <v>549</v>
      </c>
      <c r="G147" s="4">
        <v>36</v>
      </c>
    </row>
    <row r="148" spans="1:7" ht="14.4">
      <c r="A148" s="2">
        <v>16</v>
      </c>
      <c r="B148" s="1" t="s">
        <v>550</v>
      </c>
      <c r="C148" s="4">
        <v>20</v>
      </c>
      <c r="E148" s="2">
        <v>7</v>
      </c>
      <c r="F148" s="1" t="s">
        <v>551</v>
      </c>
      <c r="G148" s="4">
        <v>34</v>
      </c>
    </row>
    <row r="149" spans="1:7" ht="14.4">
      <c r="A149" s="2">
        <v>17</v>
      </c>
      <c r="B149" s="1" t="s">
        <v>552</v>
      </c>
      <c r="C149" s="4">
        <v>16</v>
      </c>
      <c r="E149" s="2">
        <v>28</v>
      </c>
      <c r="F149" s="1" t="s">
        <v>553</v>
      </c>
      <c r="G149" s="4">
        <v>31</v>
      </c>
    </row>
    <row r="150" spans="1:7" ht="14.4">
      <c r="A150" s="2">
        <v>29</v>
      </c>
      <c r="B150" s="1" t="s">
        <v>553</v>
      </c>
      <c r="C150" s="4">
        <v>16</v>
      </c>
      <c r="E150" s="2">
        <v>19</v>
      </c>
      <c r="F150" s="1" t="s">
        <v>554</v>
      </c>
      <c r="G150" s="4">
        <v>28</v>
      </c>
    </row>
    <row r="151" spans="1:7" ht="14.4">
      <c r="A151" s="2">
        <v>13</v>
      </c>
      <c r="B151" s="1" t="s">
        <v>554</v>
      </c>
      <c r="C151" s="4">
        <v>15</v>
      </c>
      <c r="E151" s="2">
        <v>17</v>
      </c>
      <c r="F151" s="1" t="s">
        <v>552</v>
      </c>
      <c r="G151" s="4">
        <v>27</v>
      </c>
    </row>
    <row r="152" spans="1:7" ht="14.4">
      <c r="A152" s="2">
        <v>11</v>
      </c>
      <c r="B152" s="1" t="s">
        <v>555</v>
      </c>
      <c r="C152" s="4">
        <v>14</v>
      </c>
      <c r="E152" s="2">
        <v>11</v>
      </c>
      <c r="F152" s="1" t="s">
        <v>555</v>
      </c>
      <c r="G152" s="4">
        <v>25</v>
      </c>
    </row>
    <row r="153" spans="1:7" ht="14.4">
      <c r="A153" s="2">
        <v>15</v>
      </c>
      <c r="B153" s="1" t="s">
        <v>556</v>
      </c>
      <c r="C153" s="4">
        <v>11</v>
      </c>
      <c r="E153" s="2">
        <v>15</v>
      </c>
      <c r="F153" s="1" t="s">
        <v>556</v>
      </c>
      <c r="G153" s="4">
        <v>20</v>
      </c>
    </row>
    <row r="154" spans="1:7" ht="14.4">
      <c r="A154" s="2">
        <v>6</v>
      </c>
      <c r="B154" s="1" t="s">
        <v>557</v>
      </c>
      <c r="C154" s="4">
        <v>10</v>
      </c>
      <c r="E154" s="2">
        <v>23</v>
      </c>
      <c r="F154" s="1" t="s">
        <v>558</v>
      </c>
      <c r="G154" s="4">
        <v>17</v>
      </c>
    </row>
    <row r="155" spans="1:7" ht="14.4">
      <c r="A155" s="2">
        <v>24</v>
      </c>
      <c r="B155" s="1" t="s">
        <v>558</v>
      </c>
      <c r="C155" s="4">
        <v>9</v>
      </c>
      <c r="E155" s="2">
        <v>6</v>
      </c>
      <c r="F155" s="1" t="s">
        <v>557</v>
      </c>
      <c r="G155" s="4">
        <v>16</v>
      </c>
    </row>
    <row r="156" spans="1:7" ht="14.4">
      <c r="A156" s="2">
        <v>18</v>
      </c>
      <c r="B156" s="1" t="s">
        <v>559</v>
      </c>
      <c r="C156" s="4">
        <v>6</v>
      </c>
      <c r="E156" s="2">
        <v>30</v>
      </c>
      <c r="F156" s="1" t="s">
        <v>560</v>
      </c>
      <c r="G156" s="4">
        <v>12</v>
      </c>
    </row>
    <row r="157" spans="1:7" ht="14.4">
      <c r="A157" s="2">
        <v>21</v>
      </c>
      <c r="B157" s="1" t="s">
        <v>561</v>
      </c>
      <c r="C157" s="4">
        <v>6</v>
      </c>
      <c r="E157" s="2">
        <v>36</v>
      </c>
      <c r="F157" s="1" t="s">
        <v>562</v>
      </c>
      <c r="G157" s="4">
        <v>11</v>
      </c>
    </row>
    <row r="158" spans="1:7" ht="14.4">
      <c r="A158" s="2">
        <v>26</v>
      </c>
      <c r="B158" s="1" t="s">
        <v>563</v>
      </c>
      <c r="C158" s="4">
        <v>6</v>
      </c>
      <c r="E158" s="2">
        <v>21</v>
      </c>
      <c r="F158" s="1" t="s">
        <v>561</v>
      </c>
      <c r="G158" s="4">
        <v>10</v>
      </c>
    </row>
    <row r="159" spans="1:7" ht="14.4">
      <c r="A159" s="2">
        <v>31</v>
      </c>
      <c r="B159" s="1" t="s">
        <v>560</v>
      </c>
      <c r="C159" s="4">
        <v>6</v>
      </c>
      <c r="E159" s="2">
        <v>37</v>
      </c>
      <c r="F159" s="1" t="s">
        <v>564</v>
      </c>
      <c r="G159" s="4">
        <v>9</v>
      </c>
    </row>
    <row r="160" spans="1:7" ht="14.4">
      <c r="A160" s="2">
        <v>12</v>
      </c>
      <c r="B160" s="1" t="s">
        <v>565</v>
      </c>
      <c r="C160" s="4">
        <v>5</v>
      </c>
      <c r="E160" s="2">
        <v>18</v>
      </c>
      <c r="F160" s="1" t="s">
        <v>559</v>
      </c>
      <c r="G160" s="4">
        <v>8</v>
      </c>
    </row>
    <row r="161" spans="1:7" ht="14.4">
      <c r="A161" s="2">
        <v>14</v>
      </c>
      <c r="B161" s="1" t="s">
        <v>566</v>
      </c>
      <c r="C161" s="4">
        <v>5</v>
      </c>
      <c r="E161" s="2">
        <v>14</v>
      </c>
      <c r="F161" s="1" t="s">
        <v>566</v>
      </c>
      <c r="G161" s="4">
        <v>7</v>
      </c>
    </row>
    <row r="162" spans="1:7" ht="14.4">
      <c r="A162" s="2">
        <v>22</v>
      </c>
      <c r="B162" s="1" t="s">
        <v>564</v>
      </c>
      <c r="C162" s="4">
        <v>5</v>
      </c>
      <c r="E162" s="2">
        <v>25</v>
      </c>
      <c r="F162" s="1" t="s">
        <v>563</v>
      </c>
      <c r="G162" s="4">
        <v>7</v>
      </c>
    </row>
    <row r="163" spans="1:7" ht="14.4">
      <c r="A163" s="2">
        <v>38</v>
      </c>
      <c r="B163" s="1" t="s">
        <v>567</v>
      </c>
      <c r="C163" s="4">
        <v>4</v>
      </c>
      <c r="E163" s="2">
        <v>35</v>
      </c>
      <c r="F163" s="1" t="s">
        <v>568</v>
      </c>
      <c r="G163" s="4">
        <v>7</v>
      </c>
    </row>
    <row r="164" spans="1:7" ht="14.4">
      <c r="A164" s="2">
        <v>10</v>
      </c>
      <c r="B164" s="1" t="s">
        <v>569</v>
      </c>
      <c r="C164" s="4">
        <v>4</v>
      </c>
      <c r="E164" s="2">
        <v>27</v>
      </c>
      <c r="F164" s="1" t="s">
        <v>570</v>
      </c>
      <c r="G164" s="4">
        <v>7</v>
      </c>
    </row>
    <row r="165" spans="1:7" ht="14.4">
      <c r="A165" s="2">
        <v>20</v>
      </c>
      <c r="B165" s="1" t="s">
        <v>570</v>
      </c>
      <c r="C165" s="4">
        <v>4</v>
      </c>
      <c r="E165" s="2">
        <v>52</v>
      </c>
      <c r="F165" s="1" t="s">
        <v>571</v>
      </c>
      <c r="G165" s="4">
        <v>7</v>
      </c>
    </row>
    <row r="166" spans="1:7" ht="14.4">
      <c r="A166" s="2">
        <v>28</v>
      </c>
      <c r="B166" s="1" t="s">
        <v>572</v>
      </c>
      <c r="C166" s="4">
        <v>4</v>
      </c>
      <c r="E166" s="2">
        <v>29</v>
      </c>
      <c r="F166" s="1" t="s">
        <v>573</v>
      </c>
      <c r="G166" s="4">
        <v>6</v>
      </c>
    </row>
    <row r="167" spans="1:7" ht="14.4">
      <c r="A167" s="2">
        <v>33</v>
      </c>
      <c r="B167" s="1" t="s">
        <v>568</v>
      </c>
      <c r="C167" s="4">
        <v>4</v>
      </c>
      <c r="E167" s="2">
        <v>32</v>
      </c>
      <c r="F167" s="1" t="s">
        <v>572</v>
      </c>
      <c r="G167" s="4">
        <v>6</v>
      </c>
    </row>
    <row r="168" spans="1:7" ht="14.4">
      <c r="A168" s="2">
        <v>36</v>
      </c>
      <c r="B168" s="1" t="s">
        <v>562</v>
      </c>
      <c r="C168" s="4">
        <v>4</v>
      </c>
      <c r="E168" s="2">
        <v>24</v>
      </c>
      <c r="F168" s="1" t="s">
        <v>574</v>
      </c>
      <c r="G168" s="4">
        <v>6</v>
      </c>
    </row>
    <row r="169" spans="1:7" ht="14.4">
      <c r="A169" s="2">
        <v>37</v>
      </c>
      <c r="B169" s="1" t="s">
        <v>575</v>
      </c>
      <c r="C169" s="4">
        <v>2</v>
      </c>
      <c r="E169" s="2">
        <v>39</v>
      </c>
      <c r="F169" s="1" t="s">
        <v>576</v>
      </c>
      <c r="G169" s="4">
        <v>6</v>
      </c>
    </row>
    <row r="170" spans="1:7" ht="14.4">
      <c r="A170" s="2">
        <v>19</v>
      </c>
      <c r="B170" s="1" t="s">
        <v>574</v>
      </c>
      <c r="C170" s="4">
        <v>2</v>
      </c>
      <c r="E170" s="2">
        <v>38</v>
      </c>
      <c r="F170" s="1" t="s">
        <v>577</v>
      </c>
      <c r="G170" s="4">
        <v>6</v>
      </c>
    </row>
    <row r="171" spans="1:7" ht="14.4">
      <c r="A171" s="2">
        <v>23</v>
      </c>
      <c r="B171" s="1" t="s">
        <v>573</v>
      </c>
      <c r="C171" s="4">
        <v>2</v>
      </c>
      <c r="E171" s="2">
        <v>10</v>
      </c>
      <c r="F171" s="1" t="s">
        <v>578</v>
      </c>
      <c r="G171" s="4">
        <v>6</v>
      </c>
    </row>
    <row r="172" spans="1:7" ht="14.4">
      <c r="A172" s="2">
        <v>25</v>
      </c>
      <c r="B172" s="1" t="s">
        <v>579</v>
      </c>
      <c r="C172" s="4">
        <v>2</v>
      </c>
      <c r="E172" s="2">
        <v>50</v>
      </c>
      <c r="F172" s="1" t="s">
        <v>580</v>
      </c>
      <c r="G172" s="4">
        <v>6</v>
      </c>
    </row>
    <row r="173" spans="1:7" ht="14.4">
      <c r="A173" s="2">
        <v>30</v>
      </c>
      <c r="B173" s="1" t="s">
        <v>577</v>
      </c>
      <c r="C173" s="4">
        <v>2</v>
      </c>
      <c r="E173" s="2">
        <v>55</v>
      </c>
      <c r="F173" s="1" t="s">
        <v>567</v>
      </c>
      <c r="G173" s="4">
        <v>5</v>
      </c>
    </row>
    <row r="174" spans="1:7" ht="14.4">
      <c r="A174" s="2">
        <v>32</v>
      </c>
      <c r="B174" s="1" t="s">
        <v>581</v>
      </c>
      <c r="C174" s="4">
        <v>2</v>
      </c>
      <c r="E174" s="2">
        <v>51</v>
      </c>
      <c r="F174" s="1" t="s">
        <v>582</v>
      </c>
      <c r="G174" s="4">
        <v>5</v>
      </c>
    </row>
    <row r="175" spans="1:7" ht="14.4">
      <c r="A175" s="2">
        <v>39</v>
      </c>
      <c r="B175" s="1" t="s">
        <v>583</v>
      </c>
      <c r="C175" s="4">
        <v>2</v>
      </c>
      <c r="E175" s="2">
        <v>20</v>
      </c>
      <c r="F175" s="1" t="s">
        <v>569</v>
      </c>
      <c r="G175" s="4">
        <v>4</v>
      </c>
    </row>
    <row r="176" spans="1:7" ht="14.4">
      <c r="A176" s="2">
        <v>40</v>
      </c>
      <c r="B176" s="1" t="s">
        <v>580</v>
      </c>
      <c r="C176" s="4">
        <v>2</v>
      </c>
      <c r="E176" s="2">
        <v>60</v>
      </c>
      <c r="F176" s="1" t="s">
        <v>584</v>
      </c>
      <c r="G176" s="4">
        <v>4</v>
      </c>
    </row>
    <row r="177" spans="1:7" ht="14.4">
      <c r="A177" s="2">
        <v>41</v>
      </c>
      <c r="B177" s="1" t="s">
        <v>571</v>
      </c>
      <c r="C177" s="4">
        <v>2</v>
      </c>
      <c r="E177" s="2">
        <v>1</v>
      </c>
      <c r="F177" s="1" t="s">
        <v>581</v>
      </c>
      <c r="G177" s="4">
        <v>4</v>
      </c>
    </row>
    <row r="178" spans="1:7" ht="14.4">
      <c r="A178" s="2">
        <v>51</v>
      </c>
      <c r="B178" s="1" t="s">
        <v>585</v>
      </c>
      <c r="C178" s="4">
        <v>1</v>
      </c>
      <c r="E178" s="2">
        <v>22</v>
      </c>
      <c r="F178" s="1" t="s">
        <v>585</v>
      </c>
      <c r="G178" s="4">
        <v>3</v>
      </c>
    </row>
    <row r="179" spans="1:7" ht="14.4">
      <c r="A179" s="2">
        <v>52</v>
      </c>
      <c r="B179" s="1" t="s">
        <v>586</v>
      </c>
      <c r="C179" s="4">
        <v>1</v>
      </c>
      <c r="E179" s="2">
        <v>40</v>
      </c>
      <c r="F179" s="1" t="s">
        <v>575</v>
      </c>
      <c r="G179" s="4">
        <v>3</v>
      </c>
    </row>
    <row r="180" spans="1:7" ht="14.4">
      <c r="A180" s="2">
        <v>1</v>
      </c>
      <c r="B180" s="1" t="s">
        <v>587</v>
      </c>
      <c r="C180" s="4">
        <v>1</v>
      </c>
      <c r="E180" s="2">
        <v>46</v>
      </c>
      <c r="F180" s="1" t="s">
        <v>588</v>
      </c>
      <c r="G180" s="4">
        <v>3</v>
      </c>
    </row>
    <row r="181" spans="1:7" ht="14.4">
      <c r="A181" s="2">
        <v>9</v>
      </c>
      <c r="B181" s="1" t="s">
        <v>589</v>
      </c>
      <c r="C181" s="4">
        <v>1</v>
      </c>
      <c r="E181" s="2">
        <v>53</v>
      </c>
      <c r="F181" s="1" t="s">
        <v>590</v>
      </c>
      <c r="G181" s="4">
        <v>3</v>
      </c>
    </row>
    <row r="182" spans="1:7" ht="14.4">
      <c r="A182" s="2">
        <v>27</v>
      </c>
      <c r="B182" s="1" t="s">
        <v>591</v>
      </c>
      <c r="C182" s="4">
        <v>1</v>
      </c>
      <c r="E182" s="2">
        <v>59</v>
      </c>
      <c r="F182" s="1" t="s">
        <v>592</v>
      </c>
      <c r="G182" s="4">
        <v>3</v>
      </c>
    </row>
    <row r="183" spans="1:7" ht="14.4">
      <c r="A183" s="2">
        <v>34</v>
      </c>
      <c r="B183" s="1" t="s">
        <v>593</v>
      </c>
      <c r="C183" s="4">
        <v>1</v>
      </c>
      <c r="E183" s="2">
        <v>31</v>
      </c>
      <c r="F183" s="1" t="s">
        <v>579</v>
      </c>
      <c r="G183" s="4">
        <v>3</v>
      </c>
    </row>
    <row r="184" spans="1:7" ht="14.4">
      <c r="A184" s="2">
        <v>35</v>
      </c>
      <c r="B184" s="1" t="s">
        <v>594</v>
      </c>
      <c r="C184" s="4">
        <v>1</v>
      </c>
      <c r="E184" s="2">
        <v>54</v>
      </c>
      <c r="F184" s="1" t="s">
        <v>595</v>
      </c>
      <c r="G184" s="4">
        <v>3</v>
      </c>
    </row>
    <row r="185" spans="1:7" ht="14.4">
      <c r="A185" s="2">
        <v>42</v>
      </c>
      <c r="B185" s="1" t="s">
        <v>596</v>
      </c>
      <c r="C185" s="4">
        <v>1</v>
      </c>
      <c r="E185" s="2">
        <v>9</v>
      </c>
      <c r="F185" s="1" t="s">
        <v>586</v>
      </c>
      <c r="G185" s="4">
        <v>2</v>
      </c>
    </row>
    <row r="186" spans="1:7" ht="14.4">
      <c r="A186" s="2">
        <v>43</v>
      </c>
      <c r="B186" s="1" t="s">
        <v>597</v>
      </c>
      <c r="C186" s="4">
        <v>1</v>
      </c>
      <c r="E186" s="2">
        <v>41</v>
      </c>
      <c r="F186" s="1" t="s">
        <v>583</v>
      </c>
      <c r="G186" s="4">
        <v>2</v>
      </c>
    </row>
    <row r="187" spans="1:7" ht="14.4">
      <c r="A187" s="2">
        <v>44</v>
      </c>
      <c r="B187" s="1" t="s">
        <v>588</v>
      </c>
      <c r="C187" s="4">
        <v>1</v>
      </c>
      <c r="E187" s="2">
        <v>43</v>
      </c>
      <c r="F187" s="1" t="s">
        <v>594</v>
      </c>
      <c r="G187" s="4">
        <v>2</v>
      </c>
    </row>
    <row r="188" spans="1:7" ht="14.4">
      <c r="A188" s="2">
        <v>45</v>
      </c>
      <c r="B188" s="1" t="s">
        <v>598</v>
      </c>
      <c r="C188" s="4">
        <v>1</v>
      </c>
      <c r="E188" s="2">
        <v>47</v>
      </c>
      <c r="F188" s="1" t="s">
        <v>598</v>
      </c>
      <c r="G188" s="4">
        <v>2</v>
      </c>
    </row>
    <row r="189" spans="1:7" ht="14.4">
      <c r="A189" s="2">
        <v>46</v>
      </c>
      <c r="B189" s="1" t="s">
        <v>599</v>
      </c>
      <c r="C189" s="4">
        <v>1</v>
      </c>
      <c r="E189" s="2">
        <v>56</v>
      </c>
      <c r="F189" s="1" t="s">
        <v>600</v>
      </c>
      <c r="G189" s="4">
        <v>2</v>
      </c>
    </row>
    <row r="190" spans="1:7" ht="14.4">
      <c r="A190" s="2">
        <v>47</v>
      </c>
      <c r="B190" s="1" t="s">
        <v>601</v>
      </c>
      <c r="C190" s="4">
        <v>1</v>
      </c>
      <c r="E190" s="2">
        <v>75</v>
      </c>
      <c r="F190" s="1" t="s">
        <v>602</v>
      </c>
      <c r="G190" s="4">
        <v>2</v>
      </c>
    </row>
    <row r="191" spans="1:7" ht="14.4">
      <c r="A191" s="2">
        <v>48</v>
      </c>
      <c r="B191" s="1" t="s">
        <v>582</v>
      </c>
      <c r="C191" s="4">
        <v>1</v>
      </c>
      <c r="E191" s="2">
        <v>76</v>
      </c>
      <c r="F191" s="1" t="s">
        <v>603</v>
      </c>
      <c r="G191" s="4">
        <v>2</v>
      </c>
    </row>
    <row r="192" spans="1:7" ht="14.4">
      <c r="A192" s="2">
        <v>49</v>
      </c>
      <c r="B192" s="1" t="s">
        <v>590</v>
      </c>
      <c r="C192" s="4">
        <v>1</v>
      </c>
      <c r="E192" s="2">
        <v>63</v>
      </c>
      <c r="F192" s="1" t="s">
        <v>604</v>
      </c>
      <c r="G192" s="4">
        <v>2</v>
      </c>
    </row>
    <row r="193" spans="1:7" ht="14.4">
      <c r="A193" s="2">
        <v>50</v>
      </c>
      <c r="B193" s="1" t="s">
        <v>605</v>
      </c>
      <c r="C193" s="4">
        <v>1</v>
      </c>
      <c r="E193" s="2">
        <v>65</v>
      </c>
      <c r="F193" s="1" t="s">
        <v>606</v>
      </c>
      <c r="G193" s="4">
        <v>2</v>
      </c>
    </row>
    <row r="194" spans="1:7" ht="14.4">
      <c r="A194" s="2">
        <v>53</v>
      </c>
      <c r="B194" s="1" t="s">
        <v>578</v>
      </c>
      <c r="C194" s="4">
        <v>1</v>
      </c>
      <c r="E194" s="2">
        <v>80</v>
      </c>
      <c r="F194" s="1" t="s">
        <v>607</v>
      </c>
      <c r="G194" s="4">
        <v>2</v>
      </c>
    </row>
    <row r="195" spans="1:7" ht="14.4">
      <c r="A195" s="2">
        <v>54</v>
      </c>
      <c r="B195" s="1" t="s">
        <v>600</v>
      </c>
      <c r="C195" s="4">
        <v>1</v>
      </c>
      <c r="E195" s="2">
        <v>33</v>
      </c>
      <c r="F195" s="1" t="s">
        <v>589</v>
      </c>
      <c r="G195" s="4">
        <v>1</v>
      </c>
    </row>
    <row r="196" spans="1:7" ht="14.4">
      <c r="A196" s="2">
        <v>55</v>
      </c>
      <c r="B196" s="1" t="s">
        <v>608</v>
      </c>
      <c r="C196" s="4">
        <v>1</v>
      </c>
      <c r="E196" s="2">
        <v>34</v>
      </c>
      <c r="F196" s="1" t="s">
        <v>591</v>
      </c>
      <c r="G196" s="4">
        <v>1</v>
      </c>
    </row>
    <row r="197" spans="1:7" ht="14.4">
      <c r="A197" s="2">
        <v>56</v>
      </c>
      <c r="B197" s="1" t="s">
        <v>609</v>
      </c>
      <c r="C197" s="4">
        <v>1</v>
      </c>
      <c r="E197" s="2">
        <v>42</v>
      </c>
      <c r="F197" s="1" t="s">
        <v>593</v>
      </c>
      <c r="G197" s="4">
        <v>1</v>
      </c>
    </row>
    <row r="198" spans="1:7" ht="14.4">
      <c r="A198" s="2">
        <v>57</v>
      </c>
      <c r="B198" s="1" t="s">
        <v>592</v>
      </c>
      <c r="C198" s="4">
        <v>1</v>
      </c>
      <c r="E198" s="2">
        <v>44</v>
      </c>
      <c r="F198" s="1" t="s">
        <v>596</v>
      </c>
      <c r="G198" s="4">
        <v>1</v>
      </c>
    </row>
    <row r="199" spans="1:7" ht="14.4">
      <c r="A199" s="2">
        <v>58</v>
      </c>
      <c r="B199" s="1" t="s">
        <v>584</v>
      </c>
      <c r="C199" s="4">
        <v>1</v>
      </c>
      <c r="E199" s="2">
        <v>45</v>
      </c>
      <c r="F199" s="1" t="s">
        <v>597</v>
      </c>
      <c r="G199" s="4">
        <v>1</v>
      </c>
    </row>
    <row r="200" spans="1:7" ht="14.4">
      <c r="A200" s="2">
        <v>59</v>
      </c>
      <c r="B200" s="1" t="s">
        <v>610</v>
      </c>
      <c r="C200" s="4">
        <v>1</v>
      </c>
      <c r="E200" s="2">
        <v>48</v>
      </c>
      <c r="F200" s="1" t="s">
        <v>599</v>
      </c>
      <c r="G200" s="4">
        <v>1</v>
      </c>
    </row>
    <row r="201" spans="1:7" ht="14.4">
      <c r="E201" s="2">
        <v>49</v>
      </c>
      <c r="F201" s="1" t="s">
        <v>611</v>
      </c>
      <c r="G201" s="4">
        <v>1</v>
      </c>
    </row>
    <row r="202" spans="1:7" ht="14.4">
      <c r="E202" s="2">
        <v>57</v>
      </c>
      <c r="F202" s="1" t="s">
        <v>608</v>
      </c>
      <c r="G202" s="4">
        <v>1</v>
      </c>
    </row>
    <row r="203" spans="1:7" ht="14.4">
      <c r="E203" s="2">
        <v>58</v>
      </c>
      <c r="F203" s="1" t="s">
        <v>609</v>
      </c>
      <c r="G203" s="4">
        <v>1</v>
      </c>
    </row>
    <row r="204" spans="1:7" ht="14.4">
      <c r="E204" s="2">
        <v>61</v>
      </c>
      <c r="F204" s="1" t="s">
        <v>610</v>
      </c>
      <c r="G204" s="4">
        <v>1</v>
      </c>
    </row>
    <row r="205" spans="1:7" ht="14.4">
      <c r="E205" s="2">
        <v>67</v>
      </c>
      <c r="F205" s="1" t="s">
        <v>612</v>
      </c>
      <c r="G205" s="4">
        <v>1</v>
      </c>
    </row>
    <row r="206" spans="1:7" ht="14.4">
      <c r="E206" s="2">
        <v>68</v>
      </c>
      <c r="F206" s="1" t="s">
        <v>613</v>
      </c>
      <c r="G206" s="4">
        <v>1</v>
      </c>
    </row>
    <row r="207" spans="1:7" ht="14.4">
      <c r="E207" s="2">
        <v>72</v>
      </c>
      <c r="F207" s="1" t="s">
        <v>614</v>
      </c>
      <c r="G207" s="4">
        <v>1</v>
      </c>
    </row>
    <row r="208" spans="1:7" ht="14.4">
      <c r="E208" s="2">
        <v>73</v>
      </c>
      <c r="F208" s="1" t="s">
        <v>615</v>
      </c>
      <c r="G208" s="4">
        <v>1</v>
      </c>
    </row>
    <row r="209" spans="5:7" ht="14.4">
      <c r="E209" s="2">
        <v>74</v>
      </c>
      <c r="F209" s="1" t="s">
        <v>616</v>
      </c>
      <c r="G209" s="4">
        <v>1</v>
      </c>
    </row>
    <row r="210" spans="5:7" ht="14.4">
      <c r="E210" s="2">
        <v>77</v>
      </c>
      <c r="F210" s="1" t="s">
        <v>617</v>
      </c>
      <c r="G210" s="4">
        <v>1</v>
      </c>
    </row>
    <row r="211" spans="5:7" ht="14.4">
      <c r="E211" s="2">
        <v>78</v>
      </c>
      <c r="F211" s="1" t="s">
        <v>573</v>
      </c>
      <c r="G211" s="4">
        <v>1</v>
      </c>
    </row>
    <row r="212" spans="5:7" ht="14.4">
      <c r="E212" s="2">
        <v>81</v>
      </c>
      <c r="F212" s="1" t="s">
        <v>618</v>
      </c>
      <c r="G212" s="4">
        <v>1</v>
      </c>
    </row>
    <row r="213" spans="5:7" ht="14.4">
      <c r="E213" s="2">
        <v>85</v>
      </c>
      <c r="F213" s="1" t="s">
        <v>619</v>
      </c>
      <c r="G213" s="4">
        <v>1</v>
      </c>
    </row>
    <row r="214" spans="5:7" ht="14.4">
      <c r="E214" s="2">
        <v>86</v>
      </c>
      <c r="F214" s="1" t="s">
        <v>620</v>
      </c>
      <c r="G214" s="4">
        <v>1</v>
      </c>
    </row>
    <row r="215" spans="5:7" ht="14.4">
      <c r="E215" s="2">
        <v>87</v>
      </c>
      <c r="F215" s="1" t="s">
        <v>621</v>
      </c>
      <c r="G215" s="4">
        <v>1</v>
      </c>
    </row>
    <row r="216" spans="5:7" ht="14.4">
      <c r="E216" s="2">
        <v>89</v>
      </c>
      <c r="F216" s="1" t="s">
        <v>622</v>
      </c>
      <c r="G216" s="4">
        <v>1</v>
      </c>
    </row>
    <row r="217" spans="5:7" ht="14.4">
      <c r="E217" s="2">
        <v>93</v>
      </c>
      <c r="F217" s="1" t="s">
        <v>623</v>
      </c>
      <c r="G217" s="4">
        <v>1</v>
      </c>
    </row>
    <row r="218" spans="5:7" ht="14.4">
      <c r="E218" s="2">
        <v>101</v>
      </c>
      <c r="F218" s="1" t="s">
        <v>624</v>
      </c>
      <c r="G218" s="4">
        <v>1</v>
      </c>
    </row>
    <row r="219" spans="5:7" ht="14.4">
      <c r="E219" s="2">
        <v>103</v>
      </c>
      <c r="F219" s="1" t="s">
        <v>625</v>
      </c>
      <c r="G219" s="4">
        <v>1</v>
      </c>
    </row>
    <row r="220" spans="5:7" ht="14.4">
      <c r="E220" s="2">
        <v>104</v>
      </c>
      <c r="F220" s="1" t="s">
        <v>626</v>
      </c>
      <c r="G220" s="4">
        <v>1</v>
      </c>
    </row>
    <row r="221" spans="5:7" ht="14.4">
      <c r="E221" s="2">
        <v>105</v>
      </c>
      <c r="F221" s="1" t="s">
        <v>627</v>
      </c>
      <c r="G221" s="4">
        <v>1</v>
      </c>
    </row>
    <row r="222" spans="5:7" ht="14.4">
      <c r="E222" s="2">
        <v>107</v>
      </c>
      <c r="F222" s="1" t="s">
        <v>628</v>
      </c>
      <c r="G222" s="4">
        <v>1</v>
      </c>
    </row>
  </sheetData>
  <mergeCells count="2">
    <mergeCell ref="A139:C139"/>
    <mergeCell ref="E139:G139"/>
  </mergeCells>
  <hyperlinks>
    <hyperlink ref="E2" r:id="rId1" xr:uid="{00000000-0004-0000-0000-000000000000}"/>
    <hyperlink ref="E3" r:id="rId2" xr:uid="{00000000-0004-0000-0000-000001000000}"/>
    <hyperlink ref="E4" r:id="rId3" xr:uid="{00000000-0004-0000-0000-000002000000}"/>
    <hyperlink ref="E5" r:id="rId4" xr:uid="{00000000-0004-0000-0000-000003000000}"/>
    <hyperlink ref="E6" r:id="rId5" xr:uid="{00000000-0004-0000-0000-000004000000}"/>
    <hyperlink ref="E7" r:id="rId6" xr:uid="{00000000-0004-0000-0000-000005000000}"/>
    <hyperlink ref="E8" r:id="rId7" xr:uid="{00000000-0004-0000-0000-000006000000}"/>
    <hyperlink ref="E9" r:id="rId8" xr:uid="{00000000-0004-0000-0000-000007000000}"/>
    <hyperlink ref="E10" r:id="rId9" xr:uid="{00000000-0004-0000-0000-000008000000}"/>
    <hyperlink ref="E11" r:id="rId10" xr:uid="{00000000-0004-0000-0000-000009000000}"/>
    <hyperlink ref="E12" r:id="rId11" xr:uid="{00000000-0004-0000-0000-00000A000000}"/>
    <hyperlink ref="E13" r:id="rId12" xr:uid="{00000000-0004-0000-0000-00000B000000}"/>
    <hyperlink ref="E14" r:id="rId13" xr:uid="{00000000-0004-0000-0000-00000C000000}"/>
    <hyperlink ref="E15" r:id="rId14" xr:uid="{00000000-0004-0000-0000-00000D000000}"/>
    <hyperlink ref="E16" r:id="rId15" xr:uid="{00000000-0004-0000-0000-00000E000000}"/>
    <hyperlink ref="E17" r:id="rId16" xr:uid="{00000000-0004-0000-0000-00000F000000}"/>
    <hyperlink ref="E18" r:id="rId17" xr:uid="{00000000-0004-0000-0000-000010000000}"/>
    <hyperlink ref="E19" r:id="rId18" xr:uid="{00000000-0004-0000-0000-000011000000}"/>
    <hyperlink ref="E20" r:id="rId19" xr:uid="{00000000-0004-0000-0000-000012000000}"/>
    <hyperlink ref="E21" r:id="rId20" xr:uid="{00000000-0004-0000-0000-000013000000}"/>
    <hyperlink ref="E22" r:id="rId21" xr:uid="{00000000-0004-0000-0000-000014000000}"/>
    <hyperlink ref="E23" r:id="rId22" xr:uid="{00000000-0004-0000-0000-000015000000}"/>
    <hyperlink ref="E24" r:id="rId23" xr:uid="{00000000-0004-0000-0000-000016000000}"/>
    <hyperlink ref="E25" r:id="rId24" xr:uid="{00000000-0004-0000-0000-000017000000}"/>
    <hyperlink ref="E26" r:id="rId25" xr:uid="{00000000-0004-0000-0000-000018000000}"/>
    <hyperlink ref="E27" r:id="rId26" xr:uid="{00000000-0004-0000-0000-000019000000}"/>
    <hyperlink ref="E28" r:id="rId27" xr:uid="{00000000-0004-0000-0000-00001A000000}"/>
    <hyperlink ref="E29" r:id="rId28" xr:uid="{00000000-0004-0000-0000-00001B000000}"/>
    <hyperlink ref="E30" r:id="rId29" xr:uid="{00000000-0004-0000-0000-00001C000000}"/>
    <hyperlink ref="E31" r:id="rId30" xr:uid="{00000000-0004-0000-0000-00001D000000}"/>
    <hyperlink ref="E32" r:id="rId31" xr:uid="{00000000-0004-0000-0000-00001E000000}"/>
    <hyperlink ref="E33" r:id="rId32" xr:uid="{00000000-0004-0000-0000-00001F000000}"/>
    <hyperlink ref="E34" r:id="rId33" xr:uid="{00000000-0004-0000-0000-000020000000}"/>
    <hyperlink ref="E35" r:id="rId34" xr:uid="{00000000-0004-0000-0000-000021000000}"/>
    <hyperlink ref="E36" r:id="rId35" xr:uid="{00000000-0004-0000-0000-000022000000}"/>
    <hyperlink ref="E37" r:id="rId36" xr:uid="{00000000-0004-0000-0000-000023000000}"/>
    <hyperlink ref="E38" r:id="rId37" xr:uid="{00000000-0004-0000-0000-000024000000}"/>
    <hyperlink ref="E39" r:id="rId38" xr:uid="{00000000-0004-0000-0000-000025000000}"/>
    <hyperlink ref="E40" r:id="rId39" xr:uid="{00000000-0004-0000-0000-000026000000}"/>
    <hyperlink ref="E41" r:id="rId40" xr:uid="{00000000-0004-0000-0000-000027000000}"/>
    <hyperlink ref="E42" r:id="rId41" xr:uid="{00000000-0004-0000-0000-000028000000}"/>
    <hyperlink ref="E43" r:id="rId42" xr:uid="{00000000-0004-0000-0000-000029000000}"/>
    <hyperlink ref="E44" r:id="rId43" xr:uid="{00000000-0004-0000-0000-00002A000000}"/>
    <hyperlink ref="E45" r:id="rId44" xr:uid="{00000000-0004-0000-0000-00002B000000}"/>
    <hyperlink ref="E46" r:id="rId45" xr:uid="{00000000-0004-0000-0000-00002C000000}"/>
    <hyperlink ref="E47" r:id="rId46" xr:uid="{00000000-0004-0000-0000-00002D000000}"/>
    <hyperlink ref="E48" r:id="rId47" xr:uid="{00000000-0004-0000-0000-00002E000000}"/>
    <hyperlink ref="E49" r:id="rId48" xr:uid="{00000000-0004-0000-0000-00002F000000}"/>
    <hyperlink ref="E50" r:id="rId49" xr:uid="{00000000-0004-0000-0000-000030000000}"/>
    <hyperlink ref="E51" r:id="rId50" xr:uid="{00000000-0004-0000-0000-000031000000}"/>
    <hyperlink ref="E52" r:id="rId51" xr:uid="{00000000-0004-0000-0000-000032000000}"/>
    <hyperlink ref="E53" r:id="rId52" xr:uid="{00000000-0004-0000-0000-000033000000}"/>
    <hyperlink ref="E54" r:id="rId53" xr:uid="{00000000-0004-0000-0000-000034000000}"/>
    <hyperlink ref="E55" r:id="rId54" xr:uid="{00000000-0004-0000-0000-000035000000}"/>
    <hyperlink ref="E56" r:id="rId55" xr:uid="{00000000-0004-0000-0000-000036000000}"/>
    <hyperlink ref="E57" r:id="rId56" xr:uid="{00000000-0004-0000-0000-000037000000}"/>
    <hyperlink ref="E58" r:id="rId57" xr:uid="{00000000-0004-0000-0000-000038000000}"/>
    <hyperlink ref="E59" r:id="rId58" xr:uid="{00000000-0004-0000-0000-000039000000}"/>
    <hyperlink ref="E60" r:id="rId59" xr:uid="{00000000-0004-0000-0000-00003A000000}"/>
    <hyperlink ref="E61" r:id="rId60" xr:uid="{00000000-0004-0000-0000-00003B000000}"/>
    <hyperlink ref="E62" r:id="rId61" xr:uid="{00000000-0004-0000-0000-00003C000000}"/>
    <hyperlink ref="E63" r:id="rId62" xr:uid="{00000000-0004-0000-0000-00003D000000}"/>
    <hyperlink ref="E64" r:id="rId63" xr:uid="{00000000-0004-0000-0000-00003E000000}"/>
    <hyperlink ref="E65" r:id="rId64" xr:uid="{00000000-0004-0000-0000-00003F000000}"/>
    <hyperlink ref="E66" r:id="rId65" xr:uid="{00000000-0004-0000-0000-000040000000}"/>
    <hyperlink ref="E67" r:id="rId66" xr:uid="{00000000-0004-0000-0000-000041000000}"/>
    <hyperlink ref="E68" r:id="rId67" xr:uid="{00000000-0004-0000-0000-000042000000}"/>
    <hyperlink ref="E69" r:id="rId68" xr:uid="{00000000-0004-0000-0000-000043000000}"/>
    <hyperlink ref="E70" r:id="rId69" xr:uid="{00000000-0004-0000-0000-000044000000}"/>
    <hyperlink ref="E71" r:id="rId70" xr:uid="{00000000-0004-0000-0000-000045000000}"/>
    <hyperlink ref="E72" r:id="rId71" xr:uid="{00000000-0004-0000-0000-000046000000}"/>
    <hyperlink ref="E73" r:id="rId72" xr:uid="{00000000-0004-0000-0000-000047000000}"/>
    <hyperlink ref="E74" r:id="rId73" xr:uid="{00000000-0004-0000-0000-000048000000}"/>
    <hyperlink ref="E75" r:id="rId74" xr:uid="{00000000-0004-0000-0000-000049000000}"/>
    <hyperlink ref="E76" r:id="rId75" xr:uid="{00000000-0004-0000-0000-00004A000000}"/>
    <hyperlink ref="E77" r:id="rId76" xr:uid="{00000000-0004-0000-0000-00004B000000}"/>
    <hyperlink ref="E78" r:id="rId77" xr:uid="{00000000-0004-0000-0000-00004C000000}"/>
    <hyperlink ref="E79" r:id="rId78" xr:uid="{00000000-0004-0000-0000-00004D000000}"/>
    <hyperlink ref="E80" r:id="rId79" xr:uid="{00000000-0004-0000-0000-00004E000000}"/>
    <hyperlink ref="E81" r:id="rId80" xr:uid="{00000000-0004-0000-0000-00004F000000}"/>
    <hyperlink ref="E82" r:id="rId81" xr:uid="{00000000-0004-0000-0000-000050000000}"/>
    <hyperlink ref="E83" r:id="rId82" xr:uid="{00000000-0004-0000-0000-000051000000}"/>
    <hyperlink ref="E84" r:id="rId83" xr:uid="{00000000-0004-0000-0000-000052000000}"/>
    <hyperlink ref="E85" r:id="rId84" xr:uid="{00000000-0004-0000-0000-000053000000}"/>
    <hyperlink ref="E86" r:id="rId85" xr:uid="{00000000-0004-0000-0000-000054000000}"/>
    <hyperlink ref="E87" r:id="rId86" xr:uid="{00000000-0004-0000-0000-000055000000}"/>
    <hyperlink ref="E88" r:id="rId87" xr:uid="{00000000-0004-0000-0000-000056000000}"/>
    <hyperlink ref="E89" r:id="rId88" xr:uid="{00000000-0004-0000-0000-000057000000}"/>
    <hyperlink ref="E90" r:id="rId89" xr:uid="{00000000-0004-0000-0000-000058000000}"/>
    <hyperlink ref="E91" r:id="rId90" xr:uid="{00000000-0004-0000-0000-000059000000}"/>
    <hyperlink ref="E92" r:id="rId91" xr:uid="{00000000-0004-0000-0000-00005A000000}"/>
    <hyperlink ref="E93" r:id="rId92" xr:uid="{00000000-0004-0000-0000-00005B000000}"/>
    <hyperlink ref="E94" r:id="rId93" xr:uid="{00000000-0004-0000-0000-00005C000000}"/>
    <hyperlink ref="E95" r:id="rId94" xr:uid="{00000000-0004-0000-0000-00005D000000}"/>
    <hyperlink ref="E96" r:id="rId95" xr:uid="{00000000-0004-0000-0000-00005E000000}"/>
    <hyperlink ref="E97" r:id="rId96" xr:uid="{00000000-0004-0000-0000-00005F000000}"/>
    <hyperlink ref="E98" r:id="rId97" xr:uid="{00000000-0004-0000-0000-000060000000}"/>
    <hyperlink ref="E99" r:id="rId98" xr:uid="{00000000-0004-0000-0000-000061000000}"/>
    <hyperlink ref="E100" r:id="rId99" xr:uid="{00000000-0004-0000-0000-000062000000}"/>
    <hyperlink ref="E101" r:id="rId100" xr:uid="{00000000-0004-0000-0000-000063000000}"/>
    <hyperlink ref="E102" r:id="rId101" xr:uid="{00000000-0004-0000-0000-000064000000}"/>
    <hyperlink ref="E103" r:id="rId102" xr:uid="{00000000-0004-0000-0000-000065000000}"/>
    <hyperlink ref="E104" r:id="rId103" xr:uid="{00000000-0004-0000-0000-000066000000}"/>
    <hyperlink ref="E105" r:id="rId104" xr:uid="{00000000-0004-0000-0000-000067000000}"/>
    <hyperlink ref="E106" r:id="rId105" xr:uid="{00000000-0004-0000-0000-000068000000}"/>
    <hyperlink ref="E107" r:id="rId106" xr:uid="{00000000-0004-0000-0000-000069000000}"/>
    <hyperlink ref="E108" r:id="rId107" xr:uid="{00000000-0004-0000-0000-00006A000000}"/>
    <hyperlink ref="E109" r:id="rId108" xr:uid="{00000000-0004-0000-0000-00006B000000}"/>
    <hyperlink ref="E110" r:id="rId109" xr:uid="{00000000-0004-0000-0000-00006C000000}"/>
    <hyperlink ref="E111" r:id="rId110" xr:uid="{00000000-0004-0000-0000-00006D000000}"/>
    <hyperlink ref="E112" r:id="rId111" xr:uid="{00000000-0004-0000-0000-00006E000000}"/>
    <hyperlink ref="E113" r:id="rId112" xr:uid="{00000000-0004-0000-0000-00006F000000}"/>
    <hyperlink ref="E114" r:id="rId113" xr:uid="{00000000-0004-0000-0000-000070000000}"/>
    <hyperlink ref="E115" r:id="rId114" xr:uid="{00000000-0004-0000-0000-000071000000}"/>
    <hyperlink ref="E116" r:id="rId115" xr:uid="{00000000-0004-0000-0000-000072000000}"/>
    <hyperlink ref="E117" r:id="rId116" xr:uid="{00000000-0004-0000-0000-000073000000}"/>
    <hyperlink ref="E118" r:id="rId117" xr:uid="{00000000-0004-0000-0000-000074000000}"/>
    <hyperlink ref="E119" r:id="rId118" xr:uid="{00000000-0004-0000-0000-000075000000}"/>
    <hyperlink ref="E120" r:id="rId119" xr:uid="{00000000-0004-0000-0000-000076000000}"/>
    <hyperlink ref="E121" r:id="rId120" xr:uid="{00000000-0004-0000-0000-000077000000}"/>
    <hyperlink ref="E122" r:id="rId121" xr:uid="{00000000-0004-0000-0000-000078000000}"/>
    <hyperlink ref="E123" r:id="rId122" xr:uid="{00000000-0004-0000-0000-000079000000}"/>
    <hyperlink ref="E124" r:id="rId123" xr:uid="{00000000-0004-0000-0000-00007A000000}"/>
    <hyperlink ref="E125" r:id="rId124" xr:uid="{00000000-0004-0000-0000-00007B000000}"/>
    <hyperlink ref="E126" r:id="rId125" xr:uid="{00000000-0004-0000-0000-00007C000000}"/>
    <hyperlink ref="E127" r:id="rId126" xr:uid="{00000000-0004-0000-0000-00007D000000}"/>
    <hyperlink ref="E128" r:id="rId127" xr:uid="{00000000-0004-0000-0000-00007E000000}"/>
    <hyperlink ref="E129" r:id="rId128" xr:uid="{00000000-0004-0000-0000-00007F000000}"/>
    <hyperlink ref="E130" r:id="rId129" xr:uid="{00000000-0004-0000-0000-000080000000}"/>
    <hyperlink ref="E131" r:id="rId130" xr:uid="{00000000-0004-0000-0000-000081000000}"/>
    <hyperlink ref="E132" r:id="rId131" xr:uid="{00000000-0004-0000-0000-000082000000}"/>
    <hyperlink ref="E133" r:id="rId132" xr:uid="{00000000-0004-0000-0000-000083000000}"/>
    <hyperlink ref="E134" r:id="rId133" xr:uid="{00000000-0004-0000-0000-000084000000}"/>
    <hyperlink ref="E135" r:id="rId134" xr:uid="{00000000-0004-0000-0000-000085000000}"/>
    <hyperlink ref="E136" r:id="rId135" xr:uid="{00000000-0004-0000-0000-000086000000}"/>
  </hyperlink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201"/>
  <sheetViews>
    <sheetView showGridLines="0" tabSelected="1" workbookViewId="0"/>
  </sheetViews>
  <sheetFormatPr defaultColWidth="12.6640625" defaultRowHeight="15.75" customHeight="1"/>
  <cols>
    <col min="3" max="3" width="28.44140625" customWidth="1"/>
    <col min="4" max="4" width="77.33203125" customWidth="1"/>
  </cols>
  <sheetData>
    <row r="1" spans="1:5" ht="15.75" customHeight="1">
      <c r="A1" s="5" t="s">
        <v>629</v>
      </c>
      <c r="B1" s="2" t="str">
        <f ca="1">IFERROR(__xludf.DUMMYFUNCTION("GOOGLETRANSLATE(Portuguese!B1,""pt"",""en"")"),"title")</f>
        <v>title</v>
      </c>
      <c r="C1" s="2" t="str">
        <f ca="1">IFERROR(__xludf.DUMMYFUNCTION("GOOGLETRANSLATE(Portuguese!C1,""pt"",""en"")"),"ingredients")</f>
        <v>ingredients</v>
      </c>
      <c r="D1" s="2" t="str">
        <f ca="1">IFERROR(__xludf.DUMMYFUNCTION("GOOGLETRANSLATE(Portuguese!D1,""pt"",""en"")"),"preparation")</f>
        <v>preparation</v>
      </c>
      <c r="E1" s="2" t="s">
        <v>630</v>
      </c>
    </row>
    <row r="2" spans="1:5" ht="15.75" customHeight="1">
      <c r="A2" s="6">
        <v>0</v>
      </c>
      <c r="B2" s="6" t="str">
        <f ca="1">IFERROR(__xludf.DUMMYFUNCTION("GOOGLETRANSLATE(Portuguese!B2,""pt"",""en"")"),"Carrot cake")</f>
        <v>Carrot cake</v>
      </c>
      <c r="C2" s="6" t="str">
        <f ca="1">IFERROR(__xludf.DUMMYFUNCTION("GOOGLETRANSLATE(Portuguese!C2,""pt"",""en"")"),"1/2 cup (tea) of oil
3 medium grated carrots
4 eggs
2 cups (tea) of sugar
2 and 1/2 cups (tea) of wheat flour
1 tablespoon of baking powder
1 tablespoon of butter
3 tablespoons of cocoa powder
1 cup (tea) of sugar
1 cup (tea) of milk")</f>
        <v>1/2 cup (tea) of oil
3 medium grated carrots
4 eggs
2 cups (tea) of sugar
2 and 1/2 cups (tea) of wheat flour
1 tablespoon of baking powder
1 tablespoon of butter
3 tablespoons of cocoa powder
1 cup (tea) of sugar
1 cup (tea) of milk</v>
      </c>
      <c r="D2" s="6" t="str">
        <f ca="1">IFERROR(__xludf.DUMMYFUNCTION("GOOGLETRANSLATE(Portuguese!D2,""pt"",""en"")"),"In a blender, add the carrot, eggs, and oil, then blend.
Add the sugar and blend again for 5 minutes.
In a bowl or stand mixer, add the flour and then mix again.
Add the baking powder and mix slowly with a spoon.
Bake in a preheated oven at 180°C (350°F) "&amp;"for approximately 40 minutes.
Pour the butter, cocoa powder, sugar, and milk into a bowl, then mix.
Bring the mixture to a boil and continue stirring until it reaches a creamy consistency, then pour the syrup over the cake.")</f>
        <v>In a blender, add the carrot, eggs, and oil, then blend.
Add the sugar and blend again for 5 minutes.
In a bowl or stand mixer, add the flour and then mix again.
Add the baking powder and mix slowly with a spoon.
Bake in a preheated oven at 180°C (350°F) for approximately 40 minutes.
Pour the butter, cocoa powder, sugar, and milk into a bowl, then mix.
Bring the mixture to a boil and continue stirring until it reaches a creamy consistency, then pour the syrup over the cake.</v>
      </c>
      <c r="E2" s="7" t="s">
        <v>7</v>
      </c>
    </row>
    <row r="3" spans="1:5" ht="15.75" customHeight="1">
      <c r="A3" s="2">
        <v>1</v>
      </c>
      <c r="B3" s="2" t="str">
        <f ca="1">IFERROR(__xludf.DUMMYFUNCTION("GOOGLETRANSLATE(Portuguese!B3,""pt"",""en"")"),"Iced cake")</f>
        <v>Iced cake</v>
      </c>
      <c r="C3" s="2" t="str">
        <f ca="1">IFERROR(__xludf.DUMMYFUNCTION("GOOGLETRANSLATE(Portuguese!C3,""pt"",""en"")"),"4 eggs
2 cups of sugar
3 cups of wheat flour
1 glass of orange juice
1 tablespoon of baking powder
1 small bottle of coconut milk
1 bottle of milk (use the same bottle as the coconut milk for measuring)
1 can of condensed milk
1 packet of unsweete"&amp;"ned shredded coconut")</f>
        <v>4 eggs
2 cups of sugar
3 cups of wheat flour
1 glass of orange juice
1 tablespoon of baking powder
1 small bottle of coconut milk
1 bottle of milk (use the same bottle as the coconut milk for measuring)
1 can of condensed milk
1 packet of unsweetened shredded coconut</v>
      </c>
      <c r="D3" s="2" t="str">
        <f ca="1">IFERROR(__xludf.DUMMYFUNCTION("GOOGLETRANSLATE(Portuguese!D3,""pt"",""en"")"),"In a mixer, beat the egg whites until stiff peaks form, gradually adding the sugar, and beat for 3 minutes.
Add the egg yolks, flour, and juice, and continue beating until a smooth batter forms.
Finally, add the baking powder and beat for another 40 secon"&amp;"ds on the lowest speed of the mixer.
Pour the batter into a greased medium-sized baking pan.
Bake in a preheated oven at 180°C (350°F) for 40 minutes, or until golden brown.
In a bowl, mix the coconut milk, milk, and condensed milk, and set aside.
After 4"&amp;"0 minutes, remove the cake from the oven and prick the entire surface with a fork to facilitate the penetration of the topping.
While the cake is still warm, pour the topping over it and sprinkle with grated coconut.
Refrigerate for 3 hours, then cut the "&amp;"cake into squares of your preferred size and wrap in aluminum foil.
Keep refrigerated.")</f>
        <v>In a mixer, beat the egg whites until stiff peaks form, gradually adding the sugar, and beat for 3 minutes.
Add the egg yolks, flour, and juice, and continue beating until a smooth batter forms.
Finally, add the baking powder and beat for another 40 seconds on the lowest speed of the mixer.
Pour the batter into a greased medium-sized baking pan.
Bake in a preheated oven at 180°C (350°F) for 40 minutes, or until golden brown.
In a bowl, mix the coconut milk, milk, and condensed milk, and set aside.
After 40 minutes, remove the cake from the oven and prick the entire surface with a fork to facilitate the penetration of the topping.
While the cake is still warm, pour the topping over it and sprinkle with grated coconut.
Refrigerate for 3 hours, then cut the cake into squares of your preferred size and wrap in aluminum foil.
Keep refrigerated.</v>
      </c>
      <c r="E3" s="7" t="s">
        <v>11</v>
      </c>
    </row>
    <row r="4" spans="1:5" ht="15.75" customHeight="1">
      <c r="A4" s="2">
        <v>2</v>
      </c>
      <c r="B4" s="2" t="str">
        <f ca="1">IFERROR(__xludf.DUMMYFUNCTION("GOOGLETRANSLATE(Portuguese!B4,""pt"",""en"")"),"Blender cake")</f>
        <v>Blender cake</v>
      </c>
      <c r="C4" s="2" t="str">
        <f ca="1">IFERROR(__xludf.DUMMYFUNCTION("GOOGLETRANSLATE(Portuguese!C4,""pt"",""en"")"),"1 egg
6 tablespoons of wheat flour
5 tablespoons of grated cheese
1 pinch of oregano
1 dessert spoon of baking powder
1/2 onion
1 cup of milk
1/2 cup of oil
1 pinch of salt")</f>
        <v>1 egg
6 tablespoons of wheat flour
5 tablespoons of grated cheese
1 pinch of oregano
1 dessert spoon of baking powder
1/2 onion
1 cup of milk
1/2 cup of oil
1 pinch of salt</v>
      </c>
      <c r="D4" s="2" t="str">
        <f ca="1">IFERROR(__xludf.DUMMYFUNCTION("GOOGLETRANSLATE(Portuguese!D4,""pt"",""en"")"),"Blend all ingredients in a blender until the batter is firm and thick.
For a thicker batter, add another portion of wheat flour.
Grease a baking pan with oil and pour half of the batter to cover the entire bottom.
Then, add a filling of your choice and co"&amp;"ver with the remaining batter.
Bake in a preheated medium oven (180°C) for 30 minutes.")</f>
        <v>Blend all ingredients in a blender until the batter is firm and thick.
For a thicker batter, add another portion of wheat flour.
Grease a baking pan with oil and pour half of the batter to cover the entire bottom.
Then, add a filling of your choice and cover with the remaining batter.
Bake in a preheated medium oven (180°C) for 30 minutes.</v>
      </c>
      <c r="E4" s="7" t="s">
        <v>15</v>
      </c>
    </row>
    <row r="5" spans="1:5" ht="15.75" customHeight="1">
      <c r="A5" s="2">
        <v>3</v>
      </c>
      <c r="B5" s="2" t="str">
        <f ca="1">IFERROR(__xludf.DUMMYFUNCTION("GOOGLETRANSLATE(Portuguese!B5,""pt"",""en"")"),"Chicken Fricassee")</f>
        <v>Chicken Fricassee</v>
      </c>
      <c r="C5" s="2" t="str">
        <f ca="1">IFERROR(__xludf.DUMMYFUNCTION("GOOGLETRANSLATE(Portuguese!C5,""pt"",""en"")"),"1 can of heavy cream
1 can of sweet corn
1 cup of creamy cream cheese
100g pitted olives
2 shredded chicken breasts
200g sliced ​​mozzarella cheese
100g potato sticks
1 cup of water
1 pinch of salt")</f>
        <v>1 can of heavy cream
1 can of sweet corn
1 cup of creamy cream cheese
100g pitted olives
2 shredded chicken breasts
200g sliced ​​mozzarella cheese
100g potato sticks
1 cup of water
1 pinch of salt</v>
      </c>
      <c r="D5" s="2" t="str">
        <f ca="1">IFERROR(__xludf.DUMMYFUNCTION("GOOGLETRANSLATE(Portuguese!D5,""pt"",""en"")"),"Blend the corn, cream cheese, heavy cream, and water in a blender.
Sauté the blended mixture with the shredded chicken, olives, and salt until it thickens.
Place the mixture in a baking dish, cover with mozzarella cheese, and sprinkle potato sticks on to"&amp;"p.
Bake until bubbly.
Serve with white rice.")</f>
        <v>Blend the corn, cream cheese, heavy cream, and water in a blender.
Sauté the blended mixture with the shredded chicken, olives, and salt until it thickens.
Place the mixture in a baking dish, cover with mozzarella cheese, and sprinkle potato sticks on top.
Bake until bubbly.
Serve with white rice.</v>
      </c>
      <c r="E5" s="7" t="s">
        <v>19</v>
      </c>
    </row>
    <row r="6" spans="1:5" ht="15.75" customHeight="1">
      <c r="A6" s="2">
        <v>4</v>
      </c>
      <c r="B6" s="2" t="str">
        <f ca="1">IFERROR(__xludf.DUMMYFUNCTION("GOOGLETRANSLATE(Portuguese!B6,""pt"",""en"")"),"Moist chocolate cake")</f>
        <v>Moist chocolate cake</v>
      </c>
      <c r="C6" s="2" t="str">
        <f ca="1">IFERROR(__xludf.DUMMYFUNCTION("GOOGLETRANSLATE(Portuguese!C6,""pt"",""en"")"),"2 cups all-purpose flour
2 cups sugar
1 cup milk
6 tablespoons cocoa powder
1 tablespoon baking powder
6 eggs
Topping
2 tablespoons butter
2 cups milk
1 cup cocoa powder")</f>
        <v>2 cups all-purpose flour
2 cups sugar
1 cup milk
6 tablespoons cocoa powder
1 tablespoon baking powder
6 eggs
Topping
2 tablespoons butter
2 cups milk
1 cup cocoa powder</v>
      </c>
      <c r="D6" s="2" t="str">
        <f ca="1">IFERROR(__xludf.DUMMYFUNCTION("GOOGLETRANSLATE(Portuguese!D6,""pt"",""en"")"),"In a mixer, beat the egg whites until stiff peaks form.
Add the egg yolks and sugar and beat again.
Add the flour, cocoa powder, baking powder, and milk and beat for a few more minutes.
Pour the batter into a greased pan and bake in a preheated medium ove"&amp;"n (180°C) for 40 minutes.
In a saucepan, heat the cocoa powder, butter, and milk over medium heat until boiling.
Pour the hot mixture over the baked cake.")</f>
        <v>In a mixer, beat the egg whites until stiff peaks form.
Add the egg yolks and sugar and beat again.
Add the flour, cocoa powder, baking powder, and milk and beat for a few more minutes.
Pour the batter into a greased pan and bake in a preheated medium oven (180°C) for 40 minutes.
In a saucepan, heat the cocoa powder, butter, and milk over medium heat until boiling.
Pour the hot mixture over the baked cake.</v>
      </c>
      <c r="E6" s="7" t="s">
        <v>23</v>
      </c>
    </row>
    <row r="7" spans="1:5" ht="15.75" customHeight="1">
      <c r="A7" s="2">
        <v>5</v>
      </c>
      <c r="B7" s="2" t="str">
        <f ca="1">IFERROR(__xludf.DUMMYFUNCTION("GOOGLETRANSLATE(Portuguese!B7,""pt"",""en"")"),"Ground beef pancake")</f>
        <v>Ground beef pancake</v>
      </c>
      <c r="C7" s="2" t="str">
        <f ca="1">IFERROR(__xludf.DUMMYFUNCTION("GOOGLETRANSLATE(Portuguese!C7,""pt"",""en"")"),"1 1/2 cups (tea) of wheat flour
1 cup (tea) of milk
2 eggs
4 tablespoons of oil
Salt to taste
300g of ground beef
2 tablespoons of chopped or grated onion
1/2 tomato, diced
1/2 can of tomato paste
1 carton of heavy cream
Salt to taste
400g of sliced ​​moz"&amp;"zarella cheese
Grated cheese to taste")</f>
        <v>1 1/2 cups (tea) of wheat flour
1 cup (tea) of milk
2 eggs
4 tablespoons of oil
Salt to taste
300g of ground beef
2 tablespoons of chopped or grated onion
1/2 tomato, diced
1/2 can of tomato paste
1 carton of heavy cream
Salt to taste
400g of sliced ​​mozzarella cheese
Grated cheese to taste</v>
      </c>
      <c r="D7" s="2" t="str">
        <f ca="1">IFERROR(__xludf.DUMMYFUNCTION("GOOGLETRANSLATE(Portuguese!D7,""pt"",""en"")"),"In a blender, beat together the eggs, milk, and oil, gradually adding the wheat flour.
After adding all the wheat flour, add salt to taste.
Mix the batter until you obtain a creamy consistency.
Using a paper towel, spread oil all over the skillet and pour"&amp;" in a ladleful of batter.
Make circular motions so that the batter spreads throughout the skillet.
Wait until the batter releases from the bottom and flip it to fry on the other side.
In a saucepan, sauté the onion in oil and add the meat.
Cook until the "&amp;"meat releases its juices, then reduce the heat and cover.
Add the chopped tomato and cover again.
Cook for another 3 minutes and stir.
Add the tomato paste and seasonings to taste.
Cook for another 10 minutes.
When the sauce thickens, turn off the heat.
L"&amp;"et the sauce cool, add the cream, and mix well.
Once well combined, return to the heat and cook over low heat for another 5 minutes.
Fill the pancake with a slice of mozzarella, a portion of meat, and roll it up.
Repeat this process with all the pancakes"&amp;".
Pour some broth into the bottom of a baking dish to grease it.
Arrange the prepared pancakes in the baking dish and pour the remaining sauce over them.
Sprinkle grated cheese over the pancakes.
Bake in a preheated oven at medium heat for 20 minutes, or "&amp;"until the cheese is melted and golden brown.")</f>
        <v>In a blender, beat together the eggs, milk, and oil, gradually adding the wheat flour.
After adding all the wheat flour, add salt to taste.
Mix the batter until you obtain a creamy consistency.
Using a paper towel, spread oil all over the skillet and pour in a ladleful of batter.
Make circular motions so that the batter spreads throughout the skillet.
Wait until the batter releases from the bottom and flip it to fry on the other side.
In a saucepan, sauté the onion in oil and add the meat.
Cook until the meat releases its juices, then reduce the heat and cover.
Add the chopped tomato and cover again.
Cook for another 3 minutes and stir.
Add the tomato paste and seasonings to taste.
Cook for another 10 minutes.
When the sauce thickens, turn off the heat.
Let the sauce cool, add the cream, and mix well.
Once well combined, return to the heat and cook over low heat for another 5 minutes.
Fill the pancake with a slice of mozzarella, a portion of meat, and roll it up.
Repeat this process with all the pancakes.
Pour some broth into the bottom of a baking dish to grease it.
Arrange the prepared pancakes in the baking dish and pour the remaining sauce over them.
Sprinkle grated cheese over the pancakes.
Bake in a preheated oven at medium heat for 20 minutes, or until the cheese is melted and golden brown.</v>
      </c>
      <c r="E7" s="7" t="s">
        <v>27</v>
      </c>
    </row>
    <row r="8" spans="1:5" ht="15.75" customHeight="1">
      <c r="A8" s="2">
        <v>6</v>
      </c>
      <c r="B8" s="2" t="str">
        <f ca="1">IFERROR(__xludf.DUMMYFUNCTION("GOOGLETRANSLATE(Portuguese!B8,""pt"",""en"")"),"Simple condensed milk pudding")</f>
        <v>Simple condensed milk pudding</v>
      </c>
      <c r="C8" s="2" t="str">
        <f ca="1">IFERROR(__xludf.DUMMYFUNCTION("GOOGLETRANSLATE(Portuguese!C8,""pt"",""en"")"),"1 can of sweetened condensed milk
1 cup of cow's milk
4 whole eggs
1 cup of sugar
1/3 cup of water")</f>
        <v>1 can of sweetened condensed milk
1 cup of cow's milk
4 whole eggs
1 cup of sugar
1/3 cup of water</v>
      </c>
      <c r="D8" s="2" t="str">
        <f ca="1">IFERROR(__xludf.DUMMYFUNCTION("GOOGLETRANSLATE(Portuguese!D8,""pt"",""en"")"),"In a saucepan, mix the water and sugar until a syrup forms.
Grease a mold with the syrup and set aside.
Blend all the ingredients in a blender and pour into the caramelized mold.
Bake in a water bath for 40 minutes.
Unmold and serve.")</f>
        <v>In a saucepan, mix the water and sugar until a syrup forms.
Grease a mold with the syrup and set aside.
Blend all the ingredients in a blender and pour into the caramelized mold.
Bake in a water bath for 40 minutes.
Unmold and serve.</v>
      </c>
      <c r="E8" s="7" t="s">
        <v>31</v>
      </c>
    </row>
    <row r="9" spans="1:5" ht="15.75" customHeight="1">
      <c r="A9" s="2">
        <v>7</v>
      </c>
      <c r="B9" s="2" t="str">
        <f ca="1">IFERROR(__xludf.DUMMYFUNCTION("GOOGLETRANSLATE(Portuguese!B9,""pt"",""en"")"),"Simple cake")</f>
        <v>Simple cake</v>
      </c>
      <c r="C9" s="2" t="str">
        <f ca="1">IFERROR(__xludf.DUMMYFUNCTION("GOOGLETRANSLATE(Portuguese!C9,""pt"",""en"")"),"2 cups (tea) of sugar
3 cups (tea) of wheat flour
4 tablespoons of margarine
3 eggs
1 and 1/2 cups (tea) of milk
1 heaping tablespoon of baking powder")</f>
        <v>2 cups (tea) of sugar
3 cups (tea) of wheat flour
4 tablespoons of margarine
3 eggs
1 and 1/2 cups (tea) of milk
1 heaping tablespoon of baking powder</v>
      </c>
      <c r="D9" s="2" t="str">
        <f ca="1">IFERROR(__xludf.DUMMYFUNCTION("GOOGLETRANSLATE(Portuguese!D9,""pt"",""en"")"),"Beat the egg whites until stiff peaks form and set aside.
Mix the egg yolks, margarine, and sugar until you obtain a homogeneous mixture.
Gradually add the milk and wheat flour, continuing to beat.
Finally, add the beaten egg whites and the baking powd"&amp;"er.
Pour the batter into a large, greased and floured bundt pan.
Bake in a preheated medium oven (180°C) for approximately 40 minutes, or until a fork inserted into the center comes out clean.")</f>
        <v>Beat the egg whites until stiff peaks form and set aside.
Mix the egg yolks, margarine, and sugar until you obtain a homogeneous mixture.
Gradually add the milk and wheat flour, continuing to beat.
Finally, add the beaten egg whites and the baking powder.
Pour the batter into a large, greased and floured bundt pan.
Bake in a preheated medium oven (180°C) for approximately 40 minutes, or until a fork inserted into the center comes out clean.</v>
      </c>
      <c r="E9" s="7" t="s">
        <v>35</v>
      </c>
    </row>
    <row r="10" spans="1:5" ht="15.75" customHeight="1">
      <c r="A10" s="2">
        <v>8</v>
      </c>
      <c r="B10" s="2" t="str">
        <f ca="1">IFERROR(__xludf.DUMMYFUNCTION("GOOGLETRANSLATE(Portuguese!B10,""pt"",""en"")"),"Fritter")</f>
        <v>Fritter</v>
      </c>
      <c r="C10" s="2" t="str">
        <f ca="1">IFERROR(__xludf.DUMMYFUNCTION("GOOGLETRANSLATE(Portuguese!C10,""pt"",""en"")"),"2 eggs
2 tablespoons of sugar
1 cup of milk
2 1/2 cups of wheat flour
1 tablespoon of baking powder
3 tablespoons of sugar
1 teaspoon of cinnamon")</f>
        <v>2 eggs
2 tablespoons of sugar
1 cup of milk
2 1/2 cups of wheat flour
1 tablespoon of baking powder
3 tablespoons of sugar
1 teaspoon of cinnamon</v>
      </c>
      <c r="D10" s="2" t="str">
        <f ca="1">IFERROR(__xludf.DUMMYFUNCTION("GOOGLETRANSLATE(Portuguese!D10,""pt"",""en"")"),"In a bowl, add the eggs, sugar, milk, wheat flour, and baking powder, then mix them until you obtain a smooth and homogeneous dough.
With the help of a spoon, take portions of the mixture and drop them into a pan with hot oil.
Remove from the heat when it"&amp;"'s ready, then mix the cinnamon with sugar and sprinkle it on the already fried fritters.")</f>
        <v>In a bowl, add the eggs, sugar, milk, wheat flour, and baking powder, then mix them until you obtain a smooth and homogeneous dough.
With the help of a spoon, take portions of the mixture and drop them into a pan with hot oil.
Remove from the heat when it's ready, then mix the cinnamon with sugar and sprinkle it on the already fried fritters.</v>
      </c>
      <c r="E10" s="7" t="s">
        <v>39</v>
      </c>
    </row>
    <row r="11" spans="1:5" ht="15.75" customHeight="1">
      <c r="A11" s="2">
        <v>9</v>
      </c>
      <c r="B11" s="2" t="str">
        <f ca="1">IFERROR(__xludf.DUMMYFUNCTION("GOOGLETRANSLATE(Portuguese!B11,""pt"",""en"")"),"Chicken pie")</f>
        <v>Chicken pie</v>
      </c>
      <c r="C11" s="2" t="str">
        <f ca="1">IFERROR(__xludf.DUMMYFUNCTION("GOOGLETRANSLATE(Portuguese!C11,""pt"",""en"")"),"500g skinless chicken breast
1/2 liter chicken broth
4 tablespoons oil
1 clove garlic, crushed
1 onion, chopped
3 tomatoes, peeled and seeded
1 cup peas
Salt to taste
Black pepper to taste
250ml milk
3/4 cup oil
2 eggs
1 1/2 cups all-purpose flour
Salt to"&amp;" taste
1 tablespoon baking powder
Grated cheese to taste")</f>
        <v>500g skinless chicken breast
1/2 liter chicken broth
4 tablespoons oil
1 clove garlic, crushed
1 onion, chopped
3 tomatoes, peeled and seeded
1 cup peas
Salt to taste
Black pepper to taste
250ml milk
3/4 cup oil
2 eggs
1 1/2 cups all-purpose flour
Salt to taste
1 tablespoon baking powder
Grated cheese to taste</v>
      </c>
      <c r="D11" s="2" t="str">
        <f ca="1">IFERROR(__xludf.DUMMYFUNCTION("GOOGLETRANSLATE(Portuguese!D11,""pt"",""en"")"),"Cook the chicken breast in the broth until tender.
Set aside 1 cup of the cooking broth.
Sauté the remaining ingredients and add the peas last.
Shred the chicken, mix it with the broth, and cook until the liquid evaporates.
Blend the milk, oil, and eggs i"&amp;"n a blender on low speed.
Gradually add the flour, salt, and baking powder.
Pour half of the batter into a greased baking dish and add the filling on top.
Cover with the remaining batter and grated cheese.
Bake in a preheated oven (180°C) until golden bro"&amp;"wn.")</f>
        <v>Cook the chicken breast in the broth until tender.
Set aside 1 cup of the cooking broth.
Sauté the remaining ingredients and add the peas last.
Shred the chicken, mix it with the broth, and cook until the liquid evaporates.
Blend the milk, oil, and eggs in a blender on low speed.
Gradually add the flour, salt, and baking powder.
Pour half of the batter into a greased baking dish and add the filling on top.
Cover with the remaining batter and grated cheese.
Bake in a preheated oven (180°C) until golden brown.</v>
      </c>
      <c r="E11" s="7" t="s">
        <v>43</v>
      </c>
    </row>
    <row r="12" spans="1:5" ht="15.75" customHeight="1">
      <c r="A12" s="2">
        <v>10</v>
      </c>
      <c r="B12" s="2" t="str">
        <f ca="1">IFERROR(__xludf.DUMMYFUNCTION("GOOGLETRANSLATE(Portuguese!B12,""pt"",""en"")"),"Homemade Danoninho")</f>
        <v>Homemade Danoninho</v>
      </c>
      <c r="C12" s="2" t="str">
        <f ca="1">IFERROR(__xludf.DUMMYFUNCTION("GOOGLETRANSLATE(Portuguese!C12,""pt"",""en"")"),"1 can of sweetened condensed milk
2 cartons of heavy cream
200g of natural yogurt
1 packet of strawberry-flavored powdered juice")</f>
        <v>1 can of sweetened condensed milk
2 cartons of heavy cream
200g of natural yogurt
1 packet of strawberry-flavored powdered juice</v>
      </c>
      <c r="D12" s="2" t="str">
        <f ca="1">IFERROR(__xludf.DUMMYFUNCTION("GOOGLETRANSLATE(Portuguese!D12,""pt"",""en"")"),"In a blender, blend all ingredients until creamy.
Pour the mixture into a container and refrigerate until firm.")</f>
        <v>In a blender, blend all ingredients until creamy.
Pour the mixture into a container and refrigerate until firm.</v>
      </c>
      <c r="E12" s="7" t="s">
        <v>47</v>
      </c>
    </row>
    <row r="13" spans="1:5" ht="15.75" customHeight="1">
      <c r="A13" s="2">
        <v>11</v>
      </c>
      <c r="B13" s="2" t="str">
        <f ca="1">IFERROR(__xludf.DUMMYFUNCTION("GOOGLETRANSLATE(Portuguese!B13,""pt"",""en"")"),"Brigadier")</f>
        <v>Brigadier</v>
      </c>
      <c r="C13" s="2" t="str">
        <f ca="1">IFERROR(__xludf.DUMMYFUNCTION("GOOGLETRANSLATE(Portuguese!C13,""pt"",""en"")"),"1 can of sweetened condensed milk
1 tablespoon of unsalted margarine
7 tablespoons of chocolate powder or 4 tablespoons of cocoa powder
chocolate sprinkles")</f>
        <v>1 can of sweetened condensed milk
1 tablespoon of unsalted margarine
7 tablespoons of chocolate powder or 4 tablespoons of cocoa powder
chocolate sprinkles</v>
      </c>
      <c r="D13" s="2" t="str">
        <f ca="1">IFERROR(__xludf.DUMMYFUNCTION("GOOGLETRANSLATE(Portuguese!D13,""pt"",""en"")"),"In a deep saucepan, add the condensed milk, margarine, and cocoa powder.
Cook over medium heat and stir until the brigadeiro starts to come away from the sides of the pan.
Let it cool and form small balls with your hands, rolling the dough in chocolate sp"&amp;"rinkles.")</f>
        <v>In a deep saucepan, add the condensed milk, margarine, and cocoa powder.
Cook over medium heat and stir until the brigadeiro starts to come away from the sides of the pan.
Let it cool and form small balls with your hands, rolling the dough in chocolate sprinkles.</v>
      </c>
      <c r="E13" s="7" t="s">
        <v>51</v>
      </c>
    </row>
    <row r="14" spans="1:5" ht="15.75" customHeight="1">
      <c r="A14" s="2">
        <v>12</v>
      </c>
      <c r="B14" s="2" t="str">
        <f ca="1">IFERROR(__xludf.DUMMYFUNCTION("GOOGLETRANSLATE(Portuguese!B14,""pt"",""en"")"),"The best chocolate cake recipe")</f>
        <v>The best chocolate cake recipe</v>
      </c>
      <c r="C14" s="2" t="str">
        <f ca="1">IFERROR(__xludf.DUMMYFUNCTION("GOOGLETRANSLATE(Portuguese!C14,""pt"",""en"")"),"4 eggs
4 tablespoons of cocoa powder
2 tablespoons of butter
3 cups of wheat flour
2 cups of sugar
2 tablespoons of baking powder
1 cup of milk
2 tablespoons of butter
7 tablespoons of cocoa powder
2 cans of heavy cream (with whey)
3 tablespoons o"&amp;"f sugar")</f>
        <v>4 eggs
4 tablespoons of cocoa powder
2 tablespoons of butter
3 cups of wheat flour
2 cups of sugar
2 tablespoons of baking powder
1 cup of milk
2 tablespoons of butter
7 tablespoons of cocoa powder
2 cans of heavy cream (with whey)
3 tablespoons of sugar</v>
      </c>
      <c r="D14" s="2" t="str">
        <f ca="1">IFERROR(__xludf.DUMMYFUNCTION("GOOGLETRANSLATE(Portuguese!D14,""pt"",""en"")"),"In a blender, add the eggs, cocoa powder, butter, wheat flour, sugar, and milk, then blend for 5 minutes.
Add the baking powder and gently mix with a spatula.
In a greased pan, pour the batter and bake in a preheated medium oven (180 ºC) for about 40 minu"&amp;"tes. Don't forget to use a tall pan for this recipe: since it uses two tablespoons of baking powder, it rises quite a bit! Another solution is to use only one tablespoon of baking powder and keep your recipe in a small pan.
In a saucepan, heat the butter "&amp;"and mix in the cocoa powder until smooth.
Add the heavy cream and mix well until you obtain a creamy consistency.
Turn off the heat and add the sugar.")</f>
        <v>In a blender, add the eggs, cocoa powder, butter, wheat flour, sugar, and milk, then blend for 5 minutes.
Add the baking powder and gently mix with a spatula.
In a greased pan, pour the batter and bake in a preheated medium oven (180 ºC) for about 40 minutes. Don't forget to use a tall pan for this recipe: since it uses two tablespoons of baking powder, it rises quite a bit! Another solution is to use only one tablespoon of baking powder and keep your recipe in a small pan.
In a saucepan, heat the butter and mix in the cocoa powder until smooth.
Add the heavy cream and mix well until you obtain a creamy consistency.
Turn off the heat and add the sugar.</v>
      </c>
      <c r="E14" s="7" t="s">
        <v>55</v>
      </c>
    </row>
    <row r="15" spans="1:5" ht="15.75" customHeight="1">
      <c r="A15" s="2">
        <v>13</v>
      </c>
      <c r="B15" s="2" t="str">
        <f ca="1">IFERROR(__xludf.DUMMYFUNCTION("GOOGLETRANSLATE(Portuguese!B15,""pt"",""en"")"),"Pancakes (Grandma's recipe)")</f>
        <v>Pancakes (Grandma's recipe)</v>
      </c>
      <c r="C15" s="2" t="str">
        <f ca="1">IFERROR(__xludf.DUMMYFUNCTION("GOOGLETRANSLATE(Portuguese!C15,""pt"",""en"")"),"1 cup of milk
1 egg
1 cup of wheat flour
1 tablespoon of oil
1 pinch of salt")</f>
        <v>1 cup of milk
1 egg
1 cup of wheat flour
1 tablespoon of oil
1 pinch of salt</v>
      </c>
      <c r="D15" s="2" t="str">
        <f ca="1">IFERROR(__xludf.DUMMYFUNCTION("GOOGLETRANSLATE(Portuguese!D15,""pt"",""en"")"),"Blend all ingredients in a blender until creamy.
Grease a skillet with butter, wait for it to heat up, and pour in a ladleful of batter.
Make circular motions so that the batter spreads across the entire skillet.
Cook until the edges turn golden brown.
Wa"&amp;"it until the batter releases from the bottom, flip, and cook on the other side.
Fill as desired, roll up, and serve.")</f>
        <v>Blend all ingredients in a blender until creamy.
Grease a skillet with butter, wait for it to heat up, and pour in a ladleful of batter.
Make circular motions so that the batter spreads across the entire skillet.
Cook until the edges turn golden brown.
Wait until the batter releases from the bottom, flip, and cook on the other side.
Fill as desired, roll up, and serve.</v>
      </c>
      <c r="E15" s="7" t="s">
        <v>59</v>
      </c>
    </row>
    <row r="16" spans="1:5" ht="15.75" customHeight="1">
      <c r="A16" s="2">
        <v>14</v>
      </c>
      <c r="B16" s="2" t="str">
        <f ca="1">IFERROR(__xludf.DUMMYFUNCTION("GOOGLETRANSLATE(Portuguese!B16,""pt"",""en"")"),"Grandma Maria's cornmeal cake")</f>
        <v>Grandma Maria's cornmeal cake</v>
      </c>
      <c r="C16" s="2" t="str">
        <f ca="1">IFERROR(__xludf.DUMMYFUNCTION("GOOGLETRANSLATE(Portuguese!C16,""pt"",""en"")"),"4 eggs
2 cups of sugar
2 cups of wheat flour
1 cup of cornmeal
3 tablespoons of margarine
1 cup of milk
4 teaspoons of baking powder")</f>
        <v>4 eggs
2 cups of sugar
2 cups of wheat flour
1 cup of cornmeal
3 tablespoons of margarine
1 cup of milk
4 teaspoons of baking powder</v>
      </c>
      <c r="D16" s="2" t="str">
        <f ca="1">IFERROR(__xludf.DUMMYFUNCTION("GOOGLETRANSLATE(Portuguese!D16,""pt"",""en"")"),"In a mixer, beat the egg whites until stiff peaks form and add the sugar.
Add the egg yolks, margarine, milk, wheat flour, and cornmeal, and continue beating.
Finally, add the baking powder and mix with a spoon or spatula.
Pour the batter into a greased p"&amp;"an and bake in a preheated medium oven (180°C) for approximately 30 minutes.")</f>
        <v>In a mixer, beat the egg whites until stiff peaks form and add the sugar.
Add the egg yolks, margarine, milk, wheat flour, and cornmeal, and continue beating.
Finally, add the baking powder and mix with a spoon or spatula.
Pour the batter into a greased pan and bake in a preheated medium oven (180°C) for approximately 30 minutes.</v>
      </c>
      <c r="E16" s="7" t="s">
        <v>63</v>
      </c>
    </row>
    <row r="17" spans="1:5" ht="15.75" customHeight="1">
      <c r="A17" s="2">
        <v>15</v>
      </c>
      <c r="B17" s="2" t="str">
        <f ca="1">IFERROR(__xludf.DUMMYFUNCTION("GOOGLETRANSLATE(Portuguese!B17,""pt"",""en"")"),"Creamy hot chocolate")</f>
        <v>Creamy hot chocolate</v>
      </c>
      <c r="C17" s="2" t="str">
        <f ca="1">IFERROR(__xludf.DUMMYFUNCTION("GOOGLETRANSLATE(Portuguese!C17,""pt"",""en"")"),"2 cups of milk
1 tablespoon of cornstarch
3 tablespoons of cocoa powder
4 tablespoons of sugar
1 cinnamon stick
1 carton of heavy cream")</f>
        <v>2 cups of milk
1 tablespoon of cornstarch
3 tablespoons of cocoa powder
4 tablespoons of sugar
1 cinnamon stick
1 carton of heavy cream</v>
      </c>
      <c r="D17" s="2" t="str">
        <f ca="1">IFERROR(__xludf.DUMMYFUNCTION("GOOGLETRANSLATE(Portuguese!D17,""pt"",""en"")"),"In a blender, combine the milk, cornstarch, cocoa powder, and sugar.
Pour the mixture into a saucepan with the cinnamon stick and cook over low heat, stirring constantly until it boils.
Turn off the heat, add the heavy cream, and stir well until you have "&amp;"a smooth mixture.
Remove the cinnamon stick and serve hot.")</f>
        <v>In a blender, combine the milk, cornstarch, cocoa powder, and sugar.
Pour the mixture into a saucepan with the cinnamon stick and cook over low heat, stirring constantly until it boils.
Turn off the heat, add the heavy cream, and stir well until you have a smooth mixture.
Remove the cinnamon stick and serve hot.</v>
      </c>
      <c r="E17" s="7" t="s">
        <v>67</v>
      </c>
    </row>
    <row r="18" spans="1:5" ht="15.75" customHeight="1">
      <c r="A18" s="2">
        <v>16</v>
      </c>
      <c r="B18" s="2" t="str">
        <f ca="1">IFERROR(__xludf.DUMMYFUNCTION("GOOGLETRANSLATE(Portuguese!B18,""pt"",""en"")"),"Creamy cornmeal cake")</f>
        <v>Creamy cornmeal cake</v>
      </c>
      <c r="C18" s="2" t="str">
        <f ca="1">IFERROR(__xludf.DUMMYFUNCTION("GOOGLETRANSLATE(Portuguese!C18,""pt"",""en"")"),"4 eggs
4 cups of milk
3 cups of sugar
2 tablespoons of wheat flour
1 1/2 cups of cornmeal
2 tablespoons of margarine
100g of grated cheese
1 tablespoon of baking powder")</f>
        <v>4 eggs
4 cups of milk
3 cups of sugar
2 tablespoons of wheat flour
1 1/2 cups of cornmeal
2 tablespoons of margarine
100g of grated cheese
1 tablespoon of baking powder</v>
      </c>
      <c r="D18" s="2" t="str">
        <f ca="1">IFERROR(__xludf.DUMMYFUNCTION("GOOGLETRANSLATE(Portuguese!D18,""pt"",""en"")"),"In a blender, mix all the ingredients until you obtain a creamy consistency.
Pour the batter into a greased and floured baking pan.
Bake in a preheated medium oven (180°C) for 40 minutes.
Serve cold.")</f>
        <v>In a blender, mix all the ingredients until you obtain a creamy consistency.
Pour the batter into a greased and floured baking pan.
Bake in a preheated medium oven (180°C) for 40 minutes.
Serve cold.</v>
      </c>
      <c r="E18" s="7" t="s">
        <v>71</v>
      </c>
    </row>
    <row r="19" spans="1:5" ht="15.75" customHeight="1">
      <c r="A19" s="2">
        <v>17</v>
      </c>
      <c r="B19" s="2" t="str">
        <f ca="1">IFERROR(__xludf.DUMMYFUNCTION("GOOGLETRANSLATE(Portuguese!B19,""pt"",""en"")"),"Quick lemon mousse")</f>
        <v>Quick lemon mousse</v>
      </c>
      <c r="C19" s="2" t="str">
        <f ca="1">IFERROR(__xludf.DUMMYFUNCTION("GOOGLETRANSLATE(Portuguese!C19,""pt"",""en"")"),"1 can of sweetened condensed milk
1 can of heavy cream
1/2 cup (American) of pure lemon juice
Lemon biscuit")</f>
        <v>1 can of sweetened condensed milk
1 can of heavy cream
1/2 cup (American) of pure lemon juice
Lemon biscuit</v>
      </c>
      <c r="D19" s="2" t="str">
        <f ca="1">IFERROR(__xludf.DUMMYFUNCTION("GOOGLETRANSLATE(Portuguese!D19,""pt"",""en"")"),"In a blender, beat the condensed milk and heavy cream for 3 minutes.
Gradually add the lemon juice and continue beating.
Pour the mousse into a baking dish and refrigerate.
When ready to serve, crush the chocolate wafer and sprinkle it on top of the mouss"&amp;"e to decorate.")</f>
        <v>In a blender, beat the condensed milk and heavy cream for 3 minutes.
Gradually add the lemon juice and continue beating.
Pour the mousse into a baking dish and refrigerate.
When ready to serve, crush the chocolate wafer and sprinkle it on top of the mousse to decorate.</v>
      </c>
      <c r="E19" s="7" t="s">
        <v>75</v>
      </c>
    </row>
    <row r="20" spans="1:5" ht="15.75" customHeight="1">
      <c r="A20" s="2">
        <v>18</v>
      </c>
      <c r="B20" s="2" t="str">
        <f ca="1">IFERROR(__xludf.DUMMYFUNCTION("GOOGLETRANSLATE(Portuguese!B20,""pt"",""en"")"),"Easy blender pizza")</f>
        <v>Easy blender pizza</v>
      </c>
      <c r="C20" s="2" t="str">
        <f ca="1">IFERROR(__xludf.DUMMYFUNCTION("GOOGLETRANSLATE(Portuguese!C20,""pt"",""en"")"),"1 cup (tea) of milk
1 egg
1 teaspoon of salt
1 teaspoon of sugar
1 tablespoon of margarine
1 and 1/2 cups (tea) of wheat flour
1 dessert spoon of baking powder
1/2 can of tomato sauce
250 g of coarsely grated mozzarella cheese
2 sliced ​​tomatoes
chopped "&amp;"olives
oregano to taste")</f>
        <v>1 cup (tea) of milk
1 egg
1 teaspoon of salt
1 teaspoon of sugar
1 tablespoon of margarine
1 and 1/2 cups (tea) of wheat flour
1 dessert spoon of baking powder
1/2 can of tomato sauce
250 g of coarsely grated mozzarella cheese
2 sliced ​​tomatoes
chopped olives
oregano to taste</v>
      </c>
      <c r="D20" s="2" t="str">
        <f ca="1">IFERROR(__xludf.DUMMYFUNCTION("GOOGLETRANSLATE(Portuguese!D20,""pt"",""en"")"),"In a blender, beat together the milk, egg, salt, sugar, margarine, wheat flour, and baking powder until everything is well combined.
Pour the batter into a pizza pan greased with margarine and bake in a preheated oven for 20 minutes.
Remove from the oven "&amp;"and pour over the tomato sauce.
Cover the dough with grated mozzarella, tomato, and oregano to taste.
Bake again until the mozzarella melts.")</f>
        <v>In a blender, beat together the milk, egg, salt, sugar, margarine, wheat flour, and baking powder until everything is well combined.
Pour the batter into a pizza pan greased with margarine and bake in a preheated oven for 20 minutes.
Remove from the oven and pour over the tomato sauce.
Cover the dough with grated mozzarella, tomato, and oregano to taste.
Bake again until the mozzarella melts.</v>
      </c>
      <c r="E20" s="7" t="s">
        <v>79</v>
      </c>
    </row>
    <row r="21" spans="1:5" ht="15.75" customHeight="1">
      <c r="A21" s="2">
        <v>19</v>
      </c>
      <c r="B21" s="2" t="str">
        <f ca="1">IFERROR(__xludf.DUMMYFUNCTION("GOOGLETRANSLATE(Portuguese!B21,""pt"",""en"")"),"Frozen coconut and chocolate dessert")</f>
        <v>Frozen coconut and chocolate dessert</v>
      </c>
      <c r="C21" s="2" t="str">
        <f ca="1">IFERROR(__xludf.DUMMYFUNCTION("GOOGLETRANSLATE(Portuguese!C21,""pt"",""en"")"),"1 can of sweetened condensed milk
800 ml of milk
200 g of grated coconut
1 and 1/2 tablespoons of cornstarch
1 pinch of salt
1 can of heavy cream
12 tablespoons of chocolate powder")</f>
        <v>1 can of sweetened condensed milk
800 ml of milk
200 g of grated coconut
1 and 1/2 tablespoons of cornstarch
1 pinch of salt
1 can of heavy cream
12 tablespoons of chocolate powder</v>
      </c>
      <c r="D21" s="2" t="str">
        <f ca="1">IFERROR(__xludf.DUMMYFUNCTION("GOOGLETRANSLATE(Portuguese!D21,""pt"",""en"")"),"In a saucepan, mix all ingredients and cook over low heat until a smooth cream forms.
Pour the cream into a serving dish or individual portions and set aside.
In a bowl, mix the heavy cream and chocolate powder well without heating.
Pour the mixture over "&amp;"the white cream and refrigerate.
Serve chilled.")</f>
        <v>In a saucepan, mix all ingredients and cook over low heat until a smooth cream forms.
Pour the cream into a serving dish or individual portions and set aside.
In a bowl, mix the heavy cream and chocolate powder well without heating.
Pour the mixture over the white cream and refrigerate.
Serve chilled.</v>
      </c>
      <c r="E21" s="7" t="s">
        <v>83</v>
      </c>
    </row>
    <row r="22" spans="1:5" ht="15.75" customHeight="1">
      <c r="A22" s="2">
        <v>20</v>
      </c>
      <c r="B22" s="2" t="str">
        <f ca="1">IFERROR(__xludf.DUMMYFUNCTION("GOOGLETRANSLATE(Portuguese!B22,""pt"",""en"")"),"Homemade bread")</f>
        <v>Homemade bread</v>
      </c>
      <c r="C22" s="2" t="str">
        <f ca="1">IFERROR(__xludf.DUMMYFUNCTION("GOOGLETRANSLATE(Portuguese!C22,""pt"",""en"")"),"2 1/2 cups of warm water
2 tablespoons of sugar
1 tablespoon of salt
1 egg
1 cup of oil
1 kg of wheat flour
50 g of baker's yeast")</f>
        <v>2 1/2 cups of warm water
2 tablespoons of sugar
1 tablespoon of salt
1 egg
1 cup of oil
1 kg of wheat flour
50 g of baker's yeast</v>
      </c>
      <c r="D22" s="2" t="str">
        <f ca="1">IFERROR(__xludf.DUMMYFUNCTION("GOOGLETRANSLATE(Portuguese!D22,""pt"",""en"")"),"Mix the yeast and warm water, set aside.
In a blender, beat the sugar, oil, salt, egg, and water with the yeast for a few minutes.
Pour the mixture into a bowl and gradually add the wheat flour, mixing with your hands.
Add wheat flour until the dough no l"&amp;"onger sticks to your hands and let it rise for 1 hour.
Divide the dough into portions and shape the loaves.
Let rise again for 40 minutes.
Bake for 30 minutes.")</f>
        <v>Mix the yeast and warm water, set aside.
In a blender, beat the sugar, oil, salt, egg, and water with the yeast for a few minutes.
Pour the mixture into a bowl and gradually add the wheat flour, mixing with your hands.
Add wheat flour until the dough no longer sticks to your hands and let it rise for 1 hour.
Divide the dough into portions and shape the loaves.
Let rise again for 40 minutes.
Bake for 30 minutes.</v>
      </c>
      <c r="E22" s="7" t="s">
        <v>87</v>
      </c>
    </row>
    <row r="23" spans="1:5" ht="15.75" customHeight="1">
      <c r="A23" s="2">
        <v>21</v>
      </c>
      <c r="B23" s="2" t="str">
        <f ca="1">IFERROR(__xludf.DUMMYFUNCTION("GOOGLETRANSLATE(Portuguese!B23,""pt"",""en"")"),"Quick blender banana cake")</f>
        <v>Quick blender banana cake</v>
      </c>
      <c r="C23" s="2" t="str">
        <f ca="1">IFERROR(__xludf.DUMMYFUNCTION("GOOGLETRANSLATE(Portuguese!C23,""pt"",""en"")"),"3 eggs
2 cups of sugar
1 cup of milk
1/2 cup of oil
2 cups of wheat flour
1 tablespoon of baking powder
7 bananas
3/4 cup of sugar
1/2 cup of hot water")</f>
        <v>3 eggs
2 cups of sugar
1 cup of milk
1/2 cup of oil
2 cups of wheat flour
1 tablespoon of baking powder
7 bananas
3/4 cup of sugar
1/2 cup of hot water</v>
      </c>
      <c r="D23" s="2" t="str">
        <f ca="1">IFERROR(__xludf.DUMMYFUNCTION("GOOGLETRANSLATE(Portuguese!D23,""pt"",""en"")"),"In a saucepan, add the sugar and stir until melted.
Pour in the hot water and stir until the sugar dissolves.
Let it thicken until it reaches the consistency of syrup and set aside.
In a blender, beat the eggs, sugar, oil, and milk.
Gradually add the whea"&amp;"t flour and continue beating until you obtain a smooth and homogeneous batter.
Finally, add the baking powder and blend at the lowest speed of the blender.
Grease a medium baking pan with margarine and flour.
Pour in the caramel and the bananas cut length"&amp;"wise.
Bake in a preheated medium oven at 180°C (350°F) for approximately 30 minutes.")</f>
        <v>In a saucepan, add the sugar and stir until melted.
Pour in the hot water and stir until the sugar dissolves.
Let it thicken until it reaches the consistency of syrup and set aside.
In a blender, beat the eggs, sugar, oil, and milk.
Gradually add the wheat flour and continue beating until you obtain a smooth and homogeneous batter.
Finally, add the baking powder and blend at the lowest speed of the blender.
Grease a medium baking pan with margarine and flour.
Pour in the caramel and the bananas cut lengthwise.
Bake in a preheated medium oven at 180°C (350°F) for approximately 30 minutes.</v>
      </c>
      <c r="E23" s="7" t="s">
        <v>91</v>
      </c>
    </row>
    <row r="24" spans="1:5" ht="15.75" customHeight="1">
      <c r="A24" s="2">
        <v>22</v>
      </c>
      <c r="B24" s="2" t="str">
        <f ca="1">IFERROR(__xludf.DUMMYFUNCTION("GOOGLETRANSLATE(Portuguese!B24,""pt"",""en"")"),"Lemon mousse")</f>
        <v>Lemon mousse</v>
      </c>
      <c r="C24" s="2" t="str">
        <f ca="1">IFERROR(__xludf.DUMMYFUNCTION("GOOGLETRANSLATE(Portuguese!C24,""pt"",""en"")"),"1 can of sweetened condensed milk
1 can of heavy cream
1/2 cup of lemon juice (this juice is pure, without water, just squeeze the lemon)")</f>
        <v>1 can of sweetened condensed milk
1 can of heavy cream
1/2 cup of lemon juice (this juice is pure, without water, just squeeze the lemon)</v>
      </c>
      <c r="D24" s="2" t="str">
        <f ca="1">IFERROR(__xludf.DUMMYFUNCTION("GOOGLETRANSLATE(Portuguese!D24,""pt"",""en"")"),"Place the heavy cream (with the whey) and the sweetened condensed milk in a blender.
Blend briefly, then gradually add the lemon juice.
It will become quite thick; refrigerate.")</f>
        <v>Place the heavy cream (with the whey) and the sweetened condensed milk in a blender.
Blend briefly, then gradually add the lemon juice.
It will become quite thick; refrigerate.</v>
      </c>
      <c r="E24" s="7" t="s">
        <v>95</v>
      </c>
    </row>
    <row r="25" spans="1:5" ht="15.75" customHeight="1">
      <c r="A25" s="2">
        <v>23</v>
      </c>
      <c r="B25" s="2" t="str">
        <f ca="1">IFERROR(__xludf.DUMMYFUNCTION("GOOGLETRANSLATE(Portuguese!B25,""pt"",""en"")"),"Prestige cake")</f>
        <v>Prestige cake</v>
      </c>
      <c r="C25" s="2" t="str">
        <f ca="1">IFERROR(__xludf.DUMMYFUNCTION("GOOGLETRANSLATE(Portuguese!C25,""pt"",""en"")"),"3 eggs
1/2 cup (tea) of oil
1 cup (tea) of milk
1 cup (tea) of sugar
1 cup (tea) of cocoa powder
2 cups (tea) of wheat flour
1 tablespoon of baking powder
Grated coconut to taste
1 bottle of coconut milk
1 cup (tea) of milk
3 tablespoons of sugar
1 can o"&amp;"f condensed milk
1 tablespoon of margarine
100 g of grated coconut
3 tablespoons of margarine
8 tablespoons of sugar
2 tablespoons of cocoa powder
2 cups (tea) of milk")</f>
        <v>3 eggs
1/2 cup (tea) of oil
1 cup (tea) of milk
1 cup (tea) of sugar
1 cup (tea) of cocoa powder
2 cups (tea) of wheat flour
1 tablespoon of baking powder
Grated coconut to taste
1 bottle of coconut milk
1 cup (tea) of milk
3 tablespoons of sugar
1 can of condensed milk
1 tablespoon of margarine
100 g of grated coconut
3 tablespoons of margarine
8 tablespoons of sugar
2 tablespoons of cocoa powder
2 cups (tea) of milk</v>
      </c>
      <c r="D25" s="2" t="str">
        <f ca="1">IFERROR(__xludf.DUMMYFUNCTION("GOOGLETRANSLATE(Portuguese!D25,""pt"",""en"")"),"In a blender, beat the eggs, oil, and milk for 3 minutes and set aside.
In a bowl, mix the sugar, flour, baking powder, chocolate, and shredded coconut to taste.
Pour this mixture over the blender mixture and stir until the batter is consistent.
Pour the "&amp;"batter into a greased pan and bake in a preheated medium oven for 30 minutes, or until a fork inserted into the center comes out clean.
Let cool, cut in half, and set aside.
In a bowl, mix the coconut milk, milk, and sugar and pour over the halved cake to"&amp;" moisten it.
In a saucepan, cook the condensed milk, margarine, and shredded coconut over low heat until it pulls away from the bottom of the pan.
Cook the margarine, sugar, cocoa powder, and milk over low heat until it thickens.
Prick the bottom of the c"&amp;"ake with a fork and pour some of the syrup over it.
Spread the filling over the bottom half of the cake.
Place the other half of the cake on top of the filling.
Cover the cake with the chocolate frosting.
Refrigerate for 45 minutes.")</f>
        <v>In a blender, beat the eggs, oil, and milk for 3 minutes and set aside.
In a bowl, mix the sugar, flour, baking powder, chocolate, and shredded coconut to taste.
Pour this mixture over the blender mixture and stir until the batter is consistent.
Pour the batter into a greased pan and bake in a preheated medium oven for 30 minutes, or until a fork inserted into the center comes out clean.
Let cool, cut in half, and set aside.
In a bowl, mix the coconut milk, milk, and sugar and pour over the halved cake to moisten it.
In a saucepan, cook the condensed milk, margarine, and shredded coconut over low heat until it pulls away from the bottom of the pan.
Cook the margarine, sugar, cocoa powder, and milk over low heat until it thickens.
Prick the bottom of the cake with a fork and pour some of the syrup over it.
Spread the filling over the bottom half of the cake.
Place the other half of the cake on top of the filling.
Cover the cake with the chocolate frosting.
Refrigerate for 45 minutes.</v>
      </c>
      <c r="E25" s="7" t="s">
        <v>99</v>
      </c>
    </row>
    <row r="26" spans="1:5" ht="15.75" customHeight="1">
      <c r="A26" s="2">
        <v>24</v>
      </c>
      <c r="B26" s="2" t="str">
        <f ca="1">IFERROR(__xludf.DUMMYFUNCTION("GOOGLETRANSLATE(Portuguese!B26,""pt"",""en"")"),"Quick and easy Brigadeirão")</f>
        <v>Quick and easy Brigadeirão</v>
      </c>
      <c r="C26" s="2" t="str">
        <f ca="1">IFERROR(__xludf.DUMMYFUNCTION("GOOGLETRANSLATE(Portuguese!C26,""pt"",""en"")"),"1 can of sweetened condensed milk
1 carton of heavy cream
8 tablespoons of chocolate powder
3 eggs
1 tablespoon of unsalted margarine
chocolate sprinkles")</f>
        <v>1 can of sweetened condensed milk
1 carton of heavy cream
8 tablespoons of chocolate powder
3 eggs
1 tablespoon of unsalted margarine
chocolate sprinkles</v>
      </c>
      <c r="D26" s="2" t="str">
        <f ca="1">IFERROR(__xludf.DUMMYFUNCTION("GOOGLETRANSLATE(Portuguese!D26,""pt"",""en"")"),"Blend all ingredients in a blender for 5 minutes until creamy.
Pour the batter into a microwave-safe bundt pan greased with margarine.
Microwave for 10 minutes.
Let the batter cool for 15 minutes and refrigerate for 1 hour.
Unmold and decorate with chocol"&amp;"ate sprinkles.")</f>
        <v>Blend all ingredients in a blender for 5 minutes until creamy.
Pour the batter into a microwave-safe bundt pan greased with margarine.
Microwave for 10 minutes.
Let the batter cool for 15 minutes and refrigerate for 1 hour.
Unmold and decorate with chocolate sprinkles.</v>
      </c>
      <c r="E26" s="7" t="s">
        <v>103</v>
      </c>
    </row>
    <row r="27" spans="1:5" ht="86.4">
      <c r="A27" s="2">
        <v>25</v>
      </c>
      <c r="B27" s="2" t="str">
        <f ca="1">IFERROR(__xludf.DUMMYFUNCTION("GOOGLETRANSLATE(Portuguese!B27,""pt"",""en"")"),"Chicken Stroganoff")</f>
        <v>Chicken Stroganoff</v>
      </c>
      <c r="C27" s="2" t="str">
        <f ca="1">IFERROR(__xludf.DUMMYFUNCTION("GOOGLETRANSLATE(Portuguese!C27,""pt"",""en"")"),"3 chicken breasts, cubed
1 clove of garlic, minced
Salt to taste
Black pepper to taste
1 onion, chopped
2 tablespoons of mayonnaise
1 tablespoon of butter
1/2 cup of ketchup
1/3 cup of mustard
1 cup of mushrooms
1 cup of heavy cream
Potato sticks to taste")</f>
        <v>3 chicken breasts, cubed
1 clove of garlic, minced
Salt to taste
Black pepper to taste
1 onion, chopped
2 tablespoons of mayonnaise
1 tablespoon of butter
1/2 cup of ketchup
1/3 cup of mustard
1 cup of mushrooms
1 cup of heavy cream
Potato sticks to taste</v>
      </c>
      <c r="D27" s="2" t="str">
        <f ca="1">IFERROR(__xludf.DUMMYFUNCTION("GOOGLETRANSLATE(Portuguese!D27,""pt"",""en"")"),"In a saucepan, combine the chicken, garlic, mayonnaise, salt, and pepper.
In a large skillet, melt the butter and sauté the onion until golden brown.
Add the seasoned chicken and cook until browned.
Add the mushrooms, ketchup, and mustard.
Fold in the cre"&amp;"am and remove from the heat before it boils.
Serve with white rice and potato sticks.")</f>
        <v>In a saucepan, combine the chicken, garlic, mayonnaise, salt, and pepper.
In a large skillet, melt the butter and sauté the onion until golden brown.
Add the seasoned chicken and cook until browned.
Add the mushrooms, ketchup, and mustard.
Fold in the cream and remove from the heat before it boils.
Serve with white rice and potato sticks.</v>
      </c>
      <c r="E27" s="7" t="s">
        <v>107</v>
      </c>
    </row>
    <row r="28" spans="1:5" ht="100.8">
      <c r="A28" s="2">
        <v>26</v>
      </c>
      <c r="B28" s="2" t="str">
        <f ca="1">IFERROR(__xludf.DUMMYFUNCTION("GOOGLETRANSLATE(Portuguese!B28,""pt"",""en"")"),"Passion fruit mousse")</f>
        <v>Passion fruit mousse</v>
      </c>
      <c r="C28" s="2" t="str">
        <f ca="1">IFERROR(__xludf.DUMMYFUNCTION("GOOGLETRANSLATE(Portuguese!C28,""pt"",""en"")"),"1 can of sweetened condensed milk
1 can of passion fruit juice (measured using the sweetened condensed milk can)
1 can of heavy cream (without whey)")</f>
        <v>1 can of sweetened condensed milk
1 can of passion fruit juice (measured using the sweetened condensed milk can)
1 can of heavy cream (without whey)</v>
      </c>
      <c r="D28" s="2" t="str">
        <f ca="1">IFERROR(__xludf.DUMMYFUNCTION("GOOGLETRANSLATE(Portuguese!D28,""pt"",""en"")"),"In a blender, combine the heavy cream, sweetened condensed milk, and concentrated passion fruit juice.
In a bowl, pour the mixture and refrigerate for at least 4 hours.")</f>
        <v>In a blender, combine the heavy cream, sweetened condensed milk, and concentrated passion fruit juice.
In a bowl, pour the mixture and refrigerate for at least 4 hours.</v>
      </c>
      <c r="E28" s="7" t="s">
        <v>111</v>
      </c>
    </row>
    <row r="29" spans="1:5" ht="86.4">
      <c r="A29" s="2">
        <v>27</v>
      </c>
      <c r="B29" s="2" t="str">
        <f ca="1">IFERROR(__xludf.DUMMYFUNCTION("GOOGLETRANSLATE(Portuguese!B29,""pt"",""en"")"),"Creamy corn cake")</f>
        <v>Creamy corn cake</v>
      </c>
      <c r="C29" s="2" t="str">
        <f ca="1">IFERROR(__xludf.DUMMYFUNCTION("GOOGLETRANSLATE(Portuguese!C29,""pt"",""en"")"),"1 can of sweet corn
1 can of oil (using the corn can as a measure)
1 can of sugar (using the corn can as a measure)
1 can of cornmeal (using the corn can as a measure)
4 eggs
2 tablespoons of wheat flour
2 tablespoons of shredded coconut
1 1/2 teaspoons "&amp;"of baking powder")</f>
        <v>1 can of sweet corn
1 can of oil (using the corn can as a measure)
1 can of sugar (using the corn can as a measure)
1 can of cornmeal (using the corn can as a measure)
4 eggs
2 tablespoons of wheat flour
2 tablespoons of shredded coconut
1 1/2 teaspoons of baking powder</v>
      </c>
      <c r="D29" s="2" t="str">
        <f ca="1">IFERROR(__xludf.DUMMYFUNCTION("GOOGLETRANSLATE(Portuguese!D29,""pt"",""en"")"),"In a blender, add the corn, oil, sugar, cornmeal, eggs, and wheat flour, then blend until creamy.
Next, add the shredded coconut and baking powder, and mix again.
Pour the batter into a greased baking pan and bake in a preheated medium oven at 180°C (350°"&amp;"F) for 40 minutes.")</f>
        <v>In a blender, add the corn, oil, sugar, cornmeal, eggs, and wheat flour, then blend until creamy.
Next, add the shredded coconut and baking powder, and mix again.
Pour the batter into a greased baking pan and bake in a preheated medium oven at 180°C (350°F) for 40 minutes.</v>
      </c>
      <c r="E29" s="7" t="s">
        <v>115</v>
      </c>
    </row>
    <row r="30" spans="1:5" ht="115.2">
      <c r="A30" s="2">
        <v>28</v>
      </c>
      <c r="B30" s="2" t="str">
        <f ca="1">IFERROR(__xludf.DUMMYFUNCTION("GOOGLETRANSLATE(Portuguese!B30,""pt"",""en"")"),"Delicious and easy blender chicken pie")</f>
        <v>Delicious and easy blender chicken pie</v>
      </c>
      <c r="C30" s="2" t="str">
        <f ca="1">IFERROR(__xludf.DUMMYFUNCTION("GOOGLETRANSLATE(Portuguese!C30,""pt"",""en"")"),"500 ml milk
250 ml soybean oil
3 cups wheat flour
1 teaspoon salt
4 eggs
2 teaspoons baking powder
25 g grated Parmesan cheese
1 pinch of oregano
1 large chicken breast, cooked for 30 minutes in a pressure cooker and shredded
1 can of chopped hearts of pa"&amp;"lm
1 can of peas and corn
100 ml tomato sauce
1 chopped tomato
1 chopped onion
olives
oregano")</f>
        <v>500 ml milk
250 ml soybean oil
3 cups wheat flour
1 teaspoon salt
4 eggs
2 teaspoons baking powder
25 g grated Parmesan cheese
1 pinch of oregano
1 large chicken breast, cooked for 30 minutes in a pressure cooker and shredded
1 can of chopped hearts of palm
1 can of peas and corn
100 ml tomato sauce
1 chopped tomato
1 chopped onion
olives
oregano</v>
      </c>
      <c r="D30" s="2" t="str">
        <f ca="1">IFERROR(__xludf.DUMMYFUNCTION("GOOGLETRANSLATE(Portuguese!D30,""pt"",""en"")"),"Mix all the ingredients in a bowl until you obtain a firm consistency and set aside.
Set aside the cheese.
Blend the remaining dough ingredients in a blender and add the yeast last.
Pour half of the dough into a large stainless steel or aluminum baking pa"&amp;"n, greased with butter.
Add the filling on top and cover with the remaining dough.
Sprinkle with Parmesan cheese and bake in a preheated oven (220°C/425°F) for 40 minutes.")</f>
        <v>Mix all the ingredients in a bowl until you obtain a firm consistency and set aside.
Set aside the cheese.
Blend the remaining dough ingredients in a blender and add the yeast last.
Pour half of the dough into a large stainless steel or aluminum baking pan, greased with butter.
Add the filling on top and cover with the remaining dough.
Sprinkle with Parmesan cheese and bake in a preheated oven (220°C/425°F) for 40 minutes.</v>
      </c>
      <c r="E30" s="7" t="s">
        <v>119</v>
      </c>
    </row>
    <row r="31" spans="1:5" ht="72">
      <c r="A31" s="2">
        <v>29</v>
      </c>
      <c r="B31" s="2" t="str">
        <f ca="1">IFERROR(__xludf.DUMMYFUNCTION("GOOGLETRANSLATE(Portuguese!B31,""pt"",""en"")"),"Creamed corn")</f>
        <v>Creamed corn</v>
      </c>
      <c r="C31" s="2" t="str">
        <f ca="1">IFERROR(__xludf.DUMMYFUNCTION("GOOGLETRANSLATE(Portuguese!C31,""pt"",""en"")"),"1 can of corn
1 1/2 cups of milk
1 tablespoon of butter
1 medium grated onion
1 vegetable stock cube
1 can of cream
2 tablespoons of wheat flour")</f>
        <v>1 can of corn
1 1/2 cups of milk
1 tablespoon of butter
1 medium grated onion
1 vegetable stock cube
1 can of cream
2 tablespoons of wheat flour</v>
      </c>
      <c r="D31" s="2" t="str">
        <f ca="1">IFERROR(__xludf.DUMMYFUNCTION("GOOGLETRANSLATE(Portuguese!D31,""pt"",""en"")"),"In a blender, blend the corn and milk and set aside.
In a saucepan, heat the butter, add the onion and sauté briefly.
Add the flour and stir quickly.
Let it brown and mix the blended corn and milk into the broth.
Stir until completely dissolved and cook f"&amp;"or about 10 minutes, until you obtain a creamy consistency.
Add the cream, stir and turn off the heat.")</f>
        <v>In a blender, blend the corn and milk and set aside.
In a saucepan, heat the butter, add the onion and sauté briefly.
Add the flour and stir quickly.
Let it brown and mix the blended corn and milk into the broth.
Stir until completely dissolved and cook for about 10 minutes, until you obtain a creamy consistency.
Add the cream, stir and turn off the heat.</v>
      </c>
      <c r="E31" s="7" t="s">
        <v>123</v>
      </c>
    </row>
    <row r="32" spans="1:5" ht="100.8">
      <c r="A32" s="2">
        <v>30</v>
      </c>
      <c r="B32" s="2" t="str">
        <f ca="1">IFERROR(__xludf.DUMMYFUNCTION("GOOGLETRANSLATE(Portuguese!B32,""pt"",""en"")"),"American pancake")</f>
        <v>American pancake</v>
      </c>
      <c r="C32" s="2" t="str">
        <f ca="1">IFERROR(__xludf.DUMMYFUNCTION("GOOGLETRANSLATE(Portuguese!C32,""pt"",""en"")"),"1 1/4 cups (tea) of wheat flour
1 tablespoon of sugar
3 teaspoons of baking powder
2 lightly beaten eggs
1 cup (tea) of milk
2 tablespoons of melted butter
pinch of salt
oil")</f>
        <v>1 1/4 cups (tea) of wheat flour
1 tablespoon of sugar
3 teaspoons of baking powder
2 lightly beaten eggs
1 cup (tea) of milk
2 tablespoons of melted butter
pinch of salt
oil</v>
      </c>
      <c r="D32" s="2" t="str">
        <f ca="1">IFERROR(__xludf.DUMMYFUNCTION("GOOGLETRANSLATE(Portuguese!D32,""pt"",""en"")"),"In one bowl, mix the flour, sugar, baking powder, and salt.
In another bowl, mix the eggs, milk, and butter.
Add the liquids to the dry ingredients, mixing gently without overmixing.
The batter should not be too runny; it should drip slowly.
Heat and grea"&amp;"se a skillet with oil. Pour the batter into the center, about 1/4 cup per pancake.
Flip the pancake to cook the other side, and it's ready!")</f>
        <v>In one bowl, mix the flour, sugar, baking powder, and salt.
In another bowl, mix the eggs, milk, and butter.
Add the liquids to the dry ingredients, mixing gently without overmixing.
The batter should not be too runny; it should drip slowly.
Heat and grease a skillet with oil. Pour the batter into the center, about 1/4 cup per pancake.
Flip the pancake to cook the other side, and it's ready!</v>
      </c>
      <c r="E32" s="7" t="s">
        <v>127</v>
      </c>
    </row>
    <row r="33" spans="1:5" ht="100.8">
      <c r="A33" s="2">
        <v>31</v>
      </c>
      <c r="B33" s="2" t="str">
        <f ca="1">IFERROR(__xludf.DUMMYFUNCTION("GOOGLETRANSLATE(Portuguese!B33,""pt"",""en"")"),"White sauce for pasta")</f>
        <v>White sauce for pasta</v>
      </c>
      <c r="C33" s="2" t="str">
        <f ca="1">IFERROR(__xludf.DUMMYFUNCTION("GOOGLETRANSLATE(Portuguese!C33,""pt"",""en"")"),"1 small chopped onion
1 tablespoon of margarine
1 carton of heavy cream
1/2 liter of milk
1 tablespoon of cornstarch
1 cup of grated cheese
Black pepper to taste
1 dessert spoon of salt")</f>
        <v>1 small chopped onion
1 tablespoon of margarine
1 carton of heavy cream
1/2 liter of milk
1 tablespoon of cornstarch
1 cup of grated cheese
Black pepper to taste
1 dessert spoon of salt</v>
      </c>
      <c r="D33" s="2" t="str">
        <f ca="1">IFERROR(__xludf.DUMMYFUNCTION("GOOGLETRANSLATE(Portuguese!D33,""pt"",""en"")"),"In a saucepan, melt the margarine and add the onion, salt, and black pepper.
When the onion is translucent, add the cream and mix.
Dissolve the cornstarch in the milk and add it to the sauce.
When the sauce has a firm consistency, turn off the heat and ad"&amp;"d the cheese, stirring well so it doesn't stick.
Serve with pasta or baked rice.")</f>
        <v>In a saucepan, melt the margarine and add the onion, salt, and black pepper.
When the onion is translucent, add the cream and mix.
Dissolve the cornstarch in the milk and add it to the sauce.
When the sauce has a firm consistency, turn off the heat and add the cheese, stirring well so it doesn't stick.
Serve with pasta or baked rice.</v>
      </c>
      <c r="E33" s="7" t="s">
        <v>131</v>
      </c>
    </row>
    <row r="34" spans="1:5" ht="100.8">
      <c r="A34" s="2">
        <v>32</v>
      </c>
      <c r="B34" s="2" t="str">
        <f ca="1">IFERROR(__xludf.DUMMYFUNCTION("GOOGLETRANSLATE(Portuguese!B34,""pt"",""en"")"),"Quick and fluffy homemade bread")</f>
        <v>Quick and fluffy homemade bread</v>
      </c>
      <c r="C34" s="2" t="str">
        <f ca="1">IFERROR(__xludf.DUMMYFUNCTION("GOOGLETRANSLATE(Portuguese!C34,""pt"",""en"")"),"1 1/4 cups warm milk
1/2 cup oil
2 eggs
2 tablets of bread yeast
3 cups all-purpose flour
1 teaspoon salt
1/4 cup sugar")</f>
        <v>1 1/4 cups warm milk
1/2 cup oil
2 eggs
2 tablets of bread yeast
3 cups all-purpose flour
1 teaspoon salt
1/4 cup sugar</v>
      </c>
      <c r="D34" s="2" t="str">
        <f ca="1">IFERROR(__xludf.DUMMYFUNCTION("GOOGLETRANSLATE(Portuguese!D34,""pt"",""en"")"),"In a blender, combine the milk, oil, eggs, and yeast tablets; set aside.
In a bowl, mix the flour, salt, and sugar, then pour over the blender mixture.
Beat until bubbly and let rise for 20 minutes.
Pour the batter into a greased and floured pan and bake "&amp;"in a preheated medium-high oven (220°C) for 30 minutes.")</f>
        <v>In a blender, combine the milk, oil, eggs, and yeast tablets; set aside.
In a bowl, mix the flour, salt, and sugar, then pour over the blender mixture.
Beat until bubbly and let rise for 20 minutes.
Pour the batter into a greased and floured pan and bake in a preheated medium-high oven (220°C) for 30 minutes.</v>
      </c>
      <c r="E34" s="7" t="s">
        <v>135</v>
      </c>
    </row>
    <row r="35" spans="1:5" ht="115.2">
      <c r="A35" s="2">
        <v>33</v>
      </c>
      <c r="B35" s="2" t="str">
        <f ca="1">IFERROR(__xludf.DUMMYFUNCTION("GOOGLETRANSLATE(Portuguese!B35,""pt"",""en"")"),"Blender chocolate cake")</f>
        <v>Blender chocolate cake</v>
      </c>
      <c r="C35" s="2" t="str">
        <f ca="1">IFERROR(__xludf.DUMMYFUNCTION("GOOGLETRANSLATE(Portuguese!C35,""pt"",""en"")"),"1 cup (tea) of warm milk
3 eggs
4 tablespoons of melted margarine
2 cups (tea) of sugar
1 cup (tea) of cocoa powder
2 cups (tea) of wheat flour
1 tablespoon of baking powder
1 cup (tea) of sugar
3 tablespoons of cornstarch
5 tablespoons of cocoa "&amp;"powder
1 cup (tea) of water
3 tablespoons of margarine or butter
1 teaspoon of vanilla extract")</f>
        <v>1 cup (tea) of warm milk
3 eggs
4 tablespoons of melted margarine
2 cups (tea) of sugar
1 cup (tea) of cocoa powder
2 cups (tea) of wheat flour
1 tablespoon of baking powder
1 cup (tea) of sugar
3 tablespoons of cornstarch
5 tablespoons of cocoa powder
1 cup (tea) of water
3 tablespoons of margarine or butter
1 teaspoon of vanilla extract</v>
      </c>
      <c r="D35" s="2" t="str">
        <f ca="1">IFERROR(__xludf.DUMMYFUNCTION("GOOGLETRANSLATE(Portuguese!D35,""pt"",""en"")"),"Beat all the dough ingredients (except the yeast) well in a blender for approximately 2 to 3 minutes.
Add the yeast and beat for another 15 seconds.
Pour into a round pan, greased with butter and dusted with wheat flour.
Bake for about 40 minutes in a pre"&amp;"heated medium oven (180º C).
Cook all the ingredients over low heat until thickened, to the consistency of brigadeiro (a Brazilian chocolate fudge).
Cover the cake immediately.")</f>
        <v>Beat all the dough ingredients (except the yeast) well in a blender for approximately 2 to 3 minutes.
Add the yeast and beat for another 15 seconds.
Pour into a round pan, greased with butter and dusted with wheat flour.
Bake for about 40 minutes in a preheated medium oven (180º C).
Cook all the ingredients over low heat until thickened, to the consistency of brigadeiro (a Brazilian chocolate fudge).
Cover the cake immediately.</v>
      </c>
      <c r="E35" s="7" t="s">
        <v>139</v>
      </c>
    </row>
    <row r="36" spans="1:5" ht="100.8">
      <c r="A36" s="2">
        <v>34</v>
      </c>
      <c r="B36" s="2" t="str">
        <f ca="1">IFERROR(__xludf.DUMMYFUNCTION("GOOGLETRANSLATE(Portuguese!B36,""pt"",""en"")"),"Savory blender pie")</f>
        <v>Savory blender pie</v>
      </c>
      <c r="C36" s="2" t="str">
        <f ca="1">IFERROR(__xludf.DUMMYFUNCTION("GOOGLETRANSLATE(Portuguese!C36,""pt"",""en"")"),"3 eggs
13 tablespoons of wheat flour
1 1/2 cups of milk
3 tablespoons of cheese
1 tablespoon of baking powder
1/2 cup of oil
Salt to taste
1 onion
Garlic and salt to taste
1 bell pepper
2 peeled tomatoes
Oregano
1 chili pepper
French parsley
Oil")</f>
        <v>3 eggs
13 tablespoons of wheat flour
1 1/2 cups of milk
3 tablespoons of cheese
1 tablespoon of baking powder
1/2 cup of oil
Salt to taste
1 onion
Garlic and salt to taste
1 bell pepper
2 peeled tomatoes
Oregano
1 chili pepper
French parsley
Oil</v>
      </c>
      <c r="D36" s="2" t="str">
        <f ca="1">IFERROR(__xludf.DUMMYFUNCTION("GOOGLETRANSLATE(Portuguese!D36,""pt"",""en"")"),"In a pan with oil, sauté the onion and garlic until golden brown.
Add the chosen filling and sauté.
Add the remaining ingredients and cook for a few minutes.
Blend all the dough ingredients in a blender and add the yeast last.
Grease a rectangular baking "&amp;"pan with margarine and dust with flour.
Pour in the batter and carefully spread the filling.
If desired, sprinkle cheese on top.
Bake in a preheated oven at 180°C (350°F) for approximately 40 minutes.")</f>
        <v>In a pan with oil, sauté the onion and garlic until golden brown.
Add the chosen filling and sauté.
Add the remaining ingredients and cook for a few minutes.
Blend all the dough ingredients in a blender and add the yeast last.
Grease a rectangular baking pan with margarine and dust with flour.
Pour in the batter and carefully spread the filling.
If desired, sprinkle cheese on top.
Bake in a preheated oven at 180°C (350°F) for approximately 40 minutes.</v>
      </c>
      <c r="E36" s="7" t="s">
        <v>143</v>
      </c>
    </row>
    <row r="37" spans="1:5" ht="86.4">
      <c r="A37" s="2">
        <v>35</v>
      </c>
      <c r="B37" s="2" t="str">
        <f ca="1">IFERROR(__xludf.DUMMYFUNCTION("GOOGLETRANSLATE(Portuguese!B37,""pt"",""en"")"),"Ground beef lasagna")</f>
        <v>Ground beef lasagna</v>
      </c>
      <c r="C37" s="2" t="str">
        <f ca="1">IFERROR(__xludf.DUMMYFUNCTION("GOOGLETRANSLATE(Portuguese!C37,""pt"",""en"")"),"500g lasagna noodles
500g ground beef
2 cartons of heavy cream
3 tablespoons butter
3 tablespoons all-purpose flour
500g ham
500g mozzarella cheese
Salt to taste
2 cups milk
1 grated onion
3 tablespoons oil
1 can of tomato sauce
3 cloves of crushed garlic"&amp;"
1 package of grated cheese")</f>
        <v>500g lasagna noodles
500g ground beef
2 cartons of heavy cream
3 tablespoons butter
3 tablespoons all-purpose flour
500g ham
500g mozzarella cheese
Salt to taste
2 cups milk
1 grated onion
3 tablespoons oil
1 can of tomato sauce
3 cloves of crushed garlic
1 package of grated cheese</v>
      </c>
      <c r="D37" s="2" t="str">
        <f ca="1">IFERROR(__xludf.DUMMYFUNCTION("GOOGLETRANSLATE(Portuguese!D37,""pt"",""en"")"),"Cook the pasta according to the manufacturer's instructions, pour it into a baking dish with ice water to prevent sticking, and set aside.
Sauté the garlic, onion, ground beef, and tomato sauce; cook for 3 minutes and set aside.
Melt the margarine, add th"&amp;"e 3 tablespoons of flour, and stir.
Pour in the milk gradually and continue stirring.
Finally, add the cream, stir for 1 minute, and turn off the heat.
Pour some of the Bolognese sauce into a baking dish, half of the pasta, half of the ham, half of the mo"&amp;"zzarella, all of the white sauce, and the remaining pasta.
Repeat the layers until you reach the edge of the dish.
Finish with grated cheese and bake in a preheated oven (220°C/425°F) for about 20 minutes.")</f>
        <v>Cook the pasta according to the manufacturer's instructions, pour it into a baking dish with ice water to prevent sticking, and set aside.
Sauté the garlic, onion, ground beef, and tomato sauce; cook for 3 minutes and set aside.
Melt the margarine, add the 3 tablespoons of flour, and stir.
Pour in the milk gradually and continue stirring.
Finally, add the cream, stir for 1 minute, and turn off the heat.
Pour some of the Bolognese sauce into a baking dish, half of the pasta, half of the ham, half of the mozzarella, all of the white sauce, and the remaining pasta.
Repeat the layers until you reach the edge of the dish.
Finish with grated cheese and bake in a preheated oven (220°C/425°F) for about 20 minutes.</v>
      </c>
      <c r="E37" s="7" t="s">
        <v>147</v>
      </c>
    </row>
    <row r="38" spans="1:5" ht="100.8">
      <c r="A38" s="2">
        <v>36</v>
      </c>
      <c r="B38" s="2" t="str">
        <f ca="1">IFERROR(__xludf.DUMMYFUNCTION("GOOGLETRANSLATE(Portuguese!B38,""pt"",""en"")"),"Delicious chicken pot pie")</f>
        <v>Delicious chicken pot pie</v>
      </c>
      <c r="C38" s="2" t="str">
        <f ca="1">IFERROR(__xludf.DUMMYFUNCTION("GOOGLETRANSLATE(Portuguese!C38,""pt"",""en"")"),"400g wheat flour
200g cold butter
1 whole egg
1 beaten egg yolk for the dough
Salt to taste
6 tablespoons milk
1 egg yolk for brushing the dough
1kg boneless chicken breast
1 medium onion, finely chopped
2 cloves of garlic, chopped and crushed
1 tomato, c"&amp;"hopped and peeled
1 tablespoon olive oil
Chopped parsley
1 can of corn
1 can of tomato sauce
1 heaping tablespoon of wheat flour
3 chicken bouillon cubes
Chopped olives")</f>
        <v>400g wheat flour
200g cold butter
1 whole egg
1 beaten egg yolk for the dough
Salt to taste
6 tablespoons milk
1 egg yolk for brushing the dough
1kg boneless chicken breast
1 medium onion, finely chopped
2 cloves of garlic, chopped and crushed
1 tomato, chopped and peeled
1 tablespoon olive oil
Chopped parsley
1 can of corn
1 can of tomato sauce
1 heaping tablespoon of wheat flour
3 chicken bouillon cubes
Chopped olives</v>
      </c>
      <c r="D38" s="2" t="str">
        <f ca="1">IFERROR(__xludf.DUMMYFUNCTION("GOOGLETRANSLATE(Portuguese!D38,""pt"",""en"")"),"Cook the chicken breast, shred it, and set aside.
In a pan, heat the olive oil, sauté the onion until golden brown.
Add the garlic, sauté for a few more minutes, and then add the shredded chicken.
Dissolve the chicken bouillon cubes in hot water and add t"&amp;"o the mixture.
Add the flour and stir vigorously until you obtain a creamy consistency.
Pour in the corn, olives, parsley, and tomato and mix.
In a bowl, mix the flour and butter until you obtain a crumbly mixture.
Add the remaining ingredients and knead "&amp;"well until you obtain a smooth dough.
Wrap in plastic wrap and refrigerate for approximately 30 minutes.
Use half of the dough to line the baking dish and the other half to cover the filling.
Brush the pie with the egg yolk and bake in a preheated medium "&amp;"oven (180°C) for approximately 40 minutes.")</f>
        <v>Cook the chicken breast, shred it, and set aside.
In a pan, heat the olive oil, sauté the onion until golden brown.
Add the garlic, sauté for a few more minutes, and then add the shredded chicken.
Dissolve the chicken bouillon cubes in hot water and add to the mixture.
Add the flour and stir vigorously until you obtain a creamy consistency.
Pour in the corn, olives, parsley, and tomato and mix.
In a bowl, mix the flour and butter until you obtain a crumbly mixture.
Add the remaining ingredients and knead well until you obtain a smooth dough.
Wrap in plastic wrap and refrigerate for approximately 30 minutes.
Use half of the dough to line the baking dish and the other half to cover the filling.
Brush the pie with the egg yolk and bake in a preheated medium oven (180°C) for approximately 40 minutes.</v>
      </c>
      <c r="E38" s="7" t="s">
        <v>151</v>
      </c>
    </row>
    <row r="39" spans="1:5" ht="115.2">
      <c r="A39" s="2">
        <v>37</v>
      </c>
      <c r="B39" s="2" t="str">
        <f ca="1">IFERROR(__xludf.DUMMYFUNCTION("GOOGLETRANSLATE(Portuguese!B39,""pt"",""en"")"),"Canned corn cake made in a blender.")</f>
        <v>Canned corn cake made in a blender.</v>
      </c>
      <c r="C39" s="2" t="str">
        <f ca="1">IFERROR(__xludf.DUMMYFUNCTION("GOOGLETRANSLATE(Portuguese!C39,""pt"",""en"")"),"1 can of corn (drained)
1 can of milk (using the corn can as a measure)
1 can of sugar (using the corn can as a measure)
1 can of cornmeal flakes
1/2 can of soybean oil
3 whole eggs
1 tablespoon of baking powder
Margarine for greasing
Wheat flour for grea"&amp;"sing")</f>
        <v>1 can of corn (drained)
1 can of milk (using the corn can as a measure)
1 can of sugar (using the corn can as a measure)
1 can of cornmeal flakes
1/2 can of soybean oil
3 whole eggs
1 tablespoon of baking powder
Margarine for greasing
Wheat flour for greasing</v>
      </c>
      <c r="D39" s="2" t="str">
        <f ca="1">IFERROR(__xludf.DUMMYFUNCTION("GOOGLETRANSLATE(Portuguese!D39,""pt"",""en"")"),"Drain the corn and use the can itself for measurements.
Grease and flour a bundt cake pan.
Preheat the oven.
Place the drained corn, milk, sugar, cornmeal, oil, and eggs in a blender and blend well until the corn is finely ground.
If desired, add two tabl"&amp;"espoons of shredded coconut.
Add the baking powder and pulse the blender 3 times.
Pour the batter into the pan and bake in a preheated oven at medium heat.
Bake for approximately 40 minutes.
Do the toothpick test and check for a medium golden color to kno"&amp;"w that the cake is ready.
Let it cool completely before unmolding.")</f>
        <v>Drain the corn and use the can itself for measurements.
Grease and flour a bundt cake pan.
Preheat the oven.
Place the drained corn, milk, sugar, cornmeal, oil, and eggs in a blender and blend well until the corn is finely ground.
If desired, add two tablespoons of shredded coconut.
Add the baking powder and pulse the blender 3 times.
Pour the batter into the pan and bake in a preheated oven at medium heat.
Bake for approximately 40 minutes.
Do the toothpick test and check for a medium golden color to know that the cake is ready.
Let it cool completely before unmolding.</v>
      </c>
      <c r="E39" s="7" t="s">
        <v>155</v>
      </c>
    </row>
    <row r="40" spans="1:5" ht="86.4">
      <c r="A40" s="2">
        <v>38</v>
      </c>
      <c r="B40" s="2" t="str">
        <f ca="1">IFERROR(__xludf.DUMMYFUNCTION("GOOGLETRANSLATE(Portuguese!B40,""pt"",""en"")"),"Easy passion fruit mousse")</f>
        <v>Easy passion fruit mousse</v>
      </c>
      <c r="C40" s="2" t="str">
        <f ca="1">IFERROR(__xludf.DUMMYFUNCTION("GOOGLETRANSLATE(Portuguese!C40,""pt"",""en"")"),"2 boxes of passion fruit gelatin
2 cups of hot water
1/2 cup of passion fruit juice
2 cups of cow's milk
1 can of sweetened condensed milk
1 can of heavy cream (without whey)")</f>
        <v>2 boxes of passion fruit gelatin
2 cups of hot water
1/2 cup of passion fruit juice
2 cups of cow's milk
1 can of sweetened condensed milk
1 can of heavy cream (without whey)</v>
      </c>
      <c r="D40" s="2" t="str">
        <f ca="1">IFERROR(__xludf.DUMMYFUNCTION("GOOGLETRANSLATE(Portuguese!D40,""pt"",""en"")"),"Prepare the gelatin with hot water.
Then simply blend all the ingredients in a blender and pour into a serving dish to chill.")</f>
        <v>Prepare the gelatin with hot water.
Then simply blend all the ingredients in a blender and pour into a serving dish to chill.</v>
      </c>
      <c r="E40" s="7" t="s">
        <v>159</v>
      </c>
    </row>
    <row r="41" spans="1:5" ht="86.4">
      <c r="A41" s="2">
        <v>39</v>
      </c>
      <c r="B41" s="2" t="str">
        <f ca="1">IFERROR(__xludf.DUMMYFUNCTION("GOOGLETRANSLATE(Portuguese!B41,""pt"",""en"")"),"Super fluffy cornmeal cake")</f>
        <v>Super fluffy cornmeal cake</v>
      </c>
      <c r="C41" s="2" t="str">
        <f ca="1">IFERROR(__xludf.DUMMYFUNCTION("GOOGLETRANSLATE(Portuguese!C41,""pt"",""en"")"),"2 eggs
2 cups of milk
2 cups of sugar
2 cups of cornmeal
2 cups of wheat flour
1 cup of oil
2 teaspoons of baking powder")</f>
        <v>2 eggs
2 cups of milk
2 cups of sugar
2 cups of cornmeal
2 cups of wheat flour
1 cup of oil
2 teaspoons of baking powder</v>
      </c>
      <c r="D41" s="2" t="str">
        <f ca="1">IFERROR(__xludf.DUMMYFUNCTION("GOOGLETRANSLATE(Portuguese!D41,""pt"",""en"")"),"In a blender, at high speed, beat the eggs, oil, milk, and sugar.
Once smooth, gradually add the flour and cornmeal.
The batter will start to thicken, so help it by stirring with a spoon.
Once everything is well mixed, add the baking powder and mix well.
"&amp;"Grease a large bundt pan with oil and sugar (preferably granulated).
Bake in a preheated oven until golden brown (about 40 minutes).
Insert a toothpick or knife to check for doneness.
When almost completely cool, unmold.
It's soft, not a dry cornmeal cake"&amp;", and it's wonderful!")</f>
        <v>In a blender, at high speed, beat the eggs, oil, milk, and sugar.
Once smooth, gradually add the flour and cornmeal.
The batter will start to thicken, so help it by stirring with a spoon.
Once everything is well mixed, add the baking powder and mix well.
Grease a large bundt pan with oil and sugar (preferably granulated).
Bake in a preheated oven until golden brown (about 40 minutes).
Insert a toothpick or knife to check for doneness.
When almost completely cool, unmold.
It's soft, not a dry cornmeal cake, and it's wonderful!</v>
      </c>
      <c r="E41" s="7" t="s">
        <v>163</v>
      </c>
    </row>
    <row r="42" spans="1:5" ht="72">
      <c r="A42" s="2">
        <v>40</v>
      </c>
      <c r="B42" s="2" t="str">
        <f ca="1">IFERROR(__xludf.DUMMYFUNCTION("GOOGLETRANSLATE(Portuguese!B42,""pt"",""en"")"),"Pizza dough")</f>
        <v>Pizza dough</v>
      </c>
      <c r="C42" s="2" t="str">
        <f ca="1">IFERROR(__xludf.DUMMYFUNCTION("GOOGLETRANSLATE(Portuguese!C42,""pt"",""en"")"),"1 kg of wheat flour
30 g of biological yeast
3 cups of warm water
3/4 cup of oil
1 teaspoon of salt
1 teaspoon of sugar
1 tablespoon of cachaça (Brazilian rum)")</f>
        <v>1 kg of wheat flour
30 g of biological yeast
3 cups of warm water
3/4 cup of oil
1 teaspoon of salt
1 teaspoon of sugar
1 tablespoon of cachaça (Brazilian rum)</v>
      </c>
      <c r="D42" s="2" t="str">
        <f ca="1">IFERROR(__xludf.DUMMYFUNCTION("GOOGLETRANSLATE(Portuguese!D42,""pt"",""en"")"),"Mix the yeast, salt, and sugar in a little warm water until the yeast is completely dissolved.
Then, add half the measure of wheat flour, the oil, and stir until a paste-like consistency is formed.
Add the remaining wheat flour, the cachaça, the warm wate"&amp;"r, and mix well.
Once the dough no longer sticks to your hands, let it rise for 30 minutes.
Roll out the dough into discs, prick the dough with a fork, and brush with the sauce.
Bake in a preheated medium oven (180°C) for 15 minutes.")</f>
        <v>Mix the yeast, salt, and sugar in a little warm water until the yeast is completely dissolved.
Then, add half the measure of wheat flour, the oil, and stir until a paste-like consistency is formed.
Add the remaining wheat flour, the cachaça, the warm water, and mix well.
Once the dough no longer sticks to your hands, let it rise for 30 minutes.
Roll out the dough into discs, prick the dough with a fork, and brush with the sauce.
Bake in a preheated medium oven (180°C) for 15 minutes.</v>
      </c>
      <c r="E42" s="7" t="s">
        <v>167</v>
      </c>
    </row>
    <row r="43" spans="1:5" ht="86.4">
      <c r="A43" s="2">
        <v>41</v>
      </c>
      <c r="B43" s="2" t="str">
        <f ca="1">IFERROR(__xludf.DUMMYFUNCTION("GOOGLETRANSLATE(Portuguese!B43,""pt"",""en"")"),"Fritter")</f>
        <v>Fritter</v>
      </c>
      <c r="C43" s="2" t="str">
        <f ca="1">IFERROR(__xludf.DUMMYFUNCTION("GOOGLETRANSLATE(Portuguese!C43,""pt"",""en"")"),"2 eggs
1 cup of sugar
1 cup of milk
2 1/2 cups of wheat flour
1 tablespoon of baking powder
3 tablespoons of sugar for sprinkling
1 tablespoon of cinnamon for sprinkling
1 liter of oil for frying")</f>
        <v>2 eggs
1 cup of sugar
1 cup of milk
2 1/2 cups of wheat flour
1 tablespoon of baking powder
3 tablespoons of sugar for sprinkling
1 tablespoon of cinnamon for sprinkling
1 liter of oil for frying</v>
      </c>
      <c r="D43" s="2" t="str">
        <f ca="1">IFERROR(__xludf.DUMMYFUNCTION("GOOGLETRANSLATE(Portuguese!D43,""pt"",""en"")"),"Mix all the ingredients until you obtain a creamy and homogeneous dough.
Heat a pan with plenty of oil so that the fritters can float.
When the oil is very hot (180º C), using a spoon, start placing small amounts of dough and fry until they are golden bro"&amp;"wn all over.
Place the fritters on absorbent paper and then coat them in cinnamon sugar.")</f>
        <v>Mix all the ingredients until you obtain a creamy and homogeneous dough.
Heat a pan with plenty of oil so that the fritters can float.
When the oil is very hot (180º C), using a spoon, start placing small amounts of dough and fry until they are golden brown all over.
Place the fritters on absorbent paper and then coat them in cinnamon sugar.</v>
      </c>
      <c r="E43" s="7" t="s">
        <v>170</v>
      </c>
    </row>
    <row r="44" spans="1:5" ht="86.4">
      <c r="A44" s="2">
        <v>42</v>
      </c>
      <c r="B44" s="2" t="str">
        <f ca="1">IFERROR(__xludf.DUMMYFUNCTION("GOOGLETRANSLATE(Portuguese!B44,""pt"",""en"")"),"Quick banana pie")</f>
        <v>Quick banana pie</v>
      </c>
      <c r="C44" s="2" t="str">
        <f ca="1">IFERROR(__xludf.DUMMYFUNCTION("GOOGLETRANSLATE(Portuguese!C44,""pt"",""en"")"),"2 cups of wheat flour
2 cups of sugar
1 tablespoon of baking powder
2 beaten eggs
1 cup of milk
5 tablespoons of margarine
10 bananas, sliced ​​horizontally")</f>
        <v>2 cups of wheat flour
2 cups of sugar
1 tablespoon of baking powder
2 beaten eggs
1 cup of milk
5 tablespoons of margarine
10 bananas, sliced ​​horizontally</v>
      </c>
      <c r="D44" s="2" t="str">
        <f ca="1">IFERROR(__xludf.DUMMYFUNCTION("GOOGLETRANSLATE(Portuguese!D44,""pt"",""en"")"),"For the crumble topping, mix the flour, sugar, and yeast in a bowl and set aside.
Melt the margarine, add the milk and eggs, and mix well.
In a greased baking dish, place a layer of crumble topping and then a layer of bananas, and so on.
Pour the liquid o"&amp;"ver the top, without stirring.
Bake in a warm oven until golden brown.")</f>
        <v>For the crumble topping, mix the flour, sugar, and yeast in a bowl and set aside.
Melt the margarine, add the milk and eggs, and mix well.
In a greased baking dish, place a layer of crumble topping and then a layer of bananas, and so on.
Pour the liquid over the top, without stirring.
Bake in a warm oven until golden brown.</v>
      </c>
      <c r="E44" s="7" t="s">
        <v>174</v>
      </c>
    </row>
    <row r="45" spans="1:5" ht="100.8">
      <c r="A45" s="2">
        <v>43</v>
      </c>
      <c r="B45" s="2" t="str">
        <f ca="1">IFERROR(__xludf.DUMMYFUNCTION("GOOGLETRANSLATE(Portuguese!B45,""pt"",""en"")"),"Easy and delicious chicken croquette")</f>
        <v>Easy and delicious chicken croquette</v>
      </c>
      <c r="C45" s="2" t="str">
        <f ca="1">IFERROR(__xludf.DUMMYFUNCTION("GOOGLETRANSLATE(Portuguese!C45,""pt"",""en"")"),"1 cup (tea) of water
2 cups (tea) of milk
2 bacon or rib bouillon cubes
1/2 cup (tea) of cooked and mashed potato
1 tablespoon of butter
2 and 1/2 cups (tea) of wheat flour
margarine for greasing the pan
breadcrumbs
2 beaten eggs
oil for frying
Filling
1 "&amp;"and 1/2 kg of chicken
3 tablespoons of creamy cheese spread
2 tablespoons of olive oil
1 small onion
2 cloves of garlic
seasoning to taste")</f>
        <v>1 cup (tea) of water
2 cups (tea) of milk
2 bacon or rib bouillon cubes
1/2 cup (tea) of cooked and mashed potato
1 tablespoon of butter
2 and 1/2 cups (tea) of wheat flour
margarine for greasing the pan
breadcrumbs
2 beaten eggs
oil for frying
Filling
1 and 1/2 kg of chicken
3 tablespoons of creamy cheese spread
2 tablespoons of olive oil
1 small onion
2 cloves of garlic
seasoning to taste</v>
      </c>
      <c r="D45" s="2" t="str">
        <f ca="1">IFERROR(__xludf.DUMMYFUNCTION("GOOGLETRANSLATE(Portuguese!D45,""pt"",""en"")"),"In a saucepan, heat the olive oil, add the chopped garlic and onion.
Sauté until softened, then add the shredded chicken and your preferred seasonings.
Sauté everything for 5 minutes, remove from heat, add the cream cheese, mix, and set aside.
In a large "&amp;"saucepan, add the water, milk, bouillon cube, potato, and butter, and bring to a boil. Add the flour all at once, stirring until the dough pulls away from the bottom of the pan.
Pour the dough onto a smooth, greased surface, knead well, and let cool.
Open"&amp;" the dough with your hands, fill it, and shape it into a coxinha (chicken croquette) shape.
Dip the shaped dough in beaten egg and then in breadcrumbs.
Fry in hot oil until golden brown and drain on absorbent paper.")</f>
        <v>In a saucepan, heat the olive oil, add the chopped garlic and onion.
Sauté until softened, then add the shredded chicken and your preferred seasonings.
Sauté everything for 5 minutes, remove from heat, add the cream cheese, mix, and set aside.
In a large saucepan, add the water, milk, bouillon cube, potato, and butter, and bring to a boil. Add the flour all at once, stirring until the dough pulls away from the bottom of the pan.
Pour the dough onto a smooth, greased surface, knead well, and let cool.
Open the dough with your hands, fill it, and shape it into a coxinha (chicken croquette) shape.
Dip the shaped dough in beaten egg and then in breadcrumbs.
Fry in hot oil until golden brown and drain on absorbent paper.</v>
      </c>
      <c r="E45" s="7" t="s">
        <v>178</v>
      </c>
    </row>
    <row r="46" spans="1:5" ht="72">
      <c r="A46" s="2">
        <v>44</v>
      </c>
      <c r="B46" s="2" t="str">
        <f ca="1">IFERROR(__xludf.DUMMYFUNCTION("GOOGLETRANSLATE(Portuguese!B46,""pt"",""en"")"),"Bis Pavé")</f>
        <v>Bis Pavé</v>
      </c>
      <c r="C46" s="2" t="str">
        <f ca="1">IFERROR(__xludf.DUMMYFUNCTION("GOOGLETRANSLATE(Portuguese!C46,""pt"",""en"")"),"1 can of sweetened condensed milk
1 liter of milk
4 tablespoons of cornstarch
2 separated eggs
2 boxes of chopped Bis chocolate bars
1 cup of sugar
1 can of heavy cream")</f>
        <v>1 can of sweetened condensed milk
1 liter of milk
4 tablespoons of cornstarch
2 separated eggs
2 boxes of chopped Bis chocolate bars
1 cup of sugar
1 can of heavy cream</v>
      </c>
      <c r="D46" s="2" t="str">
        <f ca="1">IFERROR(__xludf.DUMMYFUNCTION("GOOGLETRANSLATE(Portuguese!D46,""pt"",""en"")"),"Mix the condensed milk, milk, cornstarch, and egg yolks and cook over low heat.
Stir constantly until thickened and set aside.
Line the bottom of a large baking dish with half of the cream.
Form a layer with the chopped chocolate and top with the remainin"&amp;"g cream.
Beat the egg whites until stiff peaks form and gradually add the sugar, beating constantly, until a firm meringue is obtained.
Add the heavy cream and mix well.
Place this mixture on top of the cream and refrigerate until ready to serve.")</f>
        <v>Mix the condensed milk, milk, cornstarch, and egg yolks and cook over low heat.
Stir constantly until thickened and set aside.
Line the bottom of a large baking dish with half of the cream.
Form a layer with the chopped chocolate and top with the remaining cream.
Beat the egg whites until stiff peaks form and gradually add the sugar, beating constantly, until a firm meringue is obtained.
Add the heavy cream and mix well.
Place this mixture on top of the cream and refrigerate until ready to serve.</v>
      </c>
      <c r="E46" s="7" t="s">
        <v>182</v>
      </c>
    </row>
    <row r="47" spans="1:5" ht="115.2">
      <c r="A47" s="2">
        <v>45</v>
      </c>
      <c r="B47" s="2" t="str">
        <f ca="1">IFERROR(__xludf.DUMMYFUNCTION("GOOGLETRANSLATE(Portuguese!B47,""pt"",""en"")"),"Oven-baked ham and cheese sandwich, my way.")</f>
        <v>Oven-baked ham and cheese sandwich, my way.</v>
      </c>
      <c r="C47" s="2" t="str">
        <f ca="1">IFERROR(__xludf.DUMMYFUNCTION("GOOGLETRANSLATE(Portuguese!C47,""pt"",""en"")"),"Margarine for greasing
12 slices of white bread (crusts removed)
1/2 can of ready-made tomato sauce (I used 1 sachet of Sazon seasoning, Northeastern flavor)
6 slices of ham (or to taste)
4 tablespoons of cream cheese
12 slices of mozzarella cheese (or to"&amp;" taste)
1/2 carton of heavy cream
1 large tomato, sliced
Oregano to taste")</f>
        <v>Margarine for greasing
12 slices of white bread (crusts removed)
1/2 can of ready-made tomato sauce (I used 1 sachet of Sazon seasoning, Northeastern flavor)
6 slices of ham (or to taste)
4 tablespoons of cream cheese
12 slices of mozzarella cheese (or to taste)
1/2 carton of heavy cream
1 large tomato, sliced
Oregano to taste</v>
      </c>
      <c r="D47" s="2" t="str">
        <f ca="1">IFERROR(__xludf.DUMMYFUNCTION("GOOGLETRANSLATE(Portuguese!D47,""pt"",""en"")"),"Grease a baking dish with margarine.
Line the bottom with 6 slices of bread.
Place half of the seasoned tomato sauce, ham, a layer of cream cheese, half of the mozzarella, the remaining bread, tomato sauce, cream, mozzarella, sliced ​​tomatoes, and orega"&amp;"no.
Bake in the oven until the mozzarella melts (I did it in the microwave).")</f>
        <v>Grease a baking dish with margarine.
Line the bottom with 6 slices of bread.
Place half of the seasoned tomato sauce, ham, a layer of cream cheese, half of the mozzarella, the remaining bread, tomato sauce, cream, mozzarella, sliced ​​tomatoes, and oregano.
Bake in the oven until the mozzarella melts (I did it in the microwave).</v>
      </c>
      <c r="E47" s="7" t="s">
        <v>186</v>
      </c>
    </row>
    <row r="48" spans="1:5" ht="86.4">
      <c r="A48" s="2">
        <v>46</v>
      </c>
      <c r="B48" s="2" t="str">
        <f ca="1">IFERROR(__xludf.DUMMYFUNCTION("GOOGLETRANSLATE(Portuguese!B48,""pt"",""en"")"),"Bread keeps husband safe.")</f>
        <v>Bread keeps husband safe.</v>
      </c>
      <c r="C48" s="2" t="str">
        <f ca="1">IFERROR(__xludf.DUMMYFUNCTION("GOOGLETRANSLATE(Portuguese!C48,""pt"",""en"")"),"1 kg of wheat flour
2 cups of warm milk
1 cup of oil
1 tablespoon of yeast
Salt to taste
250 g of ham
250 g of mozzarella cheese
Tomato sauce
Cream cheese
Oregano")</f>
        <v>1 kg of wheat flour
2 cups of warm milk
1 cup of oil
1 tablespoon of yeast
Salt to taste
250 g of ham
250 g of mozzarella cheese
Tomato sauce
Cream cheese
Oregano</v>
      </c>
      <c r="D48" s="2" t="str">
        <f ca="1">IFERROR(__xludf.DUMMYFUNCTION("GOOGLETRANSLATE(Portuguese!D48,""pt"",""en"")"),"In a bowl, mix the milk, oil, yeast, salt, and a little flour.
Add more flour gradually, mixing constantly until the dough no longer sticks to your hands.
Let the dough rest for 15 minutes.
Divide the dough and roll out one of the portions on a clean, dry"&amp;" surface.
Pour a layer of tomato sauce, cover with ham, mozzarella, cream cheese, and oregano.
Fold the edges of the dough and roll it up like a roulade.
Do the same with the other portion of dough.
Bake in a preheated medium oven (180°C) for about 20 min"&amp;"utes.")</f>
        <v>In a bowl, mix the milk, oil, yeast, salt, and a little flour.
Add more flour gradually, mixing constantly until the dough no longer sticks to your hands.
Let the dough rest for 15 minutes.
Divide the dough and roll out one of the portions on a clean, dry surface.
Pour a layer of tomato sauce, cover with ham, mozzarella, cream cheese, and oregano.
Fold the edges of the dough and roll it up like a roulade.
Do the same with the other portion of dough.
Bake in a preheated medium oven (180°C) for about 20 minutes.</v>
      </c>
      <c r="E48" s="7" t="s">
        <v>190</v>
      </c>
    </row>
    <row r="49" spans="1:5" ht="100.8">
      <c r="A49" s="2">
        <v>47</v>
      </c>
      <c r="B49" s="2" t="str">
        <f ca="1">IFERROR(__xludf.DUMMYFUNCTION("GOOGLETRANSLATE(Portuguese!B49,""pt"",""en"")"),"Microwave mug cake")</f>
        <v>Microwave mug cake</v>
      </c>
      <c r="C49" s="2" t="str">
        <f ca="1">IFERROR(__xludf.DUMMYFUNCTION("GOOGLETRANSLATE(Portuguese!C49,""pt"",""en"")"),"1 egg
2 tablespoons of chocolate powder
3 level tablespoons of sugar
4 level tablespoons of wheat flour
1 tablespoon of oil
1 level teaspoon of baking powder
4 tablespoons of milk
2 tablespoons of chocolate powder
1 tablespoon of margarine
1/2 cup"&amp;" of milk")</f>
        <v>1 egg
2 tablespoons of chocolate powder
3 level tablespoons of sugar
4 level tablespoons of wheat flour
1 tablespoon of oil
1 level teaspoon of baking powder
4 tablespoons of milk
2 tablespoons of chocolate powder
1 tablespoon of margarine
1/2 cup of milk</v>
      </c>
      <c r="D49" s="2" t="str">
        <f ca="1">IFERROR(__xludf.DUMMYFUNCTION("GOOGLETRANSLATE(Portuguese!D49,""pt"",""en"")"),"Place all ingredients in a mug of approximately 300 ml or more.
Stir until you obtain a homogeneous mixture and microwave for 3 minutes.
Place all ingredients in a saucepan, bring to a medium heat and mix until you obtain a thick consistency.
Pour the syr"&amp;"up over the cake as soon as you remove it from the microwave.")</f>
        <v>Place all ingredients in a mug of approximately 300 ml or more.
Stir until you obtain a homogeneous mixture and microwave for 3 minutes.
Place all ingredients in a saucepan, bring to a medium heat and mix until you obtain a thick consistency.
Pour the syrup over the cake as soon as you remove it from the microwave.</v>
      </c>
      <c r="E49" s="7" t="s">
        <v>194</v>
      </c>
    </row>
    <row r="50" spans="1:5" ht="100.8">
      <c r="A50" s="2">
        <v>48</v>
      </c>
      <c r="B50" s="2" t="str">
        <f ca="1">IFERROR(__xludf.DUMMYFUNCTION("GOOGLETRANSLATE(Portuguese!B50,""pt"",""en"")"),"Caramelized banana cake")</f>
        <v>Caramelized banana cake</v>
      </c>
      <c r="C50" s="2" t="str">
        <f ca="1">IFERROR(__xludf.DUMMYFUNCTION("GOOGLETRANSLATE(Portuguese!C50,""pt"",""en"")"),"3 eggs
3 tablespoons of margarine
1 1/2 cups of sugar
1 pinch of salt
1 cup of milk
2 cups of wheat flour
1 level tablespoon of baking powder
1 cup of sugar
4 to 5 bananas")</f>
        <v>3 eggs
3 tablespoons of margarine
1 1/2 cups of sugar
1 pinch of salt
1 cup of milk
2 cups of wheat flour
1 level tablespoon of baking powder
1 cup of sugar
4 to 5 bananas</v>
      </c>
      <c r="D50" s="2" t="str">
        <f ca="1">IFERROR(__xludf.DUMMYFUNCTION("GOOGLETRANSLATE(Portuguese!D50,""pt"",""en"")"),"Pour the sugar into a round pan with a hole in the center and heat until completely melted.
Immediately after, slice the bananas and arrange them over the caramelized sugar.
Beat the egg whites until stiff peaks form and set aside.
In another bowl, beat t"&amp;"he eggs with the margarine and sugar.
Add the flour, milk, salt, and baking powder.
Finally, fold in the beaten egg whites and continue beating.
Pour the batter into the caramelized pan with the sliced ​​bananas.
Bake in a preheated medium oven (180°C) fo"&amp;"r 30 minutes.")</f>
        <v>Pour the sugar into a round pan with a hole in the center and heat until completely melted.
Immediately after, slice the bananas and arrange them over the caramelized sugar.
Beat the egg whites until stiff peaks form and set aside.
In another bowl, beat the eggs with the margarine and sugar.
Add the flour, milk, salt, and baking powder.
Finally, fold in the beaten egg whites and continue beating.
Pour the batter into the caramelized pan with the sliced ​​bananas.
Bake in a preheated medium oven (180°C) for 30 minutes.</v>
      </c>
      <c r="E50" s="7" t="s">
        <v>198</v>
      </c>
    </row>
    <row r="51" spans="1:5" ht="86.4">
      <c r="A51" s="2">
        <v>49</v>
      </c>
      <c r="B51" s="2" t="str">
        <f ca="1">IFERROR(__xludf.DUMMYFUNCTION("GOOGLETRANSLATE(Portuguese!B51,""pt"",""en"")"),"Cake to catch husbands")</f>
        <v>Cake to catch husbands</v>
      </c>
      <c r="C51" s="2" t="str">
        <f ca="1">IFERROR(__xludf.DUMMYFUNCTION("GOOGLETRANSLATE(Portuguese!C51,""pt"",""en"")"),"1 can of sweetened condensed milk
1 can of whole milk (same measure as the sweetened condensed milk can)
1 small jar of coconut milk
1 can of all-purpose flour (or regular flour) (same can)
1/2 can of sugar (same can)
3 large whole eggs
3 tablespoon"&amp;"s of margarine")</f>
        <v>1 can of sweetened condensed milk
1 can of whole milk (same measure as the sweetened condensed milk can)
1 small jar of coconut milk
1 can of all-purpose flour (or regular flour) (same can)
1/2 can of sugar (same can)
3 large whole eggs
3 tablespoons of margarine</v>
      </c>
      <c r="D51" s="2" t="str">
        <f ca="1">IFERROR(__xludf.DUMMYFUNCTION("GOOGLETRANSLATE(Portuguese!D51,""pt"",""en"")"),"Blend all ingredients in a blender.
Pour into a greased and floured baking pan.
Bake in a moderate oven (200°C/390°F) until golden brown, 30 to 60 minutes, depending on the oven.
Do the toothpick test to remove from the oven.
The cake has the consistency "&amp;"of a cheesecake and is very tasty!")</f>
        <v>Blend all ingredients in a blender.
Pour into a greased and floured baking pan.
Bake in a moderate oven (200°C/390°F) until golden brown, 30 to 60 minutes, depending on the oven.
Do the toothpick test to remove from the oven.
The cake has the consistency of a cheesecake and is very tasty!</v>
      </c>
      <c r="E51" s="7" t="s">
        <v>202</v>
      </c>
    </row>
    <row r="52" spans="1:5" ht="100.8">
      <c r="A52" s="2">
        <v>50</v>
      </c>
      <c r="B52" s="2" t="str">
        <f ca="1">IFERROR(__xludf.DUMMYFUNCTION("GOOGLETRANSLATE(Portuguese!B52,""pt"",""en"")"),"Cornmeal cake made in a blender")</f>
        <v>Cornmeal cake made in a blender</v>
      </c>
      <c r="C52" s="2" t="str">
        <f ca="1">IFERROR(__xludf.DUMMYFUNCTION("GOOGLETRANSLATE(Portuguese!C52,""pt"",""en"")"),"1 cup of oil
3 eggs
1 1/2 cups of sugar
2 cups of cornmeal
1 cup of wheat flour
1 cup of milk
1 tablespoon of baking powder
1 pinch of salt")</f>
        <v>1 cup of oil
3 eggs
1 1/2 cups of sugar
2 cups of cornmeal
1 cup of wheat flour
1 cup of milk
1 tablespoon of baking powder
1 pinch of salt</v>
      </c>
      <c r="D52" s="2" t="str">
        <f ca="1">IFERROR(__xludf.DUMMYFUNCTION("GOOGLETRANSLATE(Portuguese!D52,""pt"",""en"")"),"Blend everything in a blender.
Pour into a greased and floured (or cornmeal-dusted) baking pan.
Bake in a preheated oven at 180ºC (350ºF) for 45 minutes.
When it comes out of the oven, sprinkle with sugar and cinnamon.")</f>
        <v>Blend everything in a blender.
Pour into a greased and floured (or cornmeal-dusted) baking pan.
Bake in a preheated oven at 180ºC (350ºF) for 45 minutes.
When it comes out of the oven, sprinkle with sugar and cinnamon.</v>
      </c>
      <c r="E52" s="7" t="s">
        <v>206</v>
      </c>
    </row>
    <row r="53" spans="1:5" ht="100.8">
      <c r="A53" s="2">
        <v>51</v>
      </c>
      <c r="B53" s="2" t="str">
        <f ca="1">IFERROR(__xludf.DUMMYFUNCTION("GOOGLETRANSLATE(Portuguese!B53,""pt"",""en"")"),"Condensed milk pudding")</f>
        <v>Condensed milk pudding</v>
      </c>
      <c r="C53" s="2" t="str">
        <f ca="1">IFERROR(__xludf.DUMMYFUNCTION("GOOGLETRANSLATE(Portuguese!C53,""pt"",""en"")"),"1 can of sweetened condensed milk
1 can of milk (using the sweetened condensed milk can as a measure)
3 whole eggs
1 cup of sugar
1/2 cup of water")</f>
        <v>1 can of sweetened condensed milk
1 can of milk (using the sweetened condensed milk can as a measure)
3 whole eggs
1 cup of sugar
1/2 cup of water</v>
      </c>
      <c r="D53" s="2" t="str">
        <f ca="1">IFERROR(__xludf.DUMMYFUNCTION("GOOGLETRANSLATE(Portuguese!D53,""pt"",""en"")"),"First, beat the eggs well in a blender.
Add the condensed milk and milk, and beat again.
Melt the sugar in a saucepan until it turns brown, add the water and let it thicken.
Pour into a round mold and pour the pudding mixture over it.
Bake in a medium ove"&amp;"n for 45 minutes, with the round mold inside a larger one filled with water.
Insert a fork to check if it is fully baked.
Let it cool and unmold.")</f>
        <v>First, beat the eggs well in a blender.
Add the condensed milk and milk, and beat again.
Melt the sugar in a saucepan until it turns brown, add the water and let it thicken.
Pour into a round mold and pour the pudding mixture over it.
Bake in a medium oven for 45 minutes, with the round mold inside a larger one filled with water.
Insert a fork to check if it is fully baked.
Let it cool and unmold.</v>
      </c>
      <c r="E53" s="7" t="s">
        <v>210</v>
      </c>
    </row>
    <row r="54" spans="1:5" ht="115.2">
      <c r="A54" s="2">
        <v>52</v>
      </c>
      <c r="B54" s="2" t="str">
        <f ca="1">IFERROR(__xludf.DUMMYFUNCTION("GOOGLETRANSLATE(Portuguese!B54,""pt"",""en"")"),"Apple cake made in a blender - the best in the world.")</f>
        <v>Apple cake made in a blender - the best in the world.</v>
      </c>
      <c r="C54" s="2" t="str">
        <f ca="1">IFERROR(__xludf.DUMMYFUNCTION("GOOGLETRANSLATE(Portuguese!C54,""pt"",""en"")"),"2 cups all-purpose flour
2 cups sugar
1 tablespoon baking powder
1 tablespoon ground cinnamon
1 pinch of salt
3 eggs
3 large apples
1 cup vegetable oil")</f>
        <v>2 cups all-purpose flour
2 cups sugar
1 tablespoon baking powder
1 tablespoon ground cinnamon
1 pinch of salt
3 eggs
3 large apples
1 cup vegetable oil</v>
      </c>
      <c r="D54" s="2" t="str">
        <f ca="1">IFERROR(__xludf.DUMMYFUNCTION("GOOGLETRANSLATE(Portuguese!D54,""pt"",""en"")"),"Grease and flour a medium baking pan (23x35 cm), or a bundt pan.
In a large bowl, sift together the flour and sugar. Add the remaining dry ingredients. Set aside.
Peel the apples, reserving the peels. Dice them.
In a blender, combine the eggs, oil, and ap"&amp;"ple peels.
Add this mixture to the bowl with the dry ingredients and mix gently.
Add the diced apples, mix, and pour into the prepared pan.
Bake for about 40 to 50 minutes in a moderate oven.
Once done, sprinkle with sugar and cinnamon.")</f>
        <v>Grease and flour a medium baking pan (23x35 cm), or a bundt pan.
In a large bowl, sift together the flour and sugar. Add the remaining dry ingredients. Set aside.
Peel the apples, reserving the peels. Dice them.
In a blender, combine the eggs, oil, and apple peels.
Add this mixture to the bowl with the dry ingredients and mix gently.
Add the diced apples, mix, and pour into the prepared pan.
Bake for about 40 to 50 minutes in a moderate oven.
Once done, sprinkle with sugar and cinnamon.</v>
      </c>
      <c r="E54" s="7" t="s">
        <v>214</v>
      </c>
    </row>
    <row r="55" spans="1:5" ht="86.4">
      <c r="A55" s="2">
        <v>53</v>
      </c>
      <c r="B55" s="2" t="str">
        <f ca="1">IFERROR(__xludf.DUMMYFUNCTION("GOOGLETRANSLATE(Portuguese!B55,""pt"",""en"")"),"Pressure cooker meat")</f>
        <v>Pressure cooker meat</v>
      </c>
      <c r="C55" s="2" t="str">
        <f ca="1">IFERROR(__xludf.DUMMYFUNCTION("GOOGLETRANSLATE(Portuguese!C55,""pt"",""en"")"),"1 kg of meat (chuck, round steak or pork loin)
8 large onions, sliced
3 or 4 beef bouillon cubes")</f>
        <v>1 kg of meat (chuck, round steak or pork loin)
8 large onions, sliced
3 or 4 beef bouillon cubes</v>
      </c>
      <c r="D55" s="2" t="str">
        <f ca="1">IFERROR(__xludf.DUMMYFUNCTION("GOOGLETRANSLATE(Portuguese!D55,""pt"",""en"")"),"Line the bottom of a pressure cooker with half of the onions.
Crumble a beef bouillon cube over the onions, add the meat, add another beef bouillon cube, and cover with the remaining onions.
Close the pressure cooker, without adding water, and cook for 25"&amp;" minutes.
If desired, add sliced ​​potatoes and cook for another 10 minutes.")</f>
        <v>Line the bottom of a pressure cooker with half of the onions.
Crumble a beef bouillon cube over the onions, add the meat, add another beef bouillon cube, and cover with the remaining onions.
Close the pressure cooker, without adding water, and cook for 25 minutes.
If desired, add sliced ​​potatoes and cook for another 10 minutes.</v>
      </c>
      <c r="E55" s="7" t="s">
        <v>218</v>
      </c>
    </row>
    <row r="56" spans="1:5" ht="100.8">
      <c r="A56" s="2">
        <v>54</v>
      </c>
      <c r="B56" s="2" t="str">
        <f ca="1">IFERROR(__xludf.DUMMYFUNCTION("GOOGLETRANSLATE(Portuguese!B56,""pt"",""en"")"),"Simple pancake batter")</f>
        <v>Simple pancake batter</v>
      </c>
      <c r="C56" s="2" t="str">
        <f ca="1">IFERROR(__xludf.DUMMYFUNCTION("GOOGLETRANSLATE(Portuguese!C56,""pt"",""en"")"),"1 egg
1 cup of wheat flour
1 cup of milk
1 pinch of salt
1 tablespoon of oil")</f>
        <v>1 egg
1 cup of wheat flour
1 cup of milk
1 pinch of salt
1 tablespoon of oil</v>
      </c>
      <c r="D56" s="2" t="str">
        <f ca="1">IFERROR(__xludf.DUMMYFUNCTION("GOOGLETRANSLATE(Portuguese!D56,""pt"",""en"")"),"Blend all ingredients in a blender until creamy.
Grease a frying pan with oil and pour in a ladleful of batter.
Make circular motions so that the batter spreads across the entire pan.
Wait until the batter releases from the bottom, flip it, and let it fry"&amp;" on the other side.
Add your preferred filling, roll it up, and it's ready to serve.")</f>
        <v>Blend all ingredients in a blender until creamy.
Grease a frying pan with oil and pour in a ladleful of batter.
Make circular motions so that the batter spreads across the entire pan.
Wait until the batter releases from the bottom, flip it, and let it fry on the other side.
Add your preferred filling, roll it up, and it's ready to serve.</v>
      </c>
      <c r="E56" s="7" t="s">
        <v>222</v>
      </c>
    </row>
    <row r="57" spans="1:5" ht="86.4">
      <c r="A57" s="2">
        <v>55</v>
      </c>
      <c r="B57" s="2" t="str">
        <f ca="1">IFERROR(__xludf.DUMMYFUNCTION("GOOGLETRANSLATE(Portuguese!B57,""pt"",""en"")"),"Special hot chocolate")</f>
        <v>Special hot chocolate</v>
      </c>
      <c r="C57" s="2" t="str">
        <f ca="1">IFERROR(__xludf.DUMMYFUNCTION("GOOGLETRANSLATE(Portuguese!C57,""pt"",""en"")"),"1 liter of skim milk
1 can of condensed milk
4 tablespoons of cocoa powder
2 tablespoons of cornstarch
Cinnamon powder for sprinkling")</f>
        <v>1 liter of skim milk
1 can of condensed milk
4 tablespoons of cocoa powder
2 tablespoons of cornstarch
Cinnamon powder for sprinkling</v>
      </c>
      <c r="D57" s="2" t="str">
        <f ca="1">IFERROR(__xludf.DUMMYFUNCTION("GOOGLETRANSLATE(Portuguese!D57,""pt"",""en"")"),"Blend all ingredients in a blender (except the cinnamon).
Bring to a boil over medium heat until the liquid thickens.
Serve in cups and sprinkle with cinnamon.
For a special touch, you can add whipped cream on top of the chocolate cup.")</f>
        <v>Blend all ingredients in a blender (except the cinnamon).
Bring to a boil over medium heat until the liquid thickens.
Serve in cups and sprinkle with cinnamon.
For a special touch, you can add whipped cream on top of the chocolate cup.</v>
      </c>
      <c r="E57" s="7" t="s">
        <v>226</v>
      </c>
    </row>
    <row r="58" spans="1:5" ht="72">
      <c r="A58" s="2">
        <v>56</v>
      </c>
      <c r="B58" s="2" t="str">
        <f ca="1">IFERROR(__xludf.DUMMYFUNCTION("GOOGLETRANSLATE(Portuguese!B58,""pt"",""en"")"),"green broth")</f>
        <v>green broth</v>
      </c>
      <c r="C58" s="2" t="str">
        <f ca="1">IFERROR(__xludf.DUMMYFUNCTION("GOOGLETRANSLATE(Portuguese!C58,""pt"",""en"")"),"4 medium potatoes
1 chicken bouillon cube
1 tablespoon of oil
1 level tablespoon of salt or to taste
5 cups of water
1 cup of shredded kale
1 smoked calabrese sausage, sliced")</f>
        <v>4 medium potatoes
1 chicken bouillon cube
1 tablespoon of oil
1 level tablespoon of salt or to taste
5 cups of water
1 cup of shredded kale
1 smoked calabrese sausage, sliced</v>
      </c>
      <c r="D58" s="2" t="str">
        <f ca="1">IFERROR(__xludf.DUMMYFUNCTION("GOOGLETRANSLATE(Portuguese!D58,""pt"",""en"")"),"In a pressure cooker, place the potato, chicken broth, oil, water, and salt.
Cook for about 10 minutes (start counting the time after the pressure cooker starts hissing) until the potato is very soft.
Then, blend everything in a blender.
Add the sliced ​​"&amp;"calabrese sausage and bring to a boil.
Turn off the heat and add the collard greens.
When serving, drizzle with olive oil or add croutons.")</f>
        <v>In a pressure cooker, place the potato, chicken broth, oil, water, and salt.
Cook for about 10 minutes (start counting the time after the pressure cooker starts hissing) until the potato is very soft.
Then, blend everything in a blender.
Add the sliced ​​calabrese sausage and bring to a boil.
Turn off the heat and add the collard greens.
When serving, drizzle with olive oil or add croutons.</v>
      </c>
      <c r="E58" s="7" t="s">
        <v>230</v>
      </c>
    </row>
    <row r="59" spans="1:5" ht="72">
      <c r="A59" s="2">
        <v>57</v>
      </c>
      <c r="B59" s="2" t="str">
        <f ca="1">IFERROR(__xludf.DUMMYFUNCTION("GOOGLETRANSLATE(Portuguese!B59,""pt"",""en"")"),"Rice cake")</f>
        <v>Rice cake</v>
      </c>
      <c r="C59" s="2" t="str">
        <f ca="1">IFERROR(__xludf.DUMMYFUNCTION("GOOGLETRANSLATE(Portuguese!C59,""pt"",""en"")"),"2 cups cooked rice
1/2 cup grated cheese
1/2 cup milk
2 tablespoons chopped parsley
1 tablespoon baking powder
1/2 cup cornstarch
1/2 cup wheat flour
3 eggs
oil for frying")</f>
        <v>2 cups cooked rice
1/2 cup grated cheese
1/2 cup milk
2 tablespoons chopped parsley
1 tablespoon baking powder
1/2 cup cornstarch
1/2 cup wheat flour
3 eggs
oil for frying</v>
      </c>
      <c r="D59" s="2" t="str">
        <f ca="1">IFERROR(__xludf.DUMMYFUNCTION("GOOGLETRANSLATE(Portuguese!D59,""pt"",""en"")"),"In a bowl, mix all the ingredients until a firm, consistent dough forms.
Shape the dough into balls and fry them in hot oil until golden brown.
Drain on absorbent paper.")</f>
        <v>In a bowl, mix all the ingredients until a firm, consistent dough forms.
Shape the dough into balls and fry them in hot oil until golden brown.
Drain on absorbent paper.</v>
      </c>
      <c r="E59" s="7" t="s">
        <v>234</v>
      </c>
    </row>
    <row r="60" spans="1:5" ht="100.8">
      <c r="A60" s="2">
        <v>58</v>
      </c>
      <c r="B60" s="2" t="str">
        <f ca="1">IFERROR(__xludf.DUMMYFUNCTION("GOOGLETRANSLATE(Portuguese!B60,""pt"",""en"")"),"Pancake batter")</f>
        <v>Pancake batter</v>
      </c>
      <c r="C60" s="2" t="str">
        <f ca="1">IFERROR(__xludf.DUMMYFUNCTION("GOOGLETRANSLATE(Portuguese!C60,""pt"",""en"")"),"2 cups (tea) of wheat flour
2 cups (tea) of milk
3 eggs
1 pinch of salt")</f>
        <v>2 cups (tea) of wheat flour
2 cups (tea) of milk
3 eggs
1 pinch of salt</v>
      </c>
      <c r="D60" s="2" t="str">
        <f ca="1">IFERROR(__xludf.DUMMYFUNCTION("GOOGLETRANSLATE(Portuguese!D60,""pt"",""en"")"),"Blend all ingredients in a blender for 2 minutes.
Then turn off the blender and, using a spoon, mix in the flour that stuck to the sides of the blender.
Blend again just to mix and set aside.
Grease a frying pan with a drizzle of oil and heat over medium "&amp;"heat.
Using a ladle, scoop a portion of batter and pour it into the pan, swirling the pan to spread the batter evenly.
Lower the heat and let it brown on the bottom, then flip and brown the other side. Repeat the process with all the batter.")</f>
        <v>Blend all ingredients in a blender for 2 minutes.
Then turn off the blender and, using a spoon, mix in the flour that stuck to the sides of the blender.
Blend again just to mix and set aside.
Grease a frying pan with a drizzle of oil and heat over medium heat.
Using a ladle, scoop a portion of batter and pour it into the pan, swirling the pan to spread the batter evenly.
Lower the heat and let it brown on the bottom, then flip and brown the other side. Repeat the process with all the batter.</v>
      </c>
      <c r="E60" s="7" t="s">
        <v>238</v>
      </c>
    </row>
    <row r="61" spans="1:5" ht="86.4">
      <c r="A61" s="2">
        <v>59</v>
      </c>
      <c r="B61" s="2" t="str">
        <f ca="1">IFERROR(__xludf.DUMMYFUNCTION("GOOGLETRANSLATE(Portuguese!B61,""pt"",""en"")"),"Cornmeal cake with guava paste")</f>
        <v>Cornmeal cake with guava paste</v>
      </c>
      <c r="C61" s="2" t="str">
        <f ca="1">IFERROR(__xludf.DUMMYFUNCTION("GOOGLETRANSLATE(Portuguese!C61,""pt"",""en"")"),"1 egg
1 cup (American) of milk
1 cup (American) of cornmeal
1 cup (American) of sugar
1/2 cup (American) of oil
1 cup (American) of wheat flour
1 tablespoon of baking powder
Guava paste in pieces
Anise seeds to taste")</f>
        <v>1 egg
1 cup (American) of milk
1 cup (American) of cornmeal
1 cup (American) of sugar
1/2 cup (American) of oil
1 cup (American) of wheat flour
1 tablespoon of baking powder
Guava paste in pieces
Anise seeds to taste</v>
      </c>
      <c r="D61" s="2" t="str">
        <f ca="1">IFERROR(__xludf.DUMMYFUNCTION("GOOGLETRANSLATE(Portuguese!D61,""pt"",""en"")"),"In a blender, mix the egg, milk, oil, sugar, and cornmeal and blend well.
Pour the mixture into a bowl and mix in the flour and baking powder.
Pour the batter into a greased and floured baking pan, and add a layer of guava paste. Repeat this process until"&amp;" the pan is full.
Bake the cornmeal cake with guava paste in a preheated medium oven (180°C) for 40 minutes.")</f>
        <v>In a blender, mix the egg, milk, oil, sugar, and cornmeal and blend well.
Pour the mixture into a bowl and mix in the flour and baking powder.
Pour the batter into a greased and floured baking pan, and add a layer of guava paste. Repeat this process until the pan is full.
Bake the cornmeal cake with guava paste in a preheated medium oven (180°C) for 40 minutes.</v>
      </c>
      <c r="E61" s="7" t="s">
        <v>242</v>
      </c>
    </row>
    <row r="62" spans="1:5" ht="86.4">
      <c r="A62" s="2">
        <v>60</v>
      </c>
      <c r="B62" s="2" t="str">
        <f ca="1">IFERROR(__xludf.DUMMYFUNCTION("GOOGLETRANSLATE(Portuguese!B62,""pt"",""en"")"),"Brigadeirão")</f>
        <v>Brigadeirão</v>
      </c>
      <c r="C62" s="2" t="str">
        <f ca="1">IFERROR(__xludf.DUMMYFUNCTION("GOOGLETRANSLATE(Portuguese!C62,""pt"",""en"")"),"2 cans of sweetened condensed milk
1 can of cow's milk (use the condensed milk can as a measure)
1 tablespoon of butter
200g of cocoa powder
4 eggs
Sugar, enough to sprinkle on the mold")</f>
        <v>2 cans of sweetened condensed milk
1 can of cow's milk (use the condensed milk can as a measure)
1 tablespoon of butter
200g of cocoa powder
4 eggs
Sugar, enough to sprinkle on the mold</v>
      </c>
      <c r="D62" s="2" t="str">
        <f ca="1">IFERROR(__xludf.DUMMYFUNCTION("GOOGLETRANSLATE(Portuguese!D62,""pt"",""en"")"),"Blend the condensed milk, cow's milk, butter, cocoa powder, and eggs in a blender.
Grease a bundt pan and sprinkle with sugar.
Pour the blended mixture into the pan and bake in a water bath for about 1 hour at 150°C (300°F).")</f>
        <v>Blend the condensed milk, cow's milk, butter, cocoa powder, and eggs in a blender.
Grease a bundt pan and sprinkle with sugar.
Pour the blended mixture into the pan and bake in a water bath for about 1 hour at 150°C (300°F).</v>
      </c>
      <c r="E62" s="7" t="s">
        <v>246</v>
      </c>
    </row>
    <row r="63" spans="1:5" ht="72">
      <c r="A63" s="2">
        <v>61</v>
      </c>
      <c r="B63" s="2" t="str">
        <f ca="1">IFERROR(__xludf.DUMMYFUNCTION("GOOGLETRANSLATE(Portuguese!B63,""pt"",""en"")"),"Chicken with vegetables")</f>
        <v>Chicken with vegetables</v>
      </c>
      <c r="C63" s="2" t="str">
        <f ca="1">IFERROR(__xludf.DUMMYFUNCTION("GOOGLETRANSLATE(Portuguese!C63,""pt"",""en"")"),"2 tablespoons olive oil
2 medium onions, diced
2 cloves garlic, crushed
500g skinless chicken breast, cubed
Salt to taste
1 green bell pepper, diced
1 red bell pepper, diced
1 yellow bell pepper, diced
1 cup canned mushrooms, halved
1/4 cup soy sauce
1 ta"&amp;"blespoon cornstarch
1/2 cup water
2 tablespoons roasted peanuts")</f>
        <v>2 tablespoons olive oil
2 medium onions, diced
2 cloves garlic, crushed
500g skinless chicken breast, cubed
Salt to taste
1 green bell pepper, diced
1 red bell pepper, diced
1 yellow bell pepper, diced
1 cup canned mushrooms, halved
1/4 cup soy sauce
1 tablespoon cornstarch
1/2 cup water
2 tablespoons roasted peanuts</v>
      </c>
      <c r="D63" s="2" t="str">
        <f ca="1">IFERROR(__xludf.DUMMYFUNCTION("GOOGLETRANSLATE(Portuguese!D63,""pt"",""en"")"),"In a large skillet or pan, combine half the olive oil, the onion, and the garlic and sauté.
Remove and set aside on a plate.
In the same pan, add the salt and the remaining olive oil and sauté the bell peppers and mushrooms for 5 minutes.
Remove and set a"&amp;"side on another plate.
In the same pan, add the chicken and sauté until golden brown.
Return all ingredients to the skillet, mix well with a wooden spoon, and sauté for another 2 minutes.
In a cup, combine the soy sauce, cornstarch, and water.
Stir well a"&amp;"nd add to the chicken mixture.
Cook, stirring constantly, until a thick sauce forms.
Place in a serving dish, sprinkle with peanuts, and serve hot.")</f>
        <v>In a large skillet or pan, combine half the olive oil, the onion, and the garlic and sauté.
Remove and set aside on a plate.
In the same pan, add the salt and the remaining olive oil and sauté the bell peppers and mushrooms for 5 minutes.
Remove and set aside on another plate.
In the same pan, add the chicken and sauté until golden brown.
Return all ingredients to the skillet, mix well with a wooden spoon, and sauté for another 2 minutes.
In a cup, combine the soy sauce, cornstarch, and water.
Stir well and add to the chicken mixture.
Cook, stirring constantly, until a thick sauce forms.
Place in a serving dish, sprinkle with peanuts, and serve hot.</v>
      </c>
      <c r="E63" s="7" t="s">
        <v>250</v>
      </c>
    </row>
    <row r="64" spans="1:5" ht="115.2">
      <c r="A64" s="2">
        <v>62</v>
      </c>
      <c r="B64" s="2" t="str">
        <f ca="1">IFERROR(__xludf.DUMMYFUNCTION("GOOGLETRANSLATE(Portuguese!B64,""pt"",""en"")"),"Delicious ground beef roulade")</f>
        <v>Delicious ground beef roulade</v>
      </c>
      <c r="C64" s="2" t="str">
        <f ca="1">IFERROR(__xludf.DUMMYFUNCTION("GOOGLETRANSLATE(Portuguese!C64,""pt"",""en"")"),"1/2 kg of ground beef
1 packet of onion soup mix
sliced ​​ham
sliced ​​cheese
green seasoning
salt to taste")</f>
        <v>1/2 kg of ground beef
1 packet of onion soup mix
sliced ​​ham
sliced ​​cheese
green seasoning
salt to taste</v>
      </c>
      <c r="D64" s="2" t="str">
        <f ca="1">IFERROR(__xludf.DUMMYFUNCTION("GOOGLETRANSLATE(Portuguese!D64,""pt"",""en"")"),"Season the ground beef with the onion soup mix, green seasoning, and salt.
Place the seasoned meat on a sheet of aluminum foil or parchment paper and roll it out to a thickness of about 1 cm.
Cover the meat with ham and cheese; you can also add corn, peas"&amp;", and cream cheese.
Roll the meat up, using the aluminum foil or parchment paper, into a roulade shape.
Bake in a hot oven for about 30 minutes, or microwave for 15 minutes.
Enjoy!")</f>
        <v>Season the ground beef with the onion soup mix, green seasoning, and salt.
Place the seasoned meat on a sheet of aluminum foil or parchment paper and roll it out to a thickness of about 1 cm.
Cover the meat with ham and cheese; you can also add corn, peas, and cream cheese.
Roll the meat up, using the aluminum foil or parchment paper, into a roulade shape.
Bake in a hot oven for about 30 minutes, or microwave for 15 minutes.
Enjoy!</v>
      </c>
      <c r="E64" s="7" t="s">
        <v>254</v>
      </c>
    </row>
    <row r="65" spans="1:5" ht="72">
      <c r="A65" s="2">
        <v>63</v>
      </c>
      <c r="B65" s="2" t="str">
        <f ca="1">IFERROR(__xludf.DUMMYFUNCTION("GOOGLETRANSLATE(Portuguese!B65,""pt"",""en"")"),"Cornmeal cake")</f>
        <v>Cornmeal cake</v>
      </c>
      <c r="C65" s="2" t="str">
        <f ca="1">IFERROR(__xludf.DUMMYFUNCTION("GOOGLETRANSLATE(Portuguese!C65,""pt"",""en"")"),"3 whole eggs
2 cups of sugar
2 cups of cornmeal
3 tablespoons of wheat flour
1/2 cup of oil
1 cup of milk
1 tablespoon of baking powder")</f>
        <v>3 whole eggs
2 cups of sugar
2 cups of cornmeal
3 tablespoons of wheat flour
1/2 cup of oil
1 cup of milk
1 tablespoon of baking powder</v>
      </c>
      <c r="D65" s="2" t="str">
        <f ca="1">IFERROR(__xludf.DUMMYFUNCTION("GOOGLETRANSLATE(Portuguese!D65,""pt"",""en"")"),"In a blender, add the eggs, sugar, cornmeal, wheat flour, oil, milk, and baking powder, then blend until the batter is smooth and homogeneous.
Pour the batter into a greased and floured pan.
Bake in a preheated medium oven (180°C) for 40 minutes.")</f>
        <v>In a blender, add the eggs, sugar, cornmeal, wheat flour, oil, milk, and baking powder, then blend until the batter is smooth and homogeneous.
Pour the batter into a greased and floured pan.
Bake in a preheated medium oven (180°C) for 40 minutes.</v>
      </c>
      <c r="E65" s="7" t="s">
        <v>258</v>
      </c>
    </row>
    <row r="66" spans="1:5" ht="100.8">
      <c r="A66" s="2">
        <v>64</v>
      </c>
      <c r="B66" s="2" t="str">
        <f ca="1">IFERROR(__xludf.DUMMYFUNCTION("GOOGLETRANSLATE(Portuguese!B66,""pt"",""en"")"),"Blender cake")</f>
        <v>Blender cake</v>
      </c>
      <c r="C66" s="2" t="str">
        <f ca="1">IFERROR(__xludf.DUMMYFUNCTION("GOOGLETRANSLATE(Portuguese!C66,""pt"",""en"")"),"3 eggs
2 tablespoons of margarine
2 cups (cream cheese container) of sugar
2 cups (cream cheese container) of wheat flour
1 cup (cream cheese container) of milk
1 level teaspoon of baking powder")</f>
        <v>3 eggs
2 tablespoons of margarine
2 cups (cream cheese container) of sugar
2 cups (cream cheese container) of wheat flour
1 cup (cream cheese container) of milk
1 level teaspoon of baking powder</v>
      </c>
      <c r="D66" s="2" t="str">
        <f ca="1">IFERROR(__xludf.DUMMYFUNCTION("GOOGLETRANSLATE(Portuguese!D66,""pt"",""en"")"),"In a blender, beat together the eggs, sugar, and margarine.
Then add the flour, milk, and baking powder, and blend again.
Pour into a greased and floured baking pan and bake.")</f>
        <v>In a blender, beat together the eggs, sugar, and margarine.
Then add the flour, milk, and baking powder, and blend again.
Pour into a greased and floured baking pan and bake.</v>
      </c>
      <c r="E66" s="7" t="s">
        <v>262</v>
      </c>
    </row>
    <row r="67" spans="1:5" ht="72">
      <c r="A67" s="2">
        <v>65</v>
      </c>
      <c r="B67" s="2" t="str">
        <f ca="1">IFERROR(__xludf.DUMMYFUNCTION("GOOGLETRANSLATE(Portuguese!B67,""pt"",""en"")"),"Bread pudding")</f>
        <v>Bread pudding</v>
      </c>
      <c r="C67" s="2" t="str">
        <f ca="1">IFERROR(__xludf.DUMMYFUNCTION("GOOGLETRANSLATE(Portuguese!C67,""pt"",""en"")"),"3 stale or hard bread rolls
8 tablespoons of granulated sugar
2 whole eggs
500 ml of milk")</f>
        <v>3 stale or hard bread rolls
8 tablespoons of granulated sugar
2 whole eggs
500 ml of milk</v>
      </c>
      <c r="D67" s="2" t="str">
        <f ca="1">IFERROR(__xludf.DUMMYFUNCTION("GOOGLETRANSLATE(Portuguese!D67,""pt"",""en"")"),"Blend all ingredients in a blender until the mixture is smooth.
Caramelize a pudding mold with burnt syrup and add the blended mixture.
Cook in a water bath for approximately 30 to 40 minutes, or until the pudding is set.")</f>
        <v>Blend all ingredients in a blender until the mixture is smooth.
Caramelize a pudding mold with burnt syrup and add the blended mixture.
Cook in a water bath for approximately 30 to 40 minutes, or until the pudding is set.</v>
      </c>
      <c r="E67" s="7" t="s">
        <v>266</v>
      </c>
    </row>
    <row r="68" spans="1:5" ht="100.8">
      <c r="A68" s="2">
        <v>66</v>
      </c>
      <c r="B68" s="2" t="str">
        <f ca="1">IFERROR(__xludf.DUMMYFUNCTION("GOOGLETRANSLATE(Portuguese!B68,""pt"",""en"")"),"Authentic rice pudding")</f>
        <v>Authentic rice pudding</v>
      </c>
      <c r="C68" s="2" t="str">
        <f ca="1">IFERROR(__xludf.DUMMYFUNCTION("GOOGLETRANSLATE(Portuguese!C68,""pt"",""en"")"),"1 and 1/2 liters of milk
2 cups of white rice (already washed)
3 cups of sugar
Cinnamon stick to taste
1 can of condensed milk")</f>
        <v>1 and 1/2 liters of milk
2 cups of white rice (already washed)
3 cups of sugar
Cinnamon stick to taste
1 can of condensed milk</v>
      </c>
      <c r="D68" s="2" t="str">
        <f ca="1">IFERROR(__xludf.DUMMYFUNCTION("GOOGLETRANSLATE(Portuguese!D68,""pt"",""en"")"),"Cook the rice in the milk, along with the cinnamon (use a large saucepan so that the milk boils over).
After 20 minutes, stir occasionally.
Add the sugar and let it cook for 20 minutes.
Then, add the condensed milk and let it cook for another 20 minutes.
"&amp;"Place in a beautiful serving dish.")</f>
        <v>Cook the rice in the milk, along with the cinnamon (use a large saucepan so that the milk boils over).
After 20 minutes, stir occasionally.
Add the sugar and let it cook for 20 minutes.
Then, add the condensed milk and let it cook for another 20 minutes.
Place in a beautiful serving dish.</v>
      </c>
      <c r="E68" s="7" t="s">
        <v>270</v>
      </c>
    </row>
    <row r="69" spans="1:5" ht="72">
      <c r="A69" s="2">
        <v>67</v>
      </c>
      <c r="B69" s="2" t="str">
        <f ca="1">IFERROR(__xludf.DUMMYFUNCTION("GOOGLETRANSLATE(Portuguese!B69,""pt"",""en"")"),"Easy gnocchi")</f>
        <v>Easy gnocchi</v>
      </c>
      <c r="C69" s="2" t="str">
        <f ca="1">IFERROR(__xludf.DUMMYFUNCTION("GOOGLETRANSLATE(Portuguese!C69,""pt"",""en"")"),"2 chicken bouillon cubes
3 cups of milk
6 tablespoons of mayonnaise
2 tablespoons of chopped parsley
Salt to taste
3 cups of wheat flour")</f>
        <v>2 chicken bouillon cubes
3 cups of milk
6 tablespoons of mayonnaise
2 tablespoons of chopped parsley
Salt to taste
3 cups of wheat flour</v>
      </c>
      <c r="D69" s="2" t="str">
        <f ca="1">IFERROR(__xludf.DUMMYFUNCTION("GOOGLETRANSLATE(Portuguese!D69,""pt"",""en"")"),"Dissolve the 2 bouillon cubes in the milk and bring to a boil with the mayonnaise, parsley, and salt.
When it boils and the mayonnaise melts, remove from the heat and add the wheat flour all at once. Mix very quickly to avoid lumps.
Return the dough to lo"&amp;"w heat, stirring for 1 or 2 minutes. Turn off the heat and let the dough cool slightly.
On a floured surface, place the dough and roll it into small logs. Cut into gnocchi shapes. In another pot with water and salt, cook the gnocchi.
The tip is to remove "&amp;"the gnocchi from the water as soon as they rise to the surface; they will be ready. Drain and serve with your favorite sauce.")</f>
        <v>Dissolve the 2 bouillon cubes in the milk and bring to a boil with the mayonnaise, parsley, and salt.
When it boils and the mayonnaise melts, remove from the heat and add the wheat flour all at once. Mix very quickly to avoid lumps.
Return the dough to low heat, stirring for 1 or 2 minutes. Turn off the heat and let the dough cool slightly.
On a floured surface, place the dough and roll it into small logs. Cut into gnocchi shapes. In another pot with water and salt, cook the gnocchi.
The tip is to remove the gnocchi from the water as soon as they rise to the surface; they will be ready. Drain and serve with your favorite sauce.</v>
      </c>
      <c r="E69" s="7" t="s">
        <v>274</v>
      </c>
    </row>
    <row r="70" spans="1:5" ht="115.2">
      <c r="A70" s="2">
        <v>68</v>
      </c>
      <c r="B70" s="2" t="str">
        <f ca="1">IFERROR(__xludf.DUMMYFUNCTION("GOOGLETRANSLATE(Portuguese!B70,""pt"",""en"")"),"Brigadeiro without condensed milk")</f>
        <v>Brigadeiro without condensed milk</v>
      </c>
      <c r="C70" s="2" t="str">
        <f ca="1">IFERROR(__xludf.DUMMYFUNCTION("GOOGLETRANSLATE(Portuguese!C70,""pt"",""en"")"),"1 cup of milk
4 tablespoons of chocolate powder
2 tablespoons of margarine
3 tablespoons of sugar")</f>
        <v>1 cup of milk
4 tablespoons of chocolate powder
2 tablespoons of margarine
3 tablespoons of sugar</v>
      </c>
      <c r="D70" s="2" t="str">
        <f ca="1">IFERROR(__xludf.DUMMYFUNCTION("GOOGLETRANSLATE(Portuguese!D70,""pt"",""en"")"),"In a saucepan, add the chocolate powder, sugar, and butter, mix quickly, and then add the milk.
Stir with a wooden spoon over medium heat for approximately 25 minutes, until you obtain a creamy consistency.
Turn off the heat and let it cool for 10 minutes"&amp;".
Shape the dough into small balls and roll them in chocolate sprinkles or serve in glasses.")</f>
        <v>In a saucepan, add the chocolate powder, sugar, and butter, mix quickly, and then add the milk.
Stir with a wooden spoon over medium heat for approximately 25 minutes, until you obtain a creamy consistency.
Turn off the heat and let it cool for 10 minutes.
Shape the dough into small balls and roll them in chocolate sprinkles or serve in glasses.</v>
      </c>
      <c r="E70" s="7" t="s">
        <v>278</v>
      </c>
    </row>
    <row r="71" spans="1:5" ht="100.8">
      <c r="A71" s="2">
        <v>69</v>
      </c>
      <c r="B71" s="2" t="str">
        <f ca="1">IFERROR(__xludf.DUMMYFUNCTION("GOOGLETRANSLATE(Portuguese!B71,""pt"",""en"")"),"German cake (easy, simple and delicious)")</f>
        <v>German cake (easy, simple and delicious)</v>
      </c>
      <c r="C71" s="2" t="str">
        <f ca="1">IFERROR(__xludf.DUMMYFUNCTION("GOOGLETRANSLATE(Portuguese!C71,""pt"",""en"")"),"200g unsalted butter
1 cup (tea) of sugar
1 can of heavy cream (without whey)
1 package of cornstarch cookies
Milk, as needed, to soak the cookies
1 can of chocolate-flavored sweetened condensed milk (or ice cream topping)")</f>
        <v>200g unsalted butter
1 cup (tea) of sugar
1 can of heavy cream (without whey)
1 package of cornstarch cookies
Milk, as needed, to soak the cookies
1 can of chocolate-flavored sweetened condensed milk (or ice cream topping)</v>
      </c>
      <c r="D71" s="2" t="str">
        <f ca="1">IFERROR(__xludf.DUMMYFUNCTION("GOOGLETRANSLATE(Portuguese!D71,""pt"",""en"")"),"Place the butter and sugar in a mixer and beat until you obtain a very fluffy and smooth cream.
Add the heavy cream and beat quickly just to combine.
Turn off the mixer and set aside.
Prepare a medium-sized container to assemble the dessert.
Add a little "&amp;"milk to a shallow dish and quickly dip some Maria biscuits in the milk.
Line the bottom of the chosen container with a layer of biscuits.
Add a layer of the reserved cream over the biscuits.
Add another layer of biscuits dipped in milk and repeat the proc"&amp;"edure, finishing with a biscuit.
Cover the last layer of biscuits with chocolate-flavored condensed milk (store-bought or topping).
Refrigerate for at least 3 hours or until the dessert is well chilled.
Remove the dessert from the refrigerator and serve i"&amp;"mmediately.")</f>
        <v>Place the butter and sugar in a mixer and beat until you obtain a very fluffy and smooth cream.
Add the heavy cream and beat quickly just to combine.
Turn off the mixer and set aside.
Prepare a medium-sized container to assemble the dessert.
Add a little milk to a shallow dish and quickly dip some Maria biscuits in the milk.
Line the bottom of the chosen container with a layer of biscuits.
Add a layer of the reserved cream over the biscuits.
Add another layer of biscuits dipped in milk and repeat the procedure, finishing with a biscuit.
Cover the last layer of biscuits with chocolate-flavored condensed milk (store-bought or topping).
Refrigerate for at least 3 hours or until the dessert is well chilled.
Remove the dessert from the refrigerator and serve immediately.</v>
      </c>
      <c r="E71" s="7" t="s">
        <v>282</v>
      </c>
    </row>
    <row r="72" spans="1:5" ht="72">
      <c r="A72" s="2">
        <v>70</v>
      </c>
      <c r="B72" s="2" t="str">
        <f ca="1">IFERROR(__xludf.DUMMYFUNCTION("GOOGLETRANSLATE(Portuguese!B72,""pt"",""en"")"),"Sweet popcorn")</f>
        <v>Sweet popcorn</v>
      </c>
      <c r="C72" s="2" t="str">
        <f ca="1">IFERROR(__xludf.DUMMYFUNCTION("GOOGLETRANSLATE(Portuguese!C72,""pt"",""en"")"),"5 tablespoons of oil
5 tablespoons of popcorn kernels
5 tablespoons of sugar
3 tablespoons of water
1 tablespoon of cocoa powder")</f>
        <v>5 tablespoons of oil
5 tablespoons of popcorn kernels
5 tablespoons of sugar
3 tablespoons of water
1 tablespoon of cocoa powder</v>
      </c>
      <c r="D72" s="2" t="str">
        <f ca="1">IFERROR(__xludf.DUMMYFUNCTION("GOOGLETRANSLATE(Portuguese!D72,""pt"",""en"")"),"In a saucepan, add all the ingredients and mix gently.
Turn off the heat when the time between poppings decreases.
It's ready to eat.")</f>
        <v>In a saucepan, add all the ingredients and mix gently.
Turn off the heat when the time between poppings decreases.
It's ready to eat.</v>
      </c>
      <c r="E72" s="7" t="s">
        <v>286</v>
      </c>
    </row>
    <row r="73" spans="1:5" ht="100.8">
      <c r="A73" s="2">
        <v>71</v>
      </c>
      <c r="B73" s="2" t="str">
        <f ca="1">IFERROR(__xludf.DUMMYFUNCTION("GOOGLETRANSLATE(Portuguese!B73,""pt"",""en"")"),"Cheese bread with 3 ingredients")</f>
        <v>Cheese bread with 3 ingredients</v>
      </c>
      <c r="C73" s="2" t="str">
        <f ca="1">IFERROR(__xludf.DUMMYFUNCTION("GOOGLETRANSLATE(Portuguese!C73,""pt"",""en"")"),"1 carton of heavy cream (200 ml)
1 cup (cream cheese container) of grated cheese
1 cup (cream cheese container) of tapioca starch")</f>
        <v>1 carton of heavy cream (200 ml)
1 cup (cream cheese container) of grated cheese
1 cup (cream cheese container) of tapioca starch</v>
      </c>
      <c r="D73" s="2" t="str">
        <f ca="1">IFERROR(__xludf.DUMMYFUNCTION("GOOGLETRANSLATE(Portuguese!D73,""pt"",""en"")"),"Knead until the dough no longer sticks to your hands (if you need a little more tapioca starch, add it gradually until it reaches the point where you can roll it).
Make small balls, place them on a greased baking sheet, and bake in a preheated oven at a h"&amp;"igh temperature.
Add salt if necessary.
Bake until lightly golden brown.")</f>
        <v>Knead until the dough no longer sticks to your hands (if you need a little more tapioca starch, add it gradually until it reaches the point where you can roll it).
Make small balls, place them on a greased baking sheet, and bake in a preheated oven at a high temperature.
Add salt if necessary.
Bake until lightly golden brown.</v>
      </c>
      <c r="E73" s="7" t="s">
        <v>290</v>
      </c>
    </row>
    <row r="74" spans="1:5" ht="86.4">
      <c r="A74" s="2">
        <v>72</v>
      </c>
      <c r="B74" s="2" t="str">
        <f ca="1">IFERROR(__xludf.DUMMYFUNCTION("GOOGLETRANSLATE(Portuguese!B74,""pt"",""en"")"),"Rice in a mold")</f>
        <v>Rice in a mold</v>
      </c>
      <c r="C74" s="2" t="str">
        <f ca="1">IFERROR(__xludf.DUMMYFUNCTION("GOOGLETRANSLATE(Portuguese!C74,""pt"",""en"")"),"4 cups of rice
1 cup of creamy cheese spread
1 can of heavy cream
1 chicken breast
Onion
Garlic
Corn and peas to taste
Sliced ​​mozzarella cheese
Sliced ​​ham
1 package of potato sticks")</f>
        <v>4 cups of rice
1 cup of creamy cheese spread
1 can of heavy cream
1 chicken breast
Onion
Garlic
Corn and peas to taste
Sliced ​​mozzarella cheese
Sliced ​​ham
1 package of potato sticks</v>
      </c>
      <c r="D74" s="2" t="str">
        <f ca="1">IFERROR(__xludf.DUMMYFUNCTION("GOOGLETRANSLATE(Portuguese!D74,""pt"",""en"")"),"Cook the rice and set aside.
Cook the chicken breast, shred it, and sauté it with the onion, garlic, corn, and peas.
If desired, add tomato sauce; the idea is to make a sauce.
Then, in a medium baking dish, assemble the dish.
First, place the rice, then t"&amp;"he cream and spread it out.
Next, place the chicken in the sauce and spread it out.
Add the creamy cheese, ham, cheese, and finally the potato sticks.
Place in a preheated oven for 15 minutes.")</f>
        <v>Cook the rice and set aside.
Cook the chicken breast, shred it, and sauté it with the onion, garlic, corn, and peas.
If desired, add tomato sauce; the idea is to make a sauce.
Then, in a medium baking dish, assemble the dish.
First, place the rice, then the cream and spread it out.
Next, place the chicken in the sauce and spread it out.
Add the creamy cheese, ham, cheese, and finally the potato sticks.
Place in a preheated oven for 15 minutes.</v>
      </c>
      <c r="E74" s="7" t="s">
        <v>294</v>
      </c>
    </row>
    <row r="75" spans="1:5" ht="100.8">
      <c r="A75" s="2">
        <v>73</v>
      </c>
      <c r="B75" s="2" t="str">
        <f ca="1">IFERROR(__xludf.DUMMYFUNCTION("GOOGLETRANSLATE(Portuguese!B75,""pt"",""en"")"),"Chocolate mousse")</f>
        <v>Chocolate mousse</v>
      </c>
      <c r="C75" s="2" t="str">
        <f ca="1">IFERROR(__xludf.DUMMYFUNCTION("GOOGLETRANSLATE(Portuguese!C75,""pt"",""en"")"),"3 eggs
200g semi-sweet chocolate
2 tablespoons sugar
1 can of heavy cream")</f>
        <v>3 eggs
200g semi-sweet chocolate
2 tablespoons sugar
1 can of heavy cream</v>
      </c>
      <c r="D75" s="2" t="str">
        <f ca="1">IFERROR(__xludf.DUMMYFUNCTION("GOOGLETRANSLATE(Portuguese!D75,""pt"",""en"")"),"Beat the egg yolks until they double in volume.
Add the sugar and continue beating.
Melt the chocolate and add it to the egg yolk mixture.
Add the heavy cream, beating constantly.
Finally, add the beaten egg whites (very well beaten), mixing quickly with "&amp;"the mixer.
Refrigerate and serve, enjoying the best and simplest mousse to make!")</f>
        <v>Beat the egg yolks until they double in volume.
Add the sugar and continue beating.
Melt the chocolate and add it to the egg yolk mixture.
Add the heavy cream, beating constantly.
Finally, add the beaten egg whites (very well beaten), mixing quickly with the mixer.
Refrigerate and serve, enjoying the best and simplest mousse to make!</v>
      </c>
      <c r="E75" s="7" t="s">
        <v>298</v>
      </c>
    </row>
    <row r="76" spans="1:5" ht="72">
      <c r="A76" s="2">
        <v>74</v>
      </c>
      <c r="B76" s="2" t="str">
        <f ca="1">IFERROR(__xludf.DUMMYFUNCTION("GOOGLETRANSLATE(Portuguese!B76,""pt"",""en"")"),"Shrimp bobó")</f>
        <v>Shrimp bobó</v>
      </c>
      <c r="C76" s="2" t="str">
        <f ca="1">IFERROR(__xludf.DUMMYFUNCTION("GOOGLETRANSLATE(Portuguese!C76,""pt"",""en"")"),"1 kg of fresh shrimp
Salt
3 cloves of garlic, chopped and crushed
Juice of 1 lemon
Black pepper
1 kg of cassava (preferably pre-packaged and peeled, it's more practical)
3 onions (1 sliced ​​and 2 grated)
1 bay leaf
6 tablespoons of olive oil
2 bottles of"&amp;" coconut milk
1 bunch of chopped parsley and cilantro
2 cans of ready-made tomato sauce
2 finely chopped green bell peppers
2 tablespoons of palm oil")</f>
        <v>1 kg of fresh shrimp
Salt
3 cloves of garlic, chopped and crushed
Juice of 1 lemon
Black pepper
1 kg of cassava (preferably pre-packaged and peeled, it's more practical)
3 onions (1 sliced ​​and 2 grated)
1 bay leaf
6 tablespoons of olive oil
2 bottles of coconut milk
1 bunch of chopped parsley and cilantro
2 cans of ready-made tomato sauce
2 finely chopped green bell peppers
2 tablespoons of palm oil</v>
      </c>
      <c r="D76" s="2" t="str">
        <f ca="1">IFERROR(__xludf.DUMMYFUNCTION("GOOGLETRANSLATE(Portuguese!D76,""pt"",""en"")"),"Wash the shrimp and season with salt, garlic, pepper, and lemon; let marinate.
Take a pot with water and cook the cassava in small pieces, with bay leaf and sliced ​​onion.
When it is soft, add a can of coconut milk.
Let it cool a little and blend in a bl"&amp;"ender.
Heat the olive oil, add the grated onion and let it brown.
Add the shrimp and fry.
Add the 2 cans of tomato sauce, the green onions, the bell pepper, and let it cook for a few minutes.
In the same pot, add the blended cassava, another can of coconu"&amp;"t milk, and the palm oil.
Let it come to a boil and it's ready.")</f>
        <v>Wash the shrimp and season with salt, garlic, pepper, and lemon; let marinate.
Take a pot with water and cook the cassava in small pieces, with bay leaf and sliced ​​onion.
When it is soft, add a can of coconut milk.
Let it cool a little and blend in a blender.
Heat the olive oil, add the grated onion and let it brown.
Add the shrimp and fry.
Add the 2 cans of tomato sauce, the green onions, the bell pepper, and let it cook for a few minutes.
In the same pot, add the blended cassava, another can of coconut milk, and the palm oil.
Let it come to a boil and it's ready.</v>
      </c>
      <c r="E76" s="7" t="s">
        <v>302</v>
      </c>
    </row>
    <row r="77" spans="1:5" ht="86.4">
      <c r="A77" s="2">
        <v>75</v>
      </c>
      <c r="B77" s="2" t="str">
        <f ca="1">IFERROR(__xludf.DUMMYFUNCTION("GOOGLETRANSLATE(Portuguese!B77,""pt"",""en"")"),"Pancake")</f>
        <v>Pancake</v>
      </c>
      <c r="C77" s="2" t="str">
        <f ca="1">IFERROR(__xludf.DUMMYFUNCTION("GOOGLETRANSLATE(Portuguese!C77,""pt"",""en"")"),"1 egg
1 cup of milk
1 cup of wheat flour
1 pinch of salt
1 pinch of baking powder")</f>
        <v>1 egg
1 cup of milk
1 cup of wheat flour
1 pinch of salt
1 pinch of baking powder</v>
      </c>
      <c r="D77" s="2" t="str">
        <f ca="1">IFERROR(__xludf.DUMMYFUNCTION("GOOGLETRANSLATE(Portuguese!D77,""pt"",""en"")"),"Blend all ingredients in a blender until smooth.
Then, fry in a skillet over medium heat.
Fill as desired.")</f>
        <v>Blend all ingredients in a blender until smooth.
Then, fry in a skillet over medium heat.
Fill as desired.</v>
      </c>
      <c r="E77" s="7" t="s">
        <v>306</v>
      </c>
    </row>
    <row r="78" spans="1:5" ht="129.6">
      <c r="A78" s="2">
        <v>76</v>
      </c>
      <c r="B78" s="2" t="str">
        <f ca="1">IFERROR(__xludf.DUMMYFUNCTION("GOOGLETRANSLATE(Portuguese!B78,""pt"",""en"")"),"Carrot cake with melt-in-your-mouth chocolate frosting")</f>
        <v>Carrot cake with melt-in-your-mouth chocolate frosting</v>
      </c>
      <c r="C78" s="2" t="str">
        <f ca="1">IFERROR(__xludf.DUMMYFUNCTION("GOOGLETRANSLATE(Portuguese!C78,""pt"",""en"")"),"2 cups chopped raw carrots
1 cup sugar
1 cup oil
4 eggs
1/2 teaspoon salt
2 cups all-purpose flour
1 heaping tablespoon baking powder
3 tablespoons Nesquik (chocolate powder)
1 1/2 sticks margarine
12 tablespoons sugar
10 tablespoons milk")</f>
        <v>2 cups chopped raw carrots
1 cup sugar
1 cup oil
4 eggs
1/2 teaspoon salt
2 cups all-purpose flour
1 heaping tablespoon baking powder
3 tablespoons Nesquik (chocolate powder)
1 1/2 sticks margarine
12 tablespoons sugar
10 tablespoons milk</v>
      </c>
      <c r="D78" s="2" t="str">
        <f ca="1">IFERROR(__xludf.DUMMYFUNCTION("GOOGLETRANSLATE(Portuguese!D78,""pt"",""en"")"),"Blend all ingredients in a blender, except for the flour and baking powder.
Then, in a large bowl, mix the blended mixture well with the flour and baking powder.
Pour into a baking pan greased with butter and dusted with sugar or flour.
Bake in a preheate"&amp;"d oven at 180°C (350°F) for about 40 minutes, or until golden brown.
Mix all ingredients and bring to a boil.
Make small holes in the still-warm cake and pour the mixture over it.")</f>
        <v>Blend all ingredients in a blender, except for the flour and baking powder.
Then, in a large bowl, mix the blended mixture well with the flour and baking powder.
Pour into a baking pan greased with butter and dusted with sugar or flour.
Bake in a preheated oven at 180°C (350°F) for about 40 minutes, or until golden brown.
Mix all ingredients and bring to a boil.
Make small holes in the still-warm cake and pour the mixture over it.</v>
      </c>
      <c r="E78" s="7" t="s">
        <v>310</v>
      </c>
    </row>
    <row r="79" spans="1:5" ht="72">
      <c r="A79" s="2">
        <v>77</v>
      </c>
      <c r="B79" s="2" t="str">
        <f ca="1">IFERROR(__xludf.DUMMYFUNCTION("GOOGLETRANSLATE(Portuguese!B79,""pt"",""en"")"),"Petit gateau")</f>
        <v>Petit gateau</v>
      </c>
      <c r="C79" s="2" t="str">
        <f ca="1">IFERROR(__xludf.DUMMYFUNCTION("GOOGLETRANSLATE(Portuguese!C79,""pt"",""en"")"),"200g semi-sweet chocolate
2 tablespoons unsalted butter
1/4 cup sugar
2 level tablespoons all-purpose flour
2 whole eggs (remove the membrane from the yolks)
2 egg yolks")</f>
        <v>200g semi-sweet chocolate
2 tablespoons unsalted butter
1/4 cup sugar
2 level tablespoons all-purpose flour
2 whole eggs (remove the membrane from the yolks)
2 egg yolks</v>
      </c>
      <c r="D79" s="2" t="str">
        <f ca="1">IFERROR(__xludf.DUMMYFUNCTION("GOOGLETRANSLATE(Portuguese!D79,""pt"",""en"")"),"Melt the butter and chocolate in a double boiler.
Beat the eggs and yolks with sugar in a mixer until very light.
Add the melted chocolate and wheat flour, mixing with a spatula.
Then, grease the mini tartlet molds, dust with wheat flour, and pour in the "&amp;"batter.
Preheat the oven and bake for 6 to 10 minutes (on high heat) until the cakes rise, but the center should remain soft.
Unmold while still warm.
Serve directly on a plate, accompanied by vanilla ice cream.")</f>
        <v>Melt the butter and chocolate in a double boiler.
Beat the eggs and yolks with sugar in a mixer until very light.
Add the melted chocolate and wheat flour, mixing with a spatula.
Then, grease the mini tartlet molds, dust with wheat flour, and pour in the batter.
Preheat the oven and bake for 6 to 10 minutes (on high heat) until the cakes rise, but the center should remain soft.
Unmold while still warm.
Serve directly on a plate, accompanied by vanilla ice cream.</v>
      </c>
      <c r="E79" s="7" t="s">
        <v>314</v>
      </c>
    </row>
    <row r="80" spans="1:5" ht="86.4">
      <c r="A80" s="2">
        <v>78</v>
      </c>
      <c r="B80" s="2" t="str">
        <f ca="1">IFERROR(__xludf.DUMMYFUNCTION("GOOGLETRANSLATE(Portuguese!B80,""pt"",""en"")"),"Chocolate dessert")</f>
        <v>Chocolate dessert</v>
      </c>
      <c r="C80" s="2" t="str">
        <f ca="1">IFERROR(__xludf.DUMMYFUNCTION("GOOGLETRANSLATE(Portuguese!C80,""pt"",""en"")"),"250g milk chocolate
250g semi-sweet chocolate
2 cans sweetened condensed milk
2 cans heavy cream
2 tablespoons margarine
2 boxes of strawberries")</f>
        <v>250g milk chocolate
250g semi-sweet chocolate
2 cans sweetened condensed milk
2 cans heavy cream
2 tablespoons margarine
2 boxes of strawberries</v>
      </c>
      <c r="D80" s="2" t="str">
        <f ca="1">IFERROR(__xludf.DUMMYFUNCTION("GOOGLETRANSLATE(Portuguese!D80,""pt"",""en"")"),"Place the cans of condensed milk in a saucepan with the butter and make a soft brigadeiro-like consistency.
Place in a serving dish and, on top of this soft brigadeiro, place the strawberries cut in half.
Set aside to make the topping.
To make the topping"&amp;", grate the milk chocolate and the semi-sweet chocolate and mix with the heavy cream.
Mix and microwave for 1 minute.
Remove and stir.
Microwave again for another minute.
Pour the topping over the strawberries and refrigerate, covered with plastic wrap.")</f>
        <v>Place the cans of condensed milk in a saucepan with the butter and make a soft brigadeiro-like consistency.
Place in a serving dish and, on top of this soft brigadeiro, place the strawberries cut in half.
Set aside to make the topping.
To make the topping, grate the milk chocolate and the semi-sweet chocolate and mix with the heavy cream.
Mix and microwave for 1 minute.
Remove and stir.
Microwave again for another minute.
Pour the topping over the strawberries and refrigerate, covered with plastic wrap.</v>
      </c>
      <c r="E80" s="7" t="s">
        <v>318</v>
      </c>
    </row>
    <row r="81" spans="1:5" ht="100.8">
      <c r="A81" s="2">
        <v>79</v>
      </c>
      <c r="B81" s="2" t="str">
        <f ca="1">IFERROR(__xludf.DUMMYFUNCTION("GOOGLETRANSLATE(Portuguese!B81,""pt"",""en"")"),"Microwave Brigadeirão")</f>
        <v>Microwave Brigadeirão</v>
      </c>
      <c r="C81" s="2" t="str">
        <f ca="1">IFERROR(__xludf.DUMMYFUNCTION("GOOGLETRANSLATE(Portuguese!C81,""pt"",""en"")"),"1 can of sweetened condensed milk
1 can of heavy cream
1 cup of cocoa powder
1 tablespoon of margarine
3 whole eggs
Chocolate sprinkles for decoration")</f>
        <v>1 can of sweetened condensed milk
1 can of heavy cream
1 cup of cocoa powder
1 tablespoon of margarine
3 whole eggs
Chocolate sprinkles for decoration</v>
      </c>
      <c r="D81" s="2" t="str">
        <f ca="1">IFERROR(__xludf.DUMMYFUNCTION("GOOGLETRANSLATE(Portuguese!D81,""pt"",""en"")"),"Place all ingredients in a blender and blend well until doubled in volume.
Pour the batter into a greased round pan with a hole in the center and microwave for 10 minutes.
After removing from the microwave, decorate with chocolate sprinkles and enjoy!")</f>
        <v>Place all ingredients in a blender and blend well until doubled in volume.
Pour the batter into a greased round pan with a hole in the center and microwave for 10 minutes.
After removing from the microwave, decorate with chocolate sprinkles and enjoy!</v>
      </c>
      <c r="E81" s="7" t="s">
        <v>322</v>
      </c>
    </row>
    <row r="82" spans="1:5" ht="100.8">
      <c r="A82" s="2">
        <v>80</v>
      </c>
      <c r="B82" s="2" t="str">
        <f ca="1">IFERROR(__xludf.DUMMYFUNCTION("GOOGLETRANSLATE(Portuguese!B82,""pt"",""en"")"),"Perfect American cookie")</f>
        <v>Perfect American cookie</v>
      </c>
      <c r="C82" s="2" t="str">
        <f ca="1">IFERROR(__xludf.DUMMYFUNCTION("GOOGLETRANSLATE(Portuguese!C82,""pt"",""en"")"),"125g unsalted butter at room temperature
3/4 cup sugar
1/2 cup brown sugar
1 egg
1 3/4 cups all-purpose flour
1 teaspoon baking powder
300g chopped semi-sweet chocolate
1 teaspoon vanilla extract
To make chocolate chip cookies, add 1/4 cup cocoa powder")</f>
        <v>125g unsalted butter at room temperature
3/4 cup sugar
1/2 cup brown sugar
1 egg
1 3/4 cups all-purpose flour
1 teaspoon baking powder
300g chopped semi-sweet chocolate
1 teaspoon vanilla extract
To make chocolate chip cookies, add 1/4 cup cocoa powder</v>
      </c>
      <c r="D82" s="2" t="str">
        <f ca="1">IFERROR(__xludf.DUMMYFUNCTION("GOOGLETRANSLATE(Portuguese!D82,""pt"",""en"")"),"Mix the butter, brown sugar, sugar, vanilla extract (and cocoa powder, if making chocolate-based cookies).
Add the beaten egg gradually and mix well.
Add the flour gradually and mix well (you can do this by hand or with a stand mixer).
Finally, add the ba"&amp;"king powder and mix just to incorporate it into the dough.
After the dough is well mixed, add the chopped chocolate.
Form small balls and bake in a preheated oven, on parchment paper, for approximately 15 to 20 minutes (250°C).")</f>
        <v>Mix the butter, brown sugar, sugar, vanilla extract (and cocoa powder, if making chocolate-based cookies).
Add the beaten egg gradually and mix well.
Add the flour gradually and mix well (you can do this by hand or with a stand mixer).
Finally, add the baking powder and mix just to incorporate it into the dough.
After the dough is well mixed, add the chopped chocolate.
Form small balls and bake in a preheated oven, on parchment paper, for approximately 15 to 20 minutes (250°C).</v>
      </c>
      <c r="E82" s="7" t="s">
        <v>326</v>
      </c>
    </row>
    <row r="83" spans="1:5" ht="72">
      <c r="A83" s="2">
        <v>81</v>
      </c>
      <c r="B83" s="2" t="str">
        <f ca="1">IFERROR(__xludf.DUMMYFUNCTION("GOOGLETRANSLATE(Portuguese!B83,""pt"",""en"")"),"Corn cake")</f>
        <v>Corn cake</v>
      </c>
      <c r="C83" s="2" t="str">
        <f ca="1">IFERROR(__xludf.DUMMYFUNCTION("GOOGLETRANSLATE(Portuguese!C83,""pt"",""en"")"),"Measuring cup (using a cream cheese container):
1/2 cup of oil
1 cup of milk
1 can of sweet corn with its liquid
3 eggs
1 1/2 cups of sugar
1 cup of cornmeal
1 tablespoon of baking powder")</f>
        <v>Measuring cup (using a cream cheese container):
1/2 cup of oil
1 cup of milk
1 can of sweet corn with its liquid
3 eggs
1 1/2 cups of sugar
1 cup of cornmeal
1 tablespoon of baking powder</v>
      </c>
      <c r="D83" s="2" t="str">
        <f ca="1">IFERROR(__xludf.DUMMYFUNCTION("GOOGLETRANSLATE(Portuguese!D83,""pt"",""en"")"),"Blend all ingredients in a blender.
Bake in a greased pan until golden brown.
It will be slightly moist.
It's delicious.")</f>
        <v>Blend all ingredients in a blender.
Bake in a greased pan until golden brown.
It will be slightly moist.
It's delicious.</v>
      </c>
      <c r="E83" s="7" t="s">
        <v>330</v>
      </c>
    </row>
    <row r="84" spans="1:5" ht="100.8">
      <c r="A84" s="2">
        <v>82</v>
      </c>
      <c r="B84" s="2" t="str">
        <f ca="1">IFERROR(__xludf.DUMMYFUNCTION("GOOGLETRANSLATE(Portuguese!B84,""pt"",""en"")"),"Blender orange cake")</f>
        <v>Blender orange cake</v>
      </c>
      <c r="C84" s="2" t="str">
        <f ca="1">IFERROR(__xludf.DUMMYFUNCTION("GOOGLETRANSLATE(Portuguese!C84,""pt"",""en"")"),"3 eggs
Juice of 2 oranges
1 cup of oil
2 cups of sugar
3 cups of wheat flour
1 tablespoon of baking powder
Juice of 1 orange
3 tablespoons of sugar")</f>
        <v>3 eggs
Juice of 2 oranges
1 cup of oil
2 cups of sugar
3 cups of wheat flour
1 tablespoon of baking powder
Juice of 1 orange
3 tablespoons of sugar</v>
      </c>
      <c r="D84" s="2" t="str">
        <f ca="1">IFERROR(__xludf.DUMMYFUNCTION("GOOGLETRANSLATE(Portuguese!D84,""pt"",""en"")"),"Blend the first 4 ingredients (except flour and baking powder) in a blender, pour into a bowl, gradually add the wheat flour and finally the baking powder.
Place in a greased and floured round bundt pan.
Bake in a preheated medium oven for 35 minutes, or "&amp;"until cooked through.
Heat the orange juice and sugar over low heat, then pour over the still-warm cake.")</f>
        <v>Blend the first 4 ingredients (except flour and baking powder) in a blender, pour into a bowl, gradually add the wheat flour and finally the baking powder.
Place in a greased and floured round bundt pan.
Bake in a preheated medium oven for 35 minutes, or until cooked through.
Heat the orange juice and sugar over low heat, then pour over the still-warm cake.</v>
      </c>
      <c r="E84" s="7" t="s">
        <v>334</v>
      </c>
    </row>
    <row r="85" spans="1:5" ht="72">
      <c r="A85" s="2">
        <v>83</v>
      </c>
      <c r="B85" s="2" t="str">
        <f ca="1">IFERROR(__xludf.DUMMYFUNCTION("GOOGLETRANSLATE(Portuguese!B85,""pt"",""en"")"),"Simple and easy mashed potatoes")</f>
        <v>Simple and easy mashed potatoes</v>
      </c>
      <c r="C85" s="2" t="str">
        <f ca="1">IFERROR(__xludf.DUMMYFUNCTION("GOOGLETRANSLATE(Portuguese!C85,""pt"",""en"")"),"1 kg of potatoes
1/2 cup of milk
2 tablespoons of margarine
Salt to taste
1 clove of garlic, crushed")</f>
        <v>1 kg of potatoes
1/2 cup of milk
2 tablespoons of margarine
Salt to taste
1 clove of garlic, crushed</v>
      </c>
      <c r="D85" s="2" t="str">
        <f ca="1">IFERROR(__xludf.DUMMYFUNCTION("GOOGLETRANSLATE(Portuguese!D85,""pt"",""en"")"),"Cook the potatoes until very soft.
Peel them while still hot and mash them using a potato ricer.
Pour the potatoes into a bowl and add the margarine, salt, and garlic, stirring until the margarine is completely melted.
Add the milk gradually and continue"&amp;" stirring.")</f>
        <v>Cook the potatoes until very soft.
Peel them while still hot and mash them using a potato ricer.
Pour the potatoes into a bowl and add the margarine, salt, and garlic, stirring until the margarine is completely melted.
Add the milk gradually and continue stirring.</v>
      </c>
      <c r="E85" s="7" t="s">
        <v>338</v>
      </c>
    </row>
    <row r="86" spans="1:5" ht="100.8">
      <c r="A86" s="2">
        <v>84</v>
      </c>
      <c r="B86" s="2" t="str">
        <f ca="1">IFERROR(__xludf.DUMMYFUNCTION("GOOGLETRANSLATE(Portuguese!B86,""pt"",""en"")"),"Chicken with creamed corn")</f>
        <v>Chicken with creamed corn</v>
      </c>
      <c r="C86" s="2" t="str">
        <f ca="1">IFERROR(__xludf.DUMMYFUNCTION("GOOGLETRANSLATE(Portuguese!C86,""pt"",""en"")"),"1 cooked and shredded chicken breast
Olive oil to taste
1/2 chopped onion
2 crushed garlic cloves
Salt
1/2 container of cream cheese
Black pepper to taste
1 can of drained sweet corn
1 can of milk
1 tablespoon of cornstarch
1 chicken bouillon cube
2 crush"&amp;"ed garlic cloves
1/2 chopped onion
Olive oil as needed
Grated cheese for sprinkling")</f>
        <v>1 cooked and shredded chicken breast
Olive oil to taste
1/2 chopped onion
2 crushed garlic cloves
Salt
1/2 container of cream cheese
Black pepper to taste
1 can of drained sweet corn
1 can of milk
1 tablespoon of cornstarch
1 chicken bouillon cube
2 crushed garlic cloves
1/2 chopped onion
Olive oil as needed
Grated cheese for sprinkling</v>
      </c>
      <c r="D86" s="2" t="str">
        <f ca="1">IFERROR(__xludf.DUMMYFUNCTION("GOOGLETRANSLATE(Portuguese!D86,""pt"",""en"")"),"In a saucepan, sauté the onion and garlic in olive oil.
Add the chicken and season to taste.
Incorporate the cream cheese.
Blend the corn, milk, cornstarch, and chicken broth in a blender.
In a saucepan, sauté the onion and garlic in olive oil.
Incorporat"&amp;"e the blended mixture, stirring until bubbling.
Arrange the chicken in a baking dish, top with the corn cream.
Cover with grated cheese and bake in a hot oven for about 30 minutes, or until golden brown.")</f>
        <v>In a saucepan, sauté the onion and garlic in olive oil.
Add the chicken and season to taste.
Incorporate the cream cheese.
Blend the corn, milk, cornstarch, and chicken broth in a blender.
In a saucepan, sauté the onion and garlic in olive oil.
Incorporate the blended mixture, stirring until bubbling.
Arrange the chicken in a baking dish, top with the corn cream.
Cover with grated cheese and bake in a hot oven for about 30 minutes, or until golden brown.</v>
      </c>
      <c r="E86" s="7" t="s">
        <v>342</v>
      </c>
    </row>
    <row r="87" spans="1:5" ht="86.4">
      <c r="A87" s="2">
        <v>85</v>
      </c>
      <c r="B87" s="2" t="str">
        <f ca="1">IFERROR(__xludf.DUMMYFUNCTION("GOOGLETRANSLATE(Portuguese!B87,""pt"",""en"")"),"Homemade Yakisoba")</f>
        <v>Homemade Yakisoba</v>
      </c>
      <c r="C87" s="2" t="str">
        <f ca="1">IFERROR(__xludf.DUMMYFUNCTION("GOOGLETRANSLATE(Portuguese!C87,""pt"",""en"")"),"300g spaghetti
1 large onion, cut into medium pieces
1 tablespoon oil
1/2 small bunch of broccoli
1/2 small bunch of cauliflower
10 tablespoons soy sauce
400g beef, cut into strips
100g mushrooms
1 carrot, sliced
250ml water
1 tablespoon cornstarch, disso"&amp;"lved in 50ml water
Chard to taste")</f>
        <v>300g spaghetti
1 large onion, cut into medium pieces
1 tablespoon oil
1/2 small bunch of broccoli
1/2 small bunch of cauliflower
10 tablespoons soy sauce
400g beef, cut into strips
100g mushrooms
1 carrot, sliced
250ml water
1 tablespoon cornstarch, dissolved in 50ml water
Chard to taste</v>
      </c>
      <c r="D87" s="2" t="str">
        <f ca="1">IFERROR(__xludf.DUMMYFUNCTION("GOOGLETRANSLATE(Portuguese!D87,""pt"",""en"")"),"Cook the pasta until al dente and set aside.
In a pan, add the olive oil, onion, and meat and sauté well.
Add the soy sauce and cook for 3 minutes over medium heat.
Add more water, wait for it to boil, and add the cornstarch.
Stir until thickened, reduce "&amp;"the heat, and add the mushrooms, cauliflower, broccoli, and carrots.
Cook for 8 minutes and finally add the bok choy and pasta.
Mix well, adjust the salt, and cover the pan for 1 more minute.
It's ready to serve!")</f>
        <v>Cook the pasta until al dente and set aside.
In a pan, add the olive oil, onion, and meat and sauté well.
Add the soy sauce and cook for 3 minutes over medium heat.
Add more water, wait for it to boil, and add the cornstarch.
Stir until thickened, reduce the heat, and add the mushrooms, cauliflower, broccoli, and carrots.
Cook for 8 minutes and finally add the bok choy and pasta.
Mix well, adjust the salt, and cover the pan for 1 more minute.
It's ready to serve!</v>
      </c>
      <c r="E87" s="7" t="s">
        <v>346</v>
      </c>
    </row>
    <row r="88" spans="1:5" ht="72">
      <c r="A88" s="2">
        <v>86</v>
      </c>
      <c r="B88" s="2" t="str">
        <f ca="1">IFERROR(__xludf.DUMMYFUNCTION("GOOGLETRANSLATE(Portuguese!B88,""pt"",""en"")"),"Lemon pie")</f>
        <v>Lemon pie</v>
      </c>
      <c r="C88" s="2" t="str">
        <f ca="1">IFERROR(__xludf.DUMMYFUNCTION("GOOGLETRANSLATE(Portuguese!C88,""pt"",""en"")"),"200g cornstarch cookies
150g margarine
1 can sweetened condensed milk (395g)
1 carton heavy cream (200g)
Juice of 4 lemons
Zest of 2 lemons
3 or 4 egg whites
3 tablespoons sugar
Zest of 2 lemons for decoration")</f>
        <v>200g cornstarch cookies
150g margarine
1 can sweetened condensed milk (395g)
1 carton heavy cream (200g)
Juice of 4 lemons
Zest of 2 lemons
3 or 4 egg whites
3 tablespoons sugar
Zest of 2 lemons for decoration</v>
      </c>
      <c r="D88" s="2" t="str">
        <f ca="1">IFERROR(__xludf.DUMMYFUNCTION("GOOGLETRANSLATE(Portuguese!D88,""pt"",""en"")"),"Crush the cornstarch cookies in a blender or food processor.
Add the margarine and blend a little more.
Pour the mixture into a removable-bottom pan (27 cm in diameter).
With your hands, spread the crushed cookies on the bottom and sides of the pan, cover"&amp;"ing the entire area evenly.
Bake in a preheated medium oven (180°C) for approximately 10 minutes.
Blend all the ingredients in a blender (except the lemon zest) until you obtain a smooth and firm cream.
Fill the already baked crust and refrigerate for 30 "&amp;"minutes.
Beat the egg whites until stiff peaks form and add the sugar.
Mix until you obtain a meringue consistency and bake until golden brown.
Unmold the tart (without removing the false bottom), pour the topping and add the lemon zest.")</f>
        <v>Crush the cornstarch cookies in a blender or food processor.
Add the margarine and blend a little more.
Pour the mixture into a removable-bottom pan (27 cm in diameter).
With your hands, spread the crushed cookies on the bottom and sides of the pan, covering the entire area evenly.
Bake in a preheated medium oven (180°C) for approximately 10 minutes.
Blend all the ingredients in a blender (except the lemon zest) until you obtain a smooth and firm cream.
Fill the already baked crust and refrigerate for 30 minutes.
Beat the egg whites until stiff peaks form and add the sugar.
Mix until you obtain a meringue consistency and bake until golden brown.
Unmold the tart (without removing the false bottom), pour the topping and add the lemon zest.</v>
      </c>
      <c r="E88" s="7" t="s">
        <v>350</v>
      </c>
    </row>
    <row r="89" spans="1:5" ht="100.8">
      <c r="A89" s="2">
        <v>87</v>
      </c>
      <c r="B89" s="2" t="str">
        <f ca="1">IFERROR(__xludf.DUMMYFUNCTION("GOOGLETRANSLATE(Portuguese!B89,""pt"",""en"")"),"Microwave Brigadeiro")</f>
        <v>Microwave Brigadeiro</v>
      </c>
      <c r="C89" s="2" t="str">
        <f ca="1">IFERROR(__xludf.DUMMYFUNCTION("GOOGLETRANSLATE(Portuguese!C89,""pt"",""en"")"),"1 can of sweetened condensed milk
4 tablespoons of cocoa powder or chocolate powder
1 tablespoon of butter
Chocolate sprinkles or colored sprinkles")</f>
        <v>1 can of sweetened condensed milk
4 tablespoons of cocoa powder or chocolate powder
1 tablespoon of butter
Chocolate sprinkles or colored sprinkles</v>
      </c>
      <c r="D89" s="2" t="str">
        <f ca="1">IFERROR(__xludf.DUMMYFUNCTION("GOOGLETRANSLATE(Portuguese!D89,""pt"",""en"")"),"In a microwave-safe bowl, preferably round and with high sides, mix all the ingredients.
Microwave for 6 minutes on high power or using the ""brigadeiro"" setting on your microwave. Stir the mixture halfway through.
Once cooked, remove from the oven and s"&amp;"tir until the mixture is smooth and shiny.
Refrigerate to cool, then roll the candies, coat them in sprinkles, and place them in paper cups.")</f>
        <v>In a microwave-safe bowl, preferably round and with high sides, mix all the ingredients.
Microwave for 6 minutes on high power or using the "brigadeiro" setting on your microwave. Stir the mixture halfway through.
Once cooked, remove from the oven and stir until the mixture is smooth and shiny.
Refrigerate to cool, then roll the candies, coat them in sprinkles, and place them in paper cups.</v>
      </c>
      <c r="E89" s="7" t="s">
        <v>354</v>
      </c>
    </row>
    <row r="90" spans="1:5" ht="86.4">
      <c r="A90" s="2">
        <v>88</v>
      </c>
      <c r="B90" s="2" t="str">
        <f ca="1">IFERROR(__xludf.DUMMYFUNCTION("GOOGLETRANSLATE(Portuguese!B90,""pt"",""en"")"),"Cheese ball")</f>
        <v>Cheese ball</v>
      </c>
      <c r="C90" s="2" t="str">
        <f ca="1">IFERROR(__xludf.DUMMYFUNCTION("GOOGLETRANSLATE(Portuguese!C90,""pt"",""en"")"),"1 cup (tea) of milk
1 cup (tea) of wheat flour
1 tablespoon of margarine
1 egg yolk
1 pinch of salt
white cheese or mozzarella to taste
oil for frying")</f>
        <v>1 cup (tea) of milk
1 cup (tea) of wheat flour
1 tablespoon of margarine
1 egg yolk
1 pinch of salt
white cheese or mozzarella to taste
oil for frying</v>
      </c>
      <c r="D90" s="2" t="str">
        <f ca="1">IFERROR(__xludf.DUMMYFUNCTION("GOOGLETRANSLATE(Portuguese!D90,""pt"",""en"")"),"In a saucepan, add the milk, wheat flour, margarine, egg yolk, and salt.
Cook over low heat and stir with a fork until the dough comes away from the sides of the pan, then let it cool.
Shape the dough into small balls and fill with cheese, then coat the b"&amp;"alls in egg yolk and breadcrumbs.
In a pan, add the oil, and once hot, add the balls and fry them.")</f>
        <v>In a saucepan, add the milk, wheat flour, margarine, egg yolk, and salt.
Cook over low heat and stir with a fork until the dough comes away from the sides of the pan, then let it cool.
Shape the dough into small balls and fill with cheese, then coat the balls in egg yolk and breadcrumbs.
In a pan, add the oil, and once hot, add the balls and fry them.</v>
      </c>
      <c r="E90" s="7" t="s">
        <v>358</v>
      </c>
    </row>
    <row r="91" spans="1:5" ht="72">
      <c r="A91" s="2">
        <v>89</v>
      </c>
      <c r="B91" s="2" t="str">
        <f ca="1">IFERROR(__xludf.DUMMYFUNCTION("GOOGLETRANSLATE(Portuguese!B91,""pt"",""en"")"),"Easy ice cream")</f>
        <v>Easy ice cream</v>
      </c>
      <c r="C91" s="2" t="str">
        <f ca="1">IFERROR(__xludf.DUMMYFUNCTION("GOOGLETRANSLATE(Portuguese!C91,""pt"",""en"")"),"1 can of sweetened condensed milk
1 can of heavy cream
1 packet of gelatin (any flavor)")</f>
        <v>1 can of sweetened condensed milk
1 can of heavy cream
1 packet of gelatin (any flavor)</v>
      </c>
      <c r="D91" s="2" t="str">
        <f ca="1">IFERROR(__xludf.DUMMYFUNCTION("GOOGLETRANSLATE(Portuguese!D91,""pt"",""en"")"),"Prepare the gelatin as usual and do not refrigerate.
Once ready, while still hot, place it in a blender along with the condensed milk and heavy cream.
Blend well.
Then place it in a covered container in the freezer to prevent ice crystals from forming.
On"&amp;"ce frozen, remove from the freezer and beat in a mixer until creamy.
Return to the freezer.
It's ready, an easy, practical and delicious ice cream.")</f>
        <v>Prepare the gelatin as usual and do not refrigerate.
Once ready, while still hot, place it in a blender along with the condensed milk and heavy cream.
Blend well.
Then place it in a covered container in the freezer to prevent ice crystals from forming.
Once frozen, remove from the freezer and beat in a mixer until creamy.
Return to the freezer.
It's ready, an easy, practical and delicious ice cream.</v>
      </c>
      <c r="E91" s="7" t="s">
        <v>362</v>
      </c>
    </row>
    <row r="92" spans="1:5" ht="86.4">
      <c r="A92" s="2">
        <v>90</v>
      </c>
      <c r="B92" s="2" t="str">
        <f ca="1">IFERROR(__xludf.DUMMYFUNCTION("GOOGLETRANSLATE(Portuguese!B92,""pt"",""en"")"),"Homemade condensed milk")</f>
        <v>Homemade condensed milk</v>
      </c>
      <c r="C92" s="2" t="str">
        <f ca="1">IFERROR(__xludf.DUMMYFUNCTION("GOOGLETRANSLATE(Portuguese!C92,""pt"",""en"")"),"1 cup of powdered milk
1 cup of granulated sugar
1/2 cup of boiling water")</f>
        <v>1 cup of powdered milk
1 cup of granulated sugar
1/2 cup of boiling water</v>
      </c>
      <c r="D92" s="2" t="str">
        <f ca="1">IFERROR(__xludf.DUMMYFUNCTION("GOOGLETRANSLATE(Portuguese!D92,""pt"",""en"")"),"Place the boiling water, powdered milk, and sugar in a blender.
Blend until it reaches the consistency of condensed milk.
Yield: 340g.")</f>
        <v>Place the boiling water, powdered milk, and sugar in a blender.
Blend until it reaches the consistency of condensed milk.
Yield: 340g.</v>
      </c>
      <c r="E92" s="7" t="s">
        <v>366</v>
      </c>
    </row>
    <row r="93" spans="1:5" ht="86.4">
      <c r="A93" s="2">
        <v>91</v>
      </c>
      <c r="B93" s="2" t="str">
        <f ca="1">IFERROR(__xludf.DUMMYFUNCTION("GOOGLETRANSLATE(Portuguese!B93,""pt"",""en"")"),"Milk pudding")</f>
        <v>Milk pudding</v>
      </c>
      <c r="C93" s="2" t="str">
        <f ca="1">IFERROR(__xludf.DUMMYFUNCTION("GOOGLETRANSLATE(Portuguese!C93,""pt"",""en"")"),"3 eggs
1 can of sweetened condensed milk
1 can of milk (using the sweetened condensed milk can as a measure)
3 tablespoons of sugar")</f>
        <v>3 eggs
1 can of sweetened condensed milk
1 can of milk (using the sweetened condensed milk can as a measure)
3 tablespoons of sugar</v>
      </c>
      <c r="D93" s="2" t="str">
        <f ca="1">IFERROR(__xludf.DUMMYFUNCTION("GOOGLETRANSLATE(Portuguese!D93,""pt"",""en"")"),"Turn the oven on to preheat for 10 minutes on low heat.
In a blender, beat the eggs, sweetened condensed milk, and milk for 3 minutes.
Make a caramel with the sugar and let it cool slightly.
Pour the caramel into a bundt pan, then pour the pudding mixture"&amp;" over the caramel.
Bake in the oven (no need for a water bath) until golden brown on top, about 40 minutes.
Let it cool and refrigerate (it's best to make it the day before).")</f>
        <v>Turn the oven on to preheat for 10 minutes on low heat.
In a blender, beat the eggs, sweetened condensed milk, and milk for 3 minutes.
Make a caramel with the sugar and let it cool slightly.
Pour the caramel into a bundt pan, then pour the pudding mixture over the caramel.
Bake in the oven (no need for a water bath) until golden brown on top, about 40 minutes.
Let it cool and refrigerate (it's best to make it the day before).</v>
      </c>
      <c r="E93" s="7" t="s">
        <v>370</v>
      </c>
    </row>
    <row r="94" spans="1:5" ht="100.8">
      <c r="A94" s="2">
        <v>92</v>
      </c>
      <c r="B94" s="2" t="str">
        <f ca="1">IFERROR(__xludf.DUMMYFUNCTION("GOOGLETRANSLATE(Portuguese!B94,""pt"",""en"")"),"Ground beef casserole")</f>
        <v>Ground beef casserole</v>
      </c>
      <c r="C94" s="2" t="str">
        <f ca="1">IFERROR(__xludf.DUMMYFUNCTION("GOOGLETRANSLATE(Portuguese!C94,""pt"",""en"")"),"1 kg of potatoes
500 g of ground beef
200 g of mozzarella cheese
olive oil
1 onion
1 clove of crushed garlic
salt to taste
white pepper to taste
parsley to taste
1/2 cup of milk
2 tablespoons of butter")</f>
        <v>1 kg of potatoes
500 g of ground beef
200 g of mozzarella cheese
olive oil
1 onion
1 clove of crushed garlic
salt to taste
white pepper to taste
parsley to taste
1/2 cup of milk
2 tablespoons of butter</v>
      </c>
      <c r="D94" s="2" t="str">
        <f ca="1">IFERROR(__xludf.DUMMYFUNCTION("GOOGLETRANSLATE(Portuguese!D94,""pt"",""en"")"),"Peel the potatoes, cut them in half, and cook them in salted water.
Once cooked, mash the potatoes, add the milk and butter, mix well until a puree forms, and set aside.
In a pan, add a drizzle of olive oil, the onion, the garlic, and sauté the ground bee"&amp;"f.
Season with salt, white pepper, and parsley, and cook until the water that forms in the pan evaporates.
Line a baking dish with half of the mashed potatoes.
Add a layer of cheese and a layer of ground beef.
Repeat the process and finish with grated che"&amp;"ese on top.
Bake for 40 minutes.")</f>
        <v>Peel the potatoes, cut them in half, and cook them in salted water.
Once cooked, mash the potatoes, add the milk and butter, mix well until a puree forms, and set aside.
In a pan, add a drizzle of olive oil, the onion, the garlic, and sauté the ground beef.
Season with salt, white pepper, and parsley, and cook until the water that forms in the pan evaporates.
Line a baking dish with half of the mashed potatoes.
Add a layer of cheese and a layer of ground beef.
Repeat the process and finish with grated cheese on top.
Bake for 40 minutes.</v>
      </c>
      <c r="E94" s="7" t="s">
        <v>374</v>
      </c>
    </row>
    <row r="95" spans="1:5" ht="72">
      <c r="A95" s="2">
        <v>93</v>
      </c>
      <c r="B95" s="2" t="str">
        <f ca="1">IFERROR(__xludf.DUMMYFUNCTION("GOOGLETRANSLATE(Portuguese!B95,""pt"",""en"")"),"Raindrop fritters")</f>
        <v>Raindrop fritters</v>
      </c>
      <c r="C95" s="2" t="str">
        <f ca="1">IFERROR(__xludf.DUMMYFUNCTION("GOOGLETRANSLATE(Portuguese!C95,""pt"",""en"")"),"1 cup all-purpose flour
1 cup cornstarch
1/2 cup milk
2 eggs
4 tablespoons sugar
1 tablespoon baking powder")</f>
        <v>1 cup all-purpose flour
1 cup cornstarch
1/2 cup milk
2 eggs
4 tablespoons sugar
1 tablespoon baking powder</v>
      </c>
      <c r="D95" s="2" t="str">
        <f ca="1">IFERROR(__xludf.DUMMYFUNCTION("GOOGLETRANSLATE(Portuguese!D95,""pt"",""en"")"),"Beat the sugar with the eggs and add the remaining ingredients.
In a pan, heat the oil and fry spoonfuls over low heat.
After frying, coat the fritters in cinnamon sugar.")</f>
        <v>Beat the sugar with the eggs and add the remaining ingredients.
In a pan, heat the oil and fry spoonfuls over low heat.
After frying, coat the fritters in cinnamon sugar.</v>
      </c>
      <c r="E95" s="7" t="s">
        <v>378</v>
      </c>
    </row>
    <row r="96" spans="1:5" ht="72">
      <c r="A96" s="2">
        <v>94</v>
      </c>
      <c r="B96" s="2" t="str">
        <f ca="1">IFERROR(__xludf.DUMMYFUNCTION("GOOGLETRANSLATE(Portuguese!B96,""pt"",""en"")"),"Breaded steak")</f>
        <v>Breaded steak</v>
      </c>
      <c r="C96" s="2" t="str">
        <f ca="1">IFERROR(__xludf.DUMMYFUNCTION("GOOGLETRANSLATE(Portuguese!C96,""pt"",""en"")"),"1/2 kg of beef (round steak, sirloin, or tenderloin)
3 beaten eggs
Breadcrumbs to taste
Wheat flour to taste
3 cloves of crushed garlic (optional)
Salt to taste
Black pepper to taste")</f>
        <v>1/2 kg of beef (round steak, sirloin, or tenderloin)
3 beaten eggs
Breadcrumbs to taste
Wheat flour to taste
3 cloves of crushed garlic (optional)
Salt to taste
Black pepper to taste</v>
      </c>
      <c r="D96" s="2" t="str">
        <f ca="1">IFERROR(__xludf.DUMMYFUNCTION("GOOGLETRANSLATE(Portuguese!D96,""pt"",""en"")"),"Season the steaks to taste and set aside.
In a shallow dish, beat the eggs until smooth.
Separate the breadcrumbs and wheat flour into different dishes.
Dress the steaks in wheat flour, then in the beaten eggs, and finally in the breadcrumbs.
In a frying "&amp;"pan, fry the steaks in hot oil until golden brown.
When removing from the pan, place the steaks on paper towels to absorb excess oil.")</f>
        <v>Season the steaks to taste and set aside.
In a shallow dish, beat the eggs until smooth.
Separate the breadcrumbs and wheat flour into different dishes.
Dress the steaks in wheat flour, then in the beaten eggs, and finally in the breadcrumbs.
In a frying pan, fry the steaks in hot oil until golden brown.
When removing from the pan, place the steaks on paper towels to absorb excess oil.</v>
      </c>
      <c r="E96" s="7" t="s">
        <v>382</v>
      </c>
    </row>
    <row r="97" spans="1:5" ht="100.8">
      <c r="A97" s="2">
        <v>95</v>
      </c>
      <c r="B97" s="2" t="str">
        <f ca="1">IFERROR(__xludf.DUMMYFUNCTION("GOOGLETRANSLATE(Portuguese!B97,""pt"",""en"")"),"Super easy brownie")</f>
        <v>Super easy brownie</v>
      </c>
      <c r="C97" s="2" t="str">
        <f ca="1">IFERROR(__xludf.DUMMYFUNCTION("GOOGLETRANSLATE(Portuguese!C97,""pt"",""en"")"),"6 heaping tablespoons of unsalted margarine
3/4 cup chocolate powder
1/2 cup cocoa powder
1 1/4 cups all-purpose flour
2 cups sugar
4 eggs
2 pinches of salt
1 teaspoon vanilla extract or essence
1 bar of semi-sweet chocolate, chopped into small cubes
1"&amp;"/2 cup chopped walnuts or granulated cashews")</f>
        <v>6 heaping tablespoons of unsalted margarine
3/4 cup chocolate powder
1/2 cup cocoa powder
1 1/4 cups all-purpose flour
2 cups sugar
4 eggs
2 pinches of salt
1 teaspoon vanilla extract or essence
1 bar of semi-sweet chocolate, chopped into small cubes
1/2 cup chopped walnuts or granulated cashews</v>
      </c>
      <c r="D97" s="2" t="str">
        <f ca="1">IFERROR(__xludf.DUMMYFUNCTION("GOOGLETRANSLATE(Portuguese!D97,""pt"",""en"")"),"Mix the eggs and sugar.
Then, add all the other ingredients until a smooth batter forms.
Pour into a baking pan lined with parchment paper and bake in a moderate oven for 40 minutes.
The brownie will be ready when the top is lightly browned and, when a to"&amp;"othpick inserted comes out slightly moist (due to the melted chocolate).
Cut into squares while still warm and serve with a scoop of vanilla ice cream, or freeze in a freezer bag.
To defrost, place the brownie on a dessert plate and microwave on high for "&amp;"1 minute.")</f>
        <v>Mix the eggs and sugar.
Then, add all the other ingredients until a smooth batter forms.
Pour into a baking pan lined with parchment paper and bake in a moderate oven for 40 minutes.
The brownie will be ready when the top is lightly browned and, when a toothpick inserted comes out slightly moist (due to the melted chocolate).
Cut into squares while still warm and serve with a scoop of vanilla ice cream, or freeze in a freezer bag.
To defrost, place the brownie on a dessert plate and microwave on high for 1 minute.</v>
      </c>
      <c r="E97" s="7" t="s">
        <v>386</v>
      </c>
    </row>
    <row r="98" spans="1:5" ht="86.4">
      <c r="A98" s="2">
        <v>96</v>
      </c>
      <c r="B98" s="2" t="str">
        <f ca="1">IFERROR(__xludf.DUMMYFUNCTION("GOOGLETRANSLATE(Portuguese!B98,""pt"",""en"")"),"Potato gnocchi")</f>
        <v>Potato gnocchi</v>
      </c>
      <c r="C98" s="2" t="str">
        <f ca="1">IFERROR(__xludf.DUMMYFUNCTION("GOOGLETRANSLATE(Portuguese!C98,""pt"",""en"")"),"6 medium potatoes
1 cup of wheat flour
Salt to taste
1 can of tomato sauce
1/2 onion
1 tablespoon of olive oil
2 beef bouillon cubes
1/2 kg of ground beef
1 package of grated cheese")</f>
        <v>6 medium potatoes
1 cup of wheat flour
Salt to taste
1 can of tomato sauce
1/2 onion
1 tablespoon of olive oil
2 beef bouillon cubes
1/2 kg of ground beef
1 package of grated cheese</v>
      </c>
      <c r="D98" s="2" t="str">
        <f ca="1">IFERROR(__xludf.DUMMYFUNCTION("GOOGLETRANSLATE(Portuguese!D98,""pt"",""en"")"),"Cook the potatoes in water until tender.
Peel them and mash them while still hot.
Gradually add the flour and salt, kneading well.
Place the dough on a floured surface and roll it into logs.
Cut each log into pieces of approximately 2 cm.
Bring to a boil "&amp;"in a pot with plenty of salted water.
When the water boils, add the gnocchi until they begin to float.
Place cold water in a bowl with a colander inside, remove the cooked gnocchi and place them in the colander to give them a thermal shock.
Repeat the pro"&amp;"cess until all the dough is cooked.
Drain well and place the gnocchi in a baking dish, set aside.
Finely chop the onion and sauté it in olive oil in a pan.
Add the meat and the beef bouillon cubes.
Stir well, and when the meat is cooked, add the sauce an"&amp;"d let it cook for another 4 minutes.
Pour it over the gnocchi, sprinkle cheese on top, and bake until golden brown. Serve hot and enjoy!")</f>
        <v>Cook the potatoes in water until tender.
Peel them and mash them while still hot.
Gradually add the flour and salt, kneading well.
Place the dough on a floured surface and roll it into logs.
Cut each log into pieces of approximately 2 cm.
Bring to a boil in a pot with plenty of salted water.
When the water boils, add the gnocchi until they begin to float.
Place cold water in a bowl with a colander inside, remove the cooked gnocchi and place them in the colander to give them a thermal shock.
Repeat the process until all the dough is cooked.
Drain well and place the gnocchi in a baking dish, set aside.
Finely chop the onion and sauté it in olive oil in a pan.
Add the meat and the beef bouillon cubes.
Stir well, and when the meat is cooked, add the sauce and let it cook for another 4 minutes.
Pour it over the gnocchi, sprinkle cheese on top, and bake until golden brown. Serve hot and enjoy!</v>
      </c>
      <c r="E98" s="7" t="s">
        <v>390</v>
      </c>
    </row>
    <row r="99" spans="1:5" ht="86.4">
      <c r="A99" s="2">
        <v>97</v>
      </c>
      <c r="B99" s="2" t="str">
        <f ca="1">IFERROR(__xludf.DUMMYFUNCTION("GOOGLETRANSLATE(Portuguese!B99,""pt"",""en"")"),"Simple chicken gratin")</f>
        <v>Simple chicken gratin</v>
      </c>
      <c r="C99" s="2" t="str">
        <f ca="1">IFERROR(__xludf.DUMMYFUNCTION("GOOGLETRANSLATE(Portuguese!C99,""pt"",""en"")"),"1 kg shredded chicken breast
1 can of tomato sauce
2 chicken bouillon cubes
1 cup of water
1 tablespoon of wheat flour
1 can of cream
Grated cheese to taste
100 g melted butter")</f>
        <v>1 kg shredded chicken breast
1 can of tomato sauce
2 chicken bouillon cubes
1 cup of water
1 tablespoon of wheat flour
1 can of cream
Grated cheese to taste
100 g melted butter</v>
      </c>
      <c r="D99" s="2" t="str">
        <f ca="1">IFERROR(__xludf.DUMMYFUNCTION("GOOGLETRANSLATE(Portuguese!D99,""pt"",""en"")"),"Place the water in a saucepan and dissolve the chicken bouillon cubes.
Add the tomato sauce and chicken, stir until it begins to boil.
Add the flour and stir until thickened.
Add the cream, mix well.
Pour everything into a baking dish and spread the butte"&amp;"r and grated cheese on top.
Bake in the oven to gratin for about 20 minutes.")</f>
        <v>Place the water in a saucepan and dissolve the chicken bouillon cubes.
Add the tomato sauce and chicken, stir until it begins to boil.
Add the flour and stir until thickened.
Add the cream, mix well.
Pour everything into a baking dish and spread the butter and grated cheese on top.
Bake in the oven to gratin for about 20 minutes.</v>
      </c>
      <c r="E99" s="7" t="s">
        <v>394</v>
      </c>
    </row>
    <row r="100" spans="1:5" ht="72">
      <c r="A100" s="2">
        <v>98</v>
      </c>
      <c r="B100" s="2" t="str">
        <f ca="1">IFERROR(__xludf.DUMMYFUNCTION("GOOGLETRANSLATE(Portuguese!B100,""pt"",""en"")"),"Knee")</f>
        <v>Knee</v>
      </c>
      <c r="C100" s="2" t="str">
        <f ca="1">IFERROR(__xludf.DUMMYFUNCTION("GOOGLETRANSLATE(Portuguese!C100,""pt"",""en"")"),"1 cup of warm milk
30g of bread yeast
1 level tablespoon of sugar
1 teaspoon of salt
1/2 cup of oil
1/2 kg of wheat flour (more or less)
Cheese
Ham")</f>
        <v>1 cup of warm milk
30g of bread yeast
1 level tablespoon of sugar
1 teaspoon of salt
1/2 cup of oil
1/2 kg of wheat flour (more or less)
Cheese
Ham</v>
      </c>
      <c r="D100" s="2" t="str">
        <f ca="1">IFERROR(__xludf.DUMMYFUNCTION("GOOGLETRANSLATE(Portuguese!D100,""pt"",""en"")"),"Dissolve the yeast with the sugar. Add the oil, milk, and all the other ingredients. Let it rest for 15 minutes.
Make small balls. Then, flatten the dough and fill it with a slice of cheese and another of ham. Roll it up like a Swiss roll and brush with "&amp;"egg yolk. Bake until golden brown.")</f>
        <v>Dissolve the yeast with the sugar. Add the oil, milk, and all the other ingredients. Let it rest for 15 minutes.
Make small balls. Then, flatten the dough and fill it with a slice of cheese and another of ham. Roll it up like a Swiss roll and brush with egg yolk. Bake until golden brown.</v>
      </c>
      <c r="E100" s="7" t="s">
        <v>398</v>
      </c>
    </row>
    <row r="101" spans="1:5" ht="72">
      <c r="A101" s="2">
        <v>99</v>
      </c>
      <c r="B101" s="2" t="str">
        <f ca="1">IFERROR(__xludf.DUMMYFUNCTION("GOOGLETRANSLATE(Portuguese!B101,""pt"",""en"")"),"Creamy chicken")</f>
        <v>Creamy chicken</v>
      </c>
      <c r="C101" s="2" t="str">
        <f ca="1">IFERROR(__xludf.DUMMYFUNCTION("GOOGLETRANSLATE(Portuguese!C101,""pt"",""en"")"),"500g of skinless, cleaned chicken breast fillets
1 can of cream (with whey)
1 packet of onion soup mix
1 cup of cream cheese
1 can of corn with water
Potato sticks for sprinkling")</f>
        <v>500g of skinless, cleaned chicken breast fillets
1 can of cream (with whey)
1 packet of onion soup mix
1 cup of cream cheese
1 can of corn with water
Potato sticks for sprinkling</v>
      </c>
      <c r="D101" s="2" t="str">
        <f ca="1">IFERROR(__xludf.DUMMYFUNCTION("GOOGLETRANSLATE(Portuguese!D101,""pt"",""en"")"),"Arrange the chicken pieces in a glass ovenproof dish.
Blend all the other ingredients except the potato in a blender.
Pour this cream over the chicken and bake in a preheated oven for about 30 minutes.
Show some potato sticks on top, return to the oven fo"&amp;"r another 5 minutes and serve with white rice.")</f>
        <v>Arrange the chicken pieces in a glass ovenproof dish.
Blend all the other ingredients except the potato in a blender.
Pour this cream over the chicken and bake in a preheated oven for about 30 minutes.
Show some potato sticks on top, return to the oven for another 5 minutes and serve with white rice.</v>
      </c>
      <c r="E101" s="7" t="s">
        <v>402</v>
      </c>
    </row>
    <row r="102" spans="1:5" ht="100.8">
      <c r="A102" s="2">
        <v>100</v>
      </c>
      <c r="B102" s="2" t="str">
        <f ca="1">IFERROR(__xludf.DUMMYFUNCTION("GOOGLETRANSLATE(Portuguese!B102,""pt"",""en"")"),"Oven-baked picanha with coarse salt.")</f>
        <v>Oven-baked picanha with coarse salt.</v>
      </c>
      <c r="C102" s="2" t="str">
        <f ca="1">IFERROR(__xludf.DUMMYFUNCTION("GOOGLETRANSLATE(Portuguese!C102,""pt"",""en"")"),"1 piece of Picanha (rump cap) weighing approximately 1 kg
3 kg of coarse salt
4 tablespoons of butter
4 tablespoons of olive oil
1 onion (chopped)")</f>
        <v>1 piece of Picanha (rump cap) weighing approximately 1 kg
3 kg of coarse salt
4 tablespoons of butter
4 tablespoons of olive oil
1 onion (chopped)</v>
      </c>
      <c r="D102" s="2" t="str">
        <f ca="1">IFERROR(__xludf.DUMMYFUNCTION("GOOGLETRANSLATE(Portuguese!D102,""pt"",""en"")"),"Cover the bottom of a baking dish with 1 kg of coarse salt.
Place the picanha with the fat side up. Tip: the picanha can be baked frozen.
Cover the meat with the remaining salt, leaving no part of the meat exposed.
Place the baking dish in the oven at 20"&amp;"0 degrees Celsius.
Remove the salt layer and slice.
Heat the butter and olive oil together in a frying pan, sauté the onion briefly, and pour over the prepared picanha.")</f>
        <v>Cover the bottom of a baking dish with 1 kg of coarse salt.
Place the picanha with the fat side up. Tip: the picanha can be baked frozen.
Cover the meat with the remaining salt, leaving no part of the meat exposed.
Place the baking dish in the oven at 200 degrees Celsius.
Remove the salt layer and slice.
Heat the butter and olive oil together in a frying pan, sauté the onion briefly, and pour over the prepared picanha.</v>
      </c>
      <c r="E102" s="7" t="s">
        <v>406</v>
      </c>
    </row>
    <row r="103" spans="1:5" ht="86.4">
      <c r="A103" s="2">
        <v>101</v>
      </c>
      <c r="B103" s="2" t="str">
        <f ca="1">IFERROR(__xludf.DUMMYFUNCTION("GOOGLETRANSLATE(Portuguese!B103,""pt"",""en"")"),"Cornstarch cookie")</f>
        <v>Cornstarch cookie</v>
      </c>
      <c r="C103" s="2" t="str">
        <f ca="1">IFERROR(__xludf.DUMMYFUNCTION("GOOGLETRANSLATE(Portuguese!C103,""pt"",""en"")"),"1 cup (tea) of wheat flour
4 cups (tea) of cornstarch
1 cup (tea) of sugar
2 cups (tea) of unsalted margarine
Greased coconut to taste")</f>
        <v>1 cup (tea) of wheat flour
4 cups (tea) of cornstarch
1 cup (tea) of sugar
2 cups (tea) of unsalted margarine
Greased coconut to taste</v>
      </c>
      <c r="D103" s="2" t="str">
        <f ca="1">IFERROR(__xludf.DUMMYFUNCTION("GOOGLETRANSLATE(Portuguese!D103,""pt"",""en"")"),"Combine all ingredients and mix well, kneading thoroughly.
Form into balls, place them on a baking sheet (no need to grease it).
Using a fork, press the balls down slightly.
Bake in a moderate oven for 10 minutes.")</f>
        <v>Combine all ingredients and mix well, kneading thoroughly.
Form into balls, place them on a baking sheet (no need to grease it).
Using a fork, press the balls down slightly.
Bake in a moderate oven for 10 minutes.</v>
      </c>
      <c r="E103" s="7" t="s">
        <v>410</v>
      </c>
    </row>
    <row r="104" spans="1:5" ht="100.8">
      <c r="A104" s="2">
        <v>102</v>
      </c>
      <c r="B104" s="2" t="str">
        <f ca="1">IFERROR(__xludf.DUMMYFUNCTION("GOOGLETRANSLATE(Portuguese!B104,""pt"",""en"")"),"Dried beef casserole")</f>
        <v>Dried beef casserole</v>
      </c>
      <c r="C104" s="2" t="str">
        <f ca="1">IFERROR(__xludf.DUMMYFUNCTION("GOOGLETRANSLATE(Portuguese!C104,""pt"",""en"")"),"1 kg cooked cassava
1 can of cream with whey
2 tablespoons margarine
1/2 kg of desalted and cooked dried beef
1 medium onion, finely chopped
4 cloves of garlic, crushed
2 tomatoes, peeled and chopped
Salt to taste
Pepper to taste
Grated cheese to ta"&amp;"ste")</f>
        <v>1 kg cooked cassava
1 can of cream with whey
2 tablespoons margarine
1/2 kg of desalted and cooked dried beef
1 medium onion, finely chopped
4 cloves of garlic, crushed
2 tomatoes, peeled and chopped
Salt to taste
Pepper to taste
Grated cheese to taste</v>
      </c>
      <c r="D104" s="2" t="str">
        <f ca="1">IFERROR(__xludf.DUMMYFUNCTION("GOOGLETRANSLATE(Portuguese!D104,""pt"",""en"")"),"Squeeze the still-hot cassava and place it in a saucepan with the margarine and salt.
Once well mixed, add the cream, mix, and set aside.
Sauté the onion and garlic in a drizzle of olive oil.
Add the shredded dried beef and let it fry a little.
Add the to"&amp;"matoes and cook until wilted, adjust the salt if necessary.
In an ovenproof dish greased with olive oil, place a layer of the cassava puree, the dried beef, and finish with the remaining puree.
Sprinkle with grated Parmesan cheese and bake until golden br"&amp;"own.")</f>
        <v>Squeeze the still-hot cassava and place it in a saucepan with the margarine and salt.
Once well mixed, add the cream, mix, and set aside.
Sauté the onion and garlic in a drizzle of olive oil.
Add the shredded dried beef and let it fry a little.
Add the tomatoes and cook until wilted, adjust the salt if necessary.
In an ovenproof dish greased with olive oil, place a layer of the cassava puree, the dried beef, and finish with the remaining puree.
Sprinkle with grated Parmesan cheese and bake until golden brown.</v>
      </c>
      <c r="E104" s="7" t="s">
        <v>414</v>
      </c>
    </row>
    <row r="105" spans="1:5" ht="72">
      <c r="A105" s="2">
        <v>103</v>
      </c>
      <c r="B105" s="2" t="str">
        <f ca="1">IFERROR(__xludf.DUMMYFUNCTION("GOOGLETRANSLATE(Portuguese!B105,""pt"",""en"")"),"White sauce")</f>
        <v>White sauce</v>
      </c>
      <c r="C105" s="2" t="str">
        <f ca="1">IFERROR(__xludf.DUMMYFUNCTION("GOOGLETRANSLATE(Portuguese!C105,""pt"",""en"")"),"2 cups of milk
2 tablespoons of butter
2 tablespoons of all-purpose flour
Salt to taste
Nutmeg to taste
White pepper to taste")</f>
        <v>2 cups of milk
2 tablespoons of butter
2 tablespoons of all-purpose flour
Salt to taste
Nutmeg to taste
White pepper to taste</v>
      </c>
      <c r="D105" s="2" t="str">
        <f ca="1">IFERROR(__xludf.DUMMYFUNCTION("GOOGLETRANSLATE(Portuguese!D105,""pt"",""en"")"),"Bring the milk to a boil. Melt the butter, add the flour and stir well until you have a smooth paste. Gradually add the milk, whisking constantly to avoid lumps. Let it cook for a few minutes and season with salt, nutmeg and pepper.")</f>
        <v>Bring the milk to a boil. Melt the butter, add the flour and stir well until you have a smooth paste. Gradually add the milk, whisking constantly to avoid lumps. Let it cook for a few minutes and season with salt, nutmeg and pepper.</v>
      </c>
      <c r="E105" s="7" t="s">
        <v>418</v>
      </c>
    </row>
    <row r="106" spans="1:5" ht="86.4">
      <c r="A106" s="2">
        <v>104</v>
      </c>
      <c r="B106" s="2" t="str">
        <f ca="1">IFERROR(__xludf.DUMMYFUNCTION("GOOGLETRANSLATE(Portuguese!B106,""pt"",""en"")"),"Butter cookies")</f>
        <v>Butter cookies</v>
      </c>
      <c r="C106" s="2" t="str">
        <f ca="1">IFERROR(__xludf.DUMMYFUNCTION("GOOGLETRANSLATE(Portuguese!C106,""pt"",""en"")"),"400 g of wheat flour
125 g of sugar
300 g of unsalted margarine or butter")</f>
        <v>400 g of wheat flour
125 g of sugar
300 g of unsalted margarine or butter</v>
      </c>
      <c r="D106" s="2" t="str">
        <f ca="1">IFERROR(__xludf.DUMMYFUNCTION("GOOGLETRANSLATE(Portuguese!D106,""pt"",""en"")"),"Mix all the ingredients together very well.
Roll and flatten the balls.
Place them on a baking sheet and bake in a moderate oven until golden brown.")</f>
        <v>Mix all the ingredients together very well.
Roll and flatten the balls.
Place them on a baking sheet and bake in a moderate oven until golden brown.</v>
      </c>
      <c r="E106" s="7" t="s">
        <v>422</v>
      </c>
    </row>
    <row r="107" spans="1:5" ht="86.4">
      <c r="A107" s="2">
        <v>105</v>
      </c>
      <c r="B107" s="2" t="str">
        <f ca="1">IFERROR(__xludf.DUMMYFUNCTION("GOOGLETRANSLATE(Portuguese!B107,""pt"",""en"")"),"Shrimp in pumpkin")</f>
        <v>Shrimp in pumpkin</v>
      </c>
      <c r="C107" s="2" t="str">
        <f ca="1">IFERROR(__xludf.DUMMYFUNCTION("GOOGLETRANSLATE(Portuguese!C107,""pt"",""en"")"),"1 kg of medium shrimp
4 tablespoons of olive oil
2 cloves of garlic
1 onion
5 seedless tomatoes
Salt to taste
3 tablespoons of ketchup
Black pepper to taste
1 can of heavy cream (without whey)
300 g of creamy cheese spread
1 pumpkin
Fresh herbs to taste")</f>
        <v>1 kg of medium shrimp
4 tablespoons of olive oil
2 cloves of garlic
1 onion
5 seedless tomatoes
Salt to taste
3 tablespoons of ketchup
Black pepper to taste
1 can of heavy cream (without whey)
300 g of creamy cheese spread
1 pumpkin
Fresh herbs to taste</v>
      </c>
      <c r="D107" s="2" t="str">
        <f ca="1">IFERROR(__xludf.DUMMYFUNCTION("GOOGLETRANSLATE(Portuguese!D107,""pt"",""en"")"),"Remove the top and seeds from the pumpkin.
Wash and wrap it in aluminum foil and bake in a medium oven (180°C) for 45 minutes.
In a pan, heat the olive oil and sauté the garlic and onion, add the shrimp and cook for 5 minutes.
Add the chopped tomatoes, pe"&amp;"pper, salt and ketchup.
Turn off the heat and add the cream and parsley.
Mix well and add the cream cheese last.
Spread some cream cheese inside the pumpkin and pour in the shrimp cream.")</f>
        <v>Remove the top and seeds from the pumpkin.
Wash and wrap it in aluminum foil and bake in a medium oven (180°C) for 45 minutes.
In a pan, heat the olive oil and sauté the garlic and onion, add the shrimp and cook for 5 minutes.
Add the chopped tomatoes, pepper, salt and ketchup.
Turn off the heat and add the cream and parsley.
Mix well and add the cream cheese last.
Spread some cream cheese inside the pumpkin and pour in the shrimp cream.</v>
      </c>
      <c r="E107" s="7" t="s">
        <v>426</v>
      </c>
    </row>
    <row r="108" spans="1:5" ht="72">
      <c r="A108" s="2">
        <v>106</v>
      </c>
      <c r="B108" s="2" t="str">
        <f ca="1">IFERROR(__xludf.DUMMYFUNCTION("GOOGLETRANSLATE(Portuguese!B108,""pt"",""en"")"),"Baked pastry")</f>
        <v>Baked pastry</v>
      </c>
      <c r="C108" s="2" t="str">
        <f ca="1">IFERROR(__xludf.DUMMYFUNCTION("GOOGLETRANSLATE(Portuguese!C108,""pt"",""en"")"),"3 cups (tea) of wheat flour
150 g of margarine
1 egg
1 teaspoon of salt
1 tablespoon of vinegar
1 egg yolk for brushing
1 cup of warm water
Filling of your choice")</f>
        <v>3 cups (tea) of wheat flour
150 g of margarine
1 egg
1 teaspoon of salt
1 tablespoon of vinegar
1 egg yolk for brushing
1 cup of warm water
Filling of your choice</v>
      </c>
      <c r="D108" s="2" t="str">
        <f ca="1">IFERROR(__xludf.DUMMYFUNCTION("GOOGLETRANSLATE(Portuguese!D108,""pt"",""en"")"),"In a bowl, mix the flour, margarine, egg, salt, and vinegar.
Knead well until the dough is smooth.
Wrap the dough in plastic wrap or a plastic bag and refrigerate for 30 minutes.
Roll out the dough on a floured surface, cut it into 20 pieces, distribute t"&amp;"he filling, close the pastries, and brush with egg yolk.
Bake in a preheated medium oven (180°C) for 40 minutes.")</f>
        <v>In a bowl, mix the flour, margarine, egg, salt, and vinegar.
Knead well until the dough is smooth.
Wrap the dough in plastic wrap or a plastic bag and refrigerate for 30 minutes.
Roll out the dough on a floured surface, cut it into 20 pieces, distribute the filling, close the pastries, and brush with egg yolk.
Bake in a preheated medium oven (180°C) for 40 minutes.</v>
      </c>
      <c r="E108" s="7" t="s">
        <v>430</v>
      </c>
    </row>
    <row r="109" spans="1:5" ht="100.8">
      <c r="A109" s="2">
        <v>107</v>
      </c>
      <c r="B109" s="2" t="str">
        <f ca="1">IFERROR(__xludf.DUMMYFUNCTION("GOOGLETRANSLATE(Portuguese!B109,""pt"",""en"")"),"Andriele's easy coxinha dough recipe")</f>
        <v>Andriele's easy coxinha dough recipe</v>
      </c>
      <c r="C109" s="2" t="str">
        <f ca="1">IFERROR(__xludf.DUMMYFUNCTION("GOOGLETRANSLATE(Portuguese!C109,""pt"",""en"")"),"2 cups of water
1 cup of milk
1 tablespoon of margarine
1 chicken bouillon cube
Salt to taste
3 cups of wheat flour")</f>
        <v>2 cups of water
1 cup of milk
1 tablespoon of margarine
1 chicken bouillon cube
Salt to taste
3 cups of wheat flour</v>
      </c>
      <c r="D109" s="2" t="str">
        <f ca="1">IFERROR(__xludf.DUMMYFUNCTION("GOOGLETRANSLATE(Portuguese!D109,""pt"",""en"")"),"Place the water, milk, margarine, broth, and salt in a saucepan and mix until boiling.
Lower the heat and add the flour all at once.
Stir until you obtain a smooth and homogeneous dough.
Fill as desired.")</f>
        <v>Place the water, milk, margarine, broth, and salt in a saucepan and mix until boiling.
Lower the heat and add the flour all at once.
Stir until you obtain a smooth and homogeneous dough.
Fill as desired.</v>
      </c>
      <c r="E109" s="7" t="s">
        <v>434</v>
      </c>
    </row>
    <row r="110" spans="1:5" ht="86.4">
      <c r="A110" s="2">
        <v>108</v>
      </c>
      <c r="B110" s="2" t="str">
        <f ca="1">IFERROR(__xludf.DUMMYFUNCTION("GOOGLETRANSLATE(Portuguese!B110,""pt"",""en"")"),"Baked fish fillet")</f>
        <v>Baked fish fillet</v>
      </c>
      <c r="C110" s="2" t="str">
        <f ca="1">IFERROR(__xludf.DUMMYFUNCTION("GOOGLETRANSLATE(Portuguese!C110,""pt"",""en"")"),"500g fish fillet (tilapia, tilapia, or other)
4 large potatoes, peeled and sliced ​​into 0.5cm thick rounds
2 chopped tomatoes
1/2 bell pepper (if large)
1 medium onion, diced
1 heaping tablespoon of capers
French parsley to taste
Cilantro to taste (optio"&amp;"nal)
1/2 tablespoon of salt
1 small clove of garlic, finely minced
Olive oil to taste")</f>
        <v>500g fish fillet (tilapia, tilapia, or other)
4 large potatoes, peeled and sliced ​​into 0.5cm thick rounds
2 chopped tomatoes
1/2 bell pepper (if large)
1 medium onion, diced
1 heaping tablespoon of capers
French parsley to taste
Cilantro to taste (optional)
1/2 tablespoon of salt
1 small clove of garlic, finely minced
Olive oil to taste</v>
      </c>
      <c r="D110" s="2" t="str">
        <f ca="1">IFERROR(__xludf.DUMMYFUNCTION("GOOGLETRANSLATE(Portuguese!D110,""pt"",""en"")"),"Season the fish fillet with salt and garlic and set aside.
Mix the tomato, onion, bell pepper, and capers, season with a little salt, and add the parsley and cilantro. Set aside.
Grease a baking dish with olive oil and line it with the raw potatoes.
Cover"&amp;" the potatoes with the fish and then distribute the tomato mixture on top. Drizzle with plenty of olive oil and bake for about 30 to 40 minutes.
When the liquid that accumulates at the bottom of the dish while baking has evaporated and the fish is golden "&amp;"brown, it's ready.
Serve with brown or white rice; it's delicious!")</f>
        <v>Season the fish fillet with salt and garlic and set aside.
Mix the tomato, onion, bell pepper, and capers, season with a little salt, and add the parsley and cilantro. Set aside.
Grease a baking dish with olive oil and line it with the raw potatoes.
Cover the potatoes with the fish and then distribute the tomato mixture on top. Drizzle with plenty of olive oil and bake for about 30 to 40 minutes.
When the liquid that accumulates at the bottom of the dish while baking has evaporated and the fish is golden brown, it's ready.
Serve with brown or white rice; it's delicious!</v>
      </c>
      <c r="E110" s="7" t="s">
        <v>438</v>
      </c>
    </row>
    <row r="111" spans="1:5" ht="86.4">
      <c r="A111" s="2">
        <v>109</v>
      </c>
      <c r="B111" s="2" t="str">
        <f ca="1">IFERROR(__xludf.DUMMYFUNCTION("GOOGLETRANSLATE(Portuguese!B111,""pt"",""en"")"),"Banana and oat cake")</f>
        <v>Banana and oat cake</v>
      </c>
      <c r="C111" s="2" t="str">
        <f ca="1">IFERROR(__xludf.DUMMYFUNCTION("GOOGLETRANSLATE(Portuguese!C111,""pt"",""en"")"),"250g rolled oats (1 box)
1 tablespoon baking powder
4 eggs
1/2 cup oil
4 bananas
1 1/2 cups sugar (can be brown sugar)
1 teaspoon cinnamon
1/2 cup chopped cashews or Brazil nuts
1/2 cup raisins")</f>
        <v>250g rolled oats (1 box)
1 tablespoon baking powder
4 eggs
1/2 cup oil
4 bananas
1 1/2 cups sugar (can be brown sugar)
1 teaspoon cinnamon
1/2 cup chopped cashews or Brazil nuts
1/2 cup raisins</v>
      </c>
      <c r="D111" s="2" t="str">
        <f ca="1">IFERROR(__xludf.DUMMYFUNCTION("GOOGLETRANSLATE(Portuguese!D111,""pt"",""en"")"),"Blend the 4 eggs, 1/2 cup of oil, 4 bananas, and 1 1/2 cups of sugar (can be brown sugar) in a blender.
Pour this mixture over the rolled oats with the baking powder and optional toppings to taste.
Bake in a greased pan in a preheated medium oven for ab"&amp;"out 40 minutes, or until golden brown.")</f>
        <v>Blend the 4 eggs, 1/2 cup of oil, 4 bananas, and 1 1/2 cups of sugar (can be brown sugar) in a blender.
Pour this mixture over the rolled oats with the baking powder and optional toppings to taste.
Bake in a greased pan in a preheated medium oven for about 40 minutes, or until golden brown.</v>
      </c>
      <c r="E111" s="7" t="s">
        <v>442</v>
      </c>
    </row>
    <row r="112" spans="1:5" ht="72">
      <c r="A112" s="2">
        <v>110</v>
      </c>
      <c r="B112" s="2" t="str">
        <f ca="1">IFERROR(__xludf.DUMMYFUNCTION("GOOGLETRANSLATE(Portuguese!B112,""pt"",""en"")"),"Homemade bread")</f>
        <v>Homemade bread</v>
      </c>
      <c r="C112" s="2" t="str">
        <f ca="1">IFERROR(__xludf.DUMMYFUNCTION("GOOGLETRANSLATE(Portuguese!C112,""pt"",""en"")"),"1 kg of wheat flour (approximately)
1 1/2 cups of warm milk (approx. 400 ml)
1/2 cup of warm water
1/2 cup of oil (approx. 100 ml)
4 tablespoons of sugar (approx. 200 g)
1 tablespoon of salt
2 eggs
10 g of dry yeast")</f>
        <v>1 kg of wheat flour (approximately)
1 1/2 cups of warm milk (approx. 400 ml)
1/2 cup of warm water
1/2 cup of oil (approx. 100 ml)
4 tablespoons of sugar (approx. 200 g)
1 tablespoon of salt
2 eggs
10 g of dry yeast</v>
      </c>
      <c r="D112" s="2" t="str">
        <f ca="1">IFERROR(__xludf.DUMMYFUNCTION("GOOGLETRANSLATE(Portuguese!D112,""pt"",""en"")"),"In a bowl, dissolve the yeast in the sugar and add the salt, the liquid ingredients, the eggs, and mix very well.
Gradually add the flour until a soft dough forms and knead the dough well.
Let the dough rest for approximately 1 hour.
After rising, divide "&amp;"the dough, shape it as desired, place it in the molds, and let it rise until it doubles in volume.
Bake in a preheated medium oven (200°C) for approximately 30 minutes.
Remove the bread from the oven and brush with milk to soften the crust.")</f>
        <v>In a bowl, dissolve the yeast in the sugar and add the salt, the liquid ingredients, the eggs, and mix very well.
Gradually add the flour until a soft dough forms and knead the dough well.
Let the dough rest for approximately 1 hour.
After rising, divide the dough, shape it as desired, place it in the molds, and let it rise until it doubles in volume.
Bake in a preheated medium oven (200°C) for approximately 30 minutes.
Remove the bread from the oven and brush with milk to soften the crust.</v>
      </c>
      <c r="E112" s="7" t="s">
        <v>445</v>
      </c>
    </row>
    <row r="113" spans="1:5" ht="86.4">
      <c r="A113" s="2">
        <v>111</v>
      </c>
      <c r="B113" s="2" t="str">
        <f ca="1">IFERROR(__xludf.DUMMYFUNCTION("GOOGLETRANSLATE(Portuguese!B113,""pt"",""en"")"),"Beef stroganoff")</f>
        <v>Beef stroganoff</v>
      </c>
      <c r="C113" s="2" t="str">
        <f ca="1">IFERROR(__xludf.DUMMYFUNCTION("GOOGLETRANSLATE(Portuguese!C113,""pt"",""en"")"),"1 kg of your preferred cut of meat, such as rump or round steak
3 medium onions
1 jar of mushrooms or hearts of palm
Salt to taste
Black pepper to taste
2 cans of heavy cream
3 chopped tomatoes, peeled and seeded
3 tablespoons of olive oil
2 tablesp"&amp;"oons of ketchup
1 beef bouillon cube dissolved in 100 ml of water")</f>
        <v>1 kg of your preferred cut of meat, such as rump or round steak
3 medium onions
1 jar of mushrooms or hearts of palm
Salt to taste
Black pepper to taste
2 cans of heavy cream
3 chopped tomatoes, peeled and seeded
3 tablespoons of olive oil
2 tablespoons of ketchup
1 beef bouillon cube dissolved in 100 ml of water</v>
      </c>
      <c r="D113" s="2" t="str">
        <f ca="1">IFERROR(__xludf.DUMMYFUNCTION("GOOGLETRANSLATE(Portuguese!D113,""pt"",""en"")"),"In a saucepan, add the oil, meat, onion, tomatoes, and beef broth and cook for 20 minutes.
Add the ketchup and mushrooms and cook until you obtain a consistent and creamy sauce.
Turn off the heat and add the heavy cream (without whey).
Stir until the sauc"&amp;"e is incorporated into the cream.
Place in a baking dish and garnish with seasoning and potato sticks.")</f>
        <v>In a saucepan, add the oil, meat, onion, tomatoes, and beef broth and cook for 20 minutes.
Add the ketchup and mushrooms and cook until you obtain a consistent and creamy sauce.
Turn off the heat and add the heavy cream (without whey).
Stir until the sauce is incorporated into the cream.
Place in a baking dish and garnish with seasoning and potato sticks.</v>
      </c>
      <c r="E113" s="7" t="s">
        <v>449</v>
      </c>
    </row>
    <row r="114" spans="1:5" ht="115.2">
      <c r="A114" s="2">
        <v>112</v>
      </c>
      <c r="B114" s="2" t="str">
        <f ca="1">IFERROR(__xludf.DUMMYFUNCTION("GOOGLETRANSLATE(Portuguese!B114,""pt"",""en"")"),"Simple yet wonderful cornmeal cake")</f>
        <v>Simple yet wonderful cornmeal cake</v>
      </c>
      <c r="C114" s="2" t="str">
        <f ca="1">IFERROR(__xludf.DUMMYFUNCTION("GOOGLETRANSLATE(Portuguese!C114,""pt"",""en"")"),"1 cup fine cornmeal
1 cup wheat flour
1 cup milk
1 1/2 cups sugar
1 cup oil
3 eggs
1 tablespoon baking powder
Fennel seeds to taste")</f>
        <v>1 cup fine cornmeal
1 cup wheat flour
1 cup milk
1 1/2 cups sugar
1 cup oil
3 eggs
1 tablespoon baking powder
Fennel seeds to taste</v>
      </c>
      <c r="D114" s="2" t="str">
        <f ca="1">IFERROR(__xludf.DUMMYFUNCTION("GOOGLETRANSLATE(Portuguese!D114,""pt"",""en"")"),"Blend all ingredients in a blender.
Pour the batter into a greased and floured pan.
Bake in a preheated oven at 200°C (390°F) for about 35 minutes, or until a toothpick inserted into the center comes out clean.
Let cool, remove from the pan, and sprinkle "&amp;"with sugar and fennel seeds.")</f>
        <v>Blend all ingredients in a blender.
Pour the batter into a greased and floured pan.
Bake in a preheated oven at 200°C (390°F) for about 35 minutes, or until a toothpick inserted into the center comes out clean.
Let cool, remove from the pan, and sprinkle with sugar and fennel seeds.</v>
      </c>
      <c r="E114" s="7" t="s">
        <v>453</v>
      </c>
    </row>
    <row r="115" spans="1:5" ht="72">
      <c r="A115" s="2">
        <v>113</v>
      </c>
      <c r="B115" s="2" t="str">
        <f ca="1">IFERROR(__xludf.DUMMYFUNCTION("GOOGLETRANSLATE(Portuguese!B115,""pt"",""en"")"),"Orange cake")</f>
        <v>Orange cake</v>
      </c>
      <c r="C115" s="2" t="str">
        <f ca="1">IFERROR(__xludf.DUMMYFUNCTION("GOOGLETRANSLATE(Portuguese!C115,""pt"",""en"")"),"2 cups all-purpose flour
2 cups sugar
1 cup orange juice or good quality orange soda
4 eggs
1 teaspoon baking powder")</f>
        <v>2 cups all-purpose flour
2 cups sugar
1 cup orange juice or good quality orange soda
4 eggs
1 teaspoon baking powder</v>
      </c>
      <c r="D115" s="2" t="str">
        <f ca="1">IFERROR(__xludf.DUMMYFUNCTION("GOOGLETRANSLATE(Portuguese!D115,""pt"",""en"")"),"Beat the egg whites until stiff peaks form, mix in the egg yolks and sugar, and beat again.
Then, mix in the flour and orange juice.
Finally, add the baking powder.
Bake in a greased and floured pan for about 40 minutes at 180°C (depending on the oven).")</f>
        <v>Beat the egg whites until stiff peaks form, mix in the egg yolks and sugar, and beat again.
Then, mix in the flour and orange juice.
Finally, add the baking powder.
Bake in a greased and floured pan for about 40 minutes at 180°C (depending on the oven).</v>
      </c>
      <c r="E115" s="7" t="s">
        <v>457</v>
      </c>
    </row>
    <row r="116" spans="1:5" ht="72">
      <c r="A116" s="2">
        <v>114</v>
      </c>
      <c r="B116" s="2" t="str">
        <f ca="1">IFERROR(__xludf.DUMMYFUNCTION("GOOGLETRANSLATE(Portuguese!B116,""pt"",""en"")"),"Risoles")</f>
        <v>Risoles</v>
      </c>
      <c r="C116" s="2" t="str">
        <f ca="1">IFERROR(__xludf.DUMMYFUNCTION("GOOGLETRANSLATE(Portuguese!C116,""pt"",""en"")"),"2 cups of milk
1 tablespoon of butter or margarine
1 teaspoon of salt
2 cups of wheat flour")</f>
        <v>2 cups of milk
1 tablespoon of butter or margarine
1 teaspoon of salt
2 cups of wheat flour</v>
      </c>
      <c r="D116" s="2" t="str">
        <f ca="1">IFERROR(__xludf.DUMMYFUNCTION("GOOGLETRANSLATE(Portuguese!D116,""pt"",""en"")"),"Boil the milk, butter, and salt.
When it comes to a boil, add the 2 cups of flour all at once.
Knead the dough well. Stretch the dough on the counter (you can use your hands), cut out rounds using the rim of a glass, and fill as desired. Close the risoles"&amp;" and coat them in beaten egg and breadcrumbs. Fry.")</f>
        <v>Boil the milk, butter, and salt.
When it comes to a boil, add the 2 cups of flour all at once.
Knead the dough well. Stretch the dough on the counter (you can use your hands), cut out rounds using the rim of a glass, and fill as desired. Close the risoles and coat them in beaten egg and breadcrumbs. Fry.</v>
      </c>
      <c r="E116" s="7" t="s">
        <v>461</v>
      </c>
    </row>
    <row r="117" spans="1:5" ht="72">
      <c r="A117" s="2">
        <v>115</v>
      </c>
      <c r="B117" s="2" t="str">
        <f ca="1">IFERROR(__xludf.DUMMYFUNCTION("GOOGLETRANSLATE(Portuguese!B117,""pt"",""en"")"),"Cheese bread")</f>
        <v>Cheese bread</v>
      </c>
      <c r="C117" s="2" t="str">
        <f ca="1">IFERROR(__xludf.DUMMYFUNCTION("GOOGLETRANSLATE(Portuguese!C117,""pt"",""en"")"),"800g sour cassava starch
1 cup water
1 cup milk
1/2 cup oil
2 eggs
100g grated Parmesan cheese
Salt to taste")</f>
        <v>800g sour cassava starch
1 cup water
1 cup milk
1/2 cup oil
2 eggs
100g grated Parmesan cheese
Salt to taste</v>
      </c>
      <c r="D117" s="2" t="str">
        <f ca="1">IFERROR(__xludf.DUMMYFUNCTION("GOOGLETRANSLATE(Portuguese!D117,""pt"",""en"")"),"In a saucepan, bring the water to a boil and add the milk, oil, and salt.
Add the tapioca starch little by little until it comes together. You may not need to use all 800g, so add it slowly and knead the dough until it no longer sticks to your hands: that"&amp;"'s the right consistency.
When the dough is lukewarm, add the Parmesan cheese and eggs and mix well.
Grease your hands and roll the dough into balls about 2 cm in diameter.
Arrange the balls on a greased baking sheet, leaving space between them.
Bake in a"&amp;" preheated medium oven (180°C) for about 40 minutes.")</f>
        <v>In a saucepan, bring the water to a boil and add the milk, oil, and salt.
Add the tapioca starch little by little until it comes together. You may not need to use all 800g, so add it slowly and knead the dough until it no longer sticks to your hands: that's the right consistency.
When the dough is lukewarm, add the Parmesan cheese and eggs and mix well.
Grease your hands and roll the dough into balls about 2 cm in diameter.
Arrange the balls on a greased baking sheet, leaving space between them.
Bake in a preheated medium oven (180°C) for about 40 minutes.</v>
      </c>
      <c r="E117" s="7" t="s">
        <v>465</v>
      </c>
    </row>
    <row r="118" spans="1:5" ht="86.4">
      <c r="A118" s="2">
        <v>116</v>
      </c>
      <c r="B118" s="2" t="str">
        <f ca="1">IFERROR(__xludf.DUMMYFUNCTION("GOOGLETRANSLATE(Portuguese!B118,""pt"",""en"")"),"Fluffy carrot cake")</f>
        <v>Fluffy carrot cake</v>
      </c>
      <c r="C118" s="2" t="str">
        <f ca="1">IFERROR(__xludf.DUMMYFUNCTION("GOOGLETRANSLATE(Portuguese!C118,""pt"",""en"")"),"2 cups (tea) of chopped carrots
4 eggs
2 cups (tea) of sugar
2 cups (tea) of wheat flour
1 cup (tea) of oil
1 teaspoon of baking powder
1 can of condensed milk
1 carton of heavy cream
1 heaping tablespoon of margarine
3 heaping tablespoons of coc"&amp;"oa powder")</f>
        <v>2 cups (tea) of chopped carrots
4 eggs
2 cups (tea) of sugar
2 cups (tea) of wheat flour
1 cup (tea) of oil
1 teaspoon of baking powder
1 can of condensed milk
1 carton of heavy cream
1 heaping tablespoon of margarine
3 heaping tablespoons of cocoa powder</v>
      </c>
      <c r="D118" s="2" t="str">
        <f ca="1">IFERROR(__xludf.DUMMYFUNCTION("GOOGLETRANSLATE(Portuguese!D118,""pt"",""en"")"),"Separate the egg whites from the yolks.
Beat the egg whites until stiff peaks form and set aside.
In a blender, combine the carrot, oil, and egg yolks and blend for 5 minutes.
In a bowl, mix the flour, baking powder, and sugar well.
Then add the blended i"&amp;"ngredients, mix well, and finally fold in the beaten egg whites.
In a greased baking pan, bake in a preheated medium oven for approximately 40 minutes, or until a toothpick inserted into the center comes out clean.
Cook all the ingredients over medium he"&amp;"at, stirring constantly, until the mixture pulls away from the sides of the pan.")</f>
        <v>Separate the egg whites from the yolks.
Beat the egg whites until stiff peaks form and set aside.
In a blender, combine the carrot, oil, and egg yolks and blend for 5 minutes.
In a bowl, mix the flour, baking powder, and sugar well.
Then add the blended ingredients, mix well, and finally fold in the beaten egg whites.
In a greased baking pan, bake in a preheated medium oven for approximately 40 minutes, or until a toothpick inserted into the center comes out clean.
Cook all the ingredients over medium heat, stirring constantly, until the mixture pulls away from the sides of the pan.</v>
      </c>
      <c r="E118" s="7" t="s">
        <v>469</v>
      </c>
    </row>
    <row r="119" spans="1:5" ht="72">
      <c r="A119" s="2">
        <v>117</v>
      </c>
      <c r="B119" s="2" t="str">
        <f ca="1">IFERROR(__xludf.DUMMYFUNCTION("GOOGLETRANSLATE(Portuguese!B119,""pt"",""en"")"),"Quick snack")</f>
        <v>Quick snack</v>
      </c>
      <c r="C119" s="2" t="str">
        <f ca="1">IFERROR(__xludf.DUMMYFUNCTION("GOOGLETRANSLATE(Portuguese!C119,""pt"",""en"")"),"8 slices of white bread
100g sliced ​​ham
100g sliced ​​cheese
1 can of heavy cream (without whey)
3 eggs
1 sliced ​​tomato
oregano
grated Parmesan cheese for sprinkling")</f>
        <v>8 slices of white bread
100g sliced ​​ham
100g sliced ​​cheese
1 can of heavy cream (without whey)
3 eggs
1 sliced ​​tomato
oregano
grated Parmesan cheese for sprinkling</v>
      </c>
      <c r="D119" s="2" t="str">
        <f ca="1">IFERROR(__xludf.DUMMYFUNCTION("GOOGLETRANSLATE(Portuguese!D119,""pt"",""en"")"),"In a square or rectangular dish, place 4 slices of bread.
On top of the bread, place the ham and cheese.
Cover with the other 4 slices of bread.
Beat the eggs, add the cream with a pinch of salt and pour over the sandwiches.
Garnish with tomato and sprink"&amp;"le with cheese and oregano.
Microwave for 10 minutes on high power, or until the cream is firm.")</f>
        <v>In a square or rectangular dish, place 4 slices of bread.
On top of the bread, place the ham and cheese.
Cover with the other 4 slices of bread.
Beat the eggs, add the cream with a pinch of salt and pour over the sandwiches.
Garnish with tomato and sprinkle with cheese and oregano.
Microwave for 10 minutes on high power, or until the cream is firm.</v>
      </c>
      <c r="E119" s="7" t="s">
        <v>473</v>
      </c>
    </row>
    <row r="120" spans="1:5" ht="86.4">
      <c r="A120" s="2">
        <v>118</v>
      </c>
      <c r="B120" s="2" t="str">
        <f ca="1">IFERROR(__xludf.DUMMYFUNCTION("GOOGLETRANSLATE(Portuguese!B120,""pt"",""en"")"),"Ninho milk candy")</f>
        <v>Ninho milk candy</v>
      </c>
      <c r="C120" s="2" t="str">
        <f ca="1">IFERROR(__xludf.DUMMYFUNCTION("GOOGLETRANSLATE(Portuguese!C120,""pt"",""en"")"),"2 cups refined sugar
2 cups whole milk powder
50 ml coconut milk
refined sugar
grated coconut for garnish
cloves for garnish")</f>
        <v>2 cups refined sugar
2 cups whole milk powder
50 ml coconut milk
refined sugar
grated coconut for garnish
cloves for garnish</v>
      </c>
      <c r="D120" s="2" t="str">
        <f ca="1">IFERROR(__xludf.DUMMYFUNCTION("GOOGLETRANSLATE(Portuguese!D120,""pt"",""en"")"),"In a bowl, mix the sugar and powdered milk well.
Gradually add the coconut milk and knead well until you obtain a firm and homogeneous dough.
Shape the dough into small balls.
Roll the balls in sugar or grated coconut.
Garnish with cloves.")</f>
        <v>In a bowl, mix the sugar and powdered milk well.
Gradually add the coconut milk and knead well until you obtain a firm and homogeneous dough.
Shape the dough into small balls.
Roll the balls in sugar or grated coconut.
Garnish with cloves.</v>
      </c>
      <c r="E120" s="7" t="s">
        <v>477</v>
      </c>
    </row>
    <row r="121" spans="1:5" ht="72">
      <c r="A121" s="2">
        <v>119</v>
      </c>
      <c r="B121" s="2" t="str">
        <f ca="1">IFERROR(__xludf.DUMMYFUNCTION("GOOGLETRANSLATE(Portuguese!B121,""pt"",""en"")"),"Pilaf")</f>
        <v>Pilaf</v>
      </c>
      <c r="C121" s="2" t="str">
        <f ca="1">IFERROR(__xludf.DUMMYFUNCTION("GOOGLETRANSLATE(Portuguese!C121,""pt"",""en"")"),"3 cups of rice
6 cups of water
1 box of raisins
grated Parmesan cheese
5 tablespoons of peas
1 tablespoon of butter
oil
bell pepper to taste
salt to taste
onion to taste
parsley to taste
green onion to taste
carrot to taste")</f>
        <v>3 cups of rice
6 cups of water
1 box of raisins
grated Parmesan cheese
5 tablespoons of peas
1 tablespoon of butter
oil
bell pepper to taste
salt to taste
onion to taste
parsley to taste
green onion to taste
carrot to taste</v>
      </c>
      <c r="D121" s="2" t="str">
        <f ca="1">IFERROR(__xludf.DUMMYFUNCTION("GOOGLETRANSLATE(Portuguese!D121,""pt"",""en"")"),"Bring a pot of water to a boil with salt and a drizzle of oil.
Add the rinsed rice and stir well.
Reduce the heat, let the water evaporate, and remove the rice from the heat.
In a saucepan, melt the butter over medium heat and sauté the raisins and peas.
"&amp;"Pour the mixture into a deep bowl and add the green onions, carrots, bell pepper, onion, parsley, and Parmesan cheese.
Add the cooked rice and mix everything together carefully.")</f>
        <v>Bring a pot of water to a boil with salt and a drizzle of oil.
Add the rinsed rice and stir well.
Reduce the heat, let the water evaporate, and remove the rice from the heat.
In a saucepan, melt the butter over medium heat and sauté the raisins and peas.
Pour the mixture into a deep bowl and add the green onions, carrots, bell pepper, onion, parsley, and Parmesan cheese.
Add the cooked rice and mix everything together carefully.</v>
      </c>
      <c r="E121" s="7" t="s">
        <v>481</v>
      </c>
    </row>
    <row r="122" spans="1:5" ht="86.4">
      <c r="A122" s="2">
        <v>120</v>
      </c>
      <c r="B122" s="2" t="str">
        <f ca="1">IFERROR(__xludf.DUMMYFUNCTION("GOOGLETRANSLATE(Portuguese!B122,""pt"",""en"")"),"Meatballs")</f>
        <v>Meatballs</v>
      </c>
      <c r="C122" s="2" t="str">
        <f ca="1">IFERROR(__xludf.DUMMYFUNCTION("GOOGLETRANSLATE(Portuguese!C122,""pt"",""en"")"),"500g ground beef
2 tablespoons (30ml) olive oil
1 cup (60g) finely chopped onion
1 egg
150g breadcrumbs
Salt to taste
Black pepper to taste
395g tomato sauce")</f>
        <v>500g ground beef
2 tablespoons (30ml) olive oil
1 cup (60g) finely chopped onion
1 egg
150g breadcrumbs
Salt to taste
Black pepper to taste
395g tomato sauce</v>
      </c>
      <c r="D122" s="2" t="str">
        <f ca="1">IFERROR(__xludf.DUMMYFUNCTION("GOOGLETRANSLATE(Portuguese!D122,""pt"",""en"")"),"Mix the meat with the egg, onion, salt, a little olive oil (or oil), and pepper.
Add flour until the mixture reaches the right consistency for rolling meatballs.
Make small balls.
In a pan with a little olive oil, fry the meatballs, searing them over high"&amp;" heat.
Remove the meatballs and set aside.
In another pan, heat the tomato sauce over low heat.
In the same pan used for the meatballs, remove the excess oil and add the tomato sauce, then add the meatballs and cook for a few minutes.
In about 15 minutes "&amp;"the meatballs will be fully cooked and the dish will be ready.")</f>
        <v>Mix the meat with the egg, onion, salt, a little olive oil (or oil), and pepper.
Add flour until the mixture reaches the right consistency for rolling meatballs.
Make small balls.
In a pan with a little olive oil, fry the meatballs, searing them over high heat.
Remove the meatballs and set aside.
In another pan, heat the tomato sauce over low heat.
In the same pan used for the meatballs, remove the excess oil and add the tomato sauce, then add the meatballs and cook for a few minutes.
In about 15 minutes the meatballs will be fully cooked and the dish will be ready.</v>
      </c>
      <c r="E122" s="7" t="s">
        <v>485</v>
      </c>
    </row>
    <row r="123" spans="1:5" ht="72">
      <c r="A123" s="2">
        <v>121</v>
      </c>
      <c r="B123" s="2" t="str">
        <f ca="1">IFERROR(__xludf.DUMMYFUNCTION("GOOGLETRANSLATE(Portuguese!B123,""pt"",""en"")"),"Drumstick")</f>
        <v>Drumstick</v>
      </c>
      <c r="C123" s="2" t="str">
        <f ca="1">IFERROR(__xludf.DUMMYFUNCTION("GOOGLETRANSLATE(Portuguese!C123,""pt"",""en"")"),"4 cups of wheat flour
4 cups of milk
1 chicken bouillon cube
1/2 tablespoon of margarine")</f>
        <v>4 cups of wheat flour
4 cups of milk
1 chicken bouillon cube
1/2 tablespoon of margarine</v>
      </c>
      <c r="D123" s="2" t="str">
        <f ca="1">IFERROR(__xludf.DUMMYFUNCTION("GOOGLETRANSLATE(Portuguese!D123,""pt"",""en"")"),"Bring the milk, margarine, and broth to a boil.
Add the flour all at once and stir well.
Then remove from the pan and place on the table.
Knead a little and start shaping the croquettes.
Fry in hot oil until golden brown, remove, and serve.")</f>
        <v>Bring the milk, margarine, and broth to a boil.
Add the flour all at once and stir well.
Then remove from the pan and place on the table.
Knead a little and start shaping the croquettes.
Fry in hot oil until golden brown, remove, and serve.</v>
      </c>
      <c r="E123" s="7" t="s">
        <v>489</v>
      </c>
    </row>
    <row r="124" spans="1:5" ht="115.2">
      <c r="A124" s="2">
        <v>122</v>
      </c>
      <c r="B124" s="2" t="str">
        <f ca="1">IFERROR(__xludf.DUMMYFUNCTION("GOOGLETRANSLATE(Portuguese!B124,""pt"",""en"")"),"Creamy gelatin with strawberries")</f>
        <v>Creamy gelatin with strawberries</v>
      </c>
      <c r="C124" s="2" t="str">
        <f ca="1">IFERROR(__xludf.DUMMYFUNCTION("GOOGLETRANSLATE(Portuguese!C124,""pt"",""en"")"),"2 boxes of strawberry-flavored gelatin
1 can of sweetened condensed milk
1 can of heavy cream
1 and 1/2 cans of milk (use the sweetened condensed milk can as a measure)
2 tablespoons of cornstarch
1 box of strawberries, halved (cleaned and without le"&amp;"aves)")</f>
        <v>2 boxes of strawberry-flavored gelatin
1 can of sweetened condensed milk
1 can of heavy cream
1 and 1/2 cans of milk (use the sweetened condensed milk can as a measure)
2 tablespoons of cornstarch
1 box of strawberries, halved (cleaned and without leaves)</v>
      </c>
      <c r="D124" s="2" t="str">
        <f ca="1">IFERROR(__xludf.DUMMYFUNCTION("GOOGLETRANSLATE(Portuguese!D124,""pt"",""en"")"),"Dissolve the gelatin according to the package instructions.
Set aside.
In a saucepan, combine the sweetened condensed milk, heavy cream, and half of the milk.
Stir constantly over low heat.
Mix the cornstarch with the remaining milk and add to the cre"&amp;"am mixture.
Stir until it becomes a thick cream.
Let it cool.
In a glass baking dish, spread the cream and place the halved strawberries on top.
Using a spoon, place the gelatin over the strawberries.
Refrigerate for approximately 3 hours.")</f>
        <v>Dissolve the gelatin according to the package instructions.
Set aside.
In a saucepan, combine the sweetened condensed milk, heavy cream, and half of the milk.
Stir constantly over low heat.
Mix the cornstarch with the remaining milk and add to the cream mixture.
Stir until it becomes a thick cream.
Let it cool.
In a glass baking dish, spread the cream and place the halved strawberries on top.
Using a spoon, place the gelatin over the strawberries.
Refrigerate for approximately 3 hours.</v>
      </c>
      <c r="E124" s="7" t="s">
        <v>493</v>
      </c>
    </row>
    <row r="125" spans="1:5" ht="86.4">
      <c r="A125" s="2">
        <v>123</v>
      </c>
      <c r="B125" s="2" t="str">
        <f ca="1">IFERROR(__xludf.DUMMYFUNCTION("GOOGLETRANSLATE(Portuguese!B125,""pt"",""en"")"),"sponge cake")</f>
        <v>sponge cake</v>
      </c>
      <c r="C125" s="2" t="str">
        <f ca="1">IFERROR(__xludf.DUMMYFUNCTION("GOOGLETRANSLATE(Portuguese!C125,""pt"",""en"")"),"4 eggs
2 cups (American) of wheat flour
2 cups (American) of sugar
1 cup (American) of hot milk
1 tablespoon of baking powder")</f>
        <v>4 eggs
2 cups (American) of wheat flour
2 cups (American) of sugar
1 cup (American) of hot milk
1 tablespoon of baking powder</v>
      </c>
      <c r="D125" s="2" t="str">
        <f ca="1">IFERROR(__xludf.DUMMYFUNCTION("GOOGLETRANSLATE(Portuguese!D125,""pt"",""en"")"),"Beat the egg whites until stiff peaks form and add the sugar.
Then, add the egg yolks and mix everything very well.
Add the wheat flour and then the baking powder.
Finally, add the warm milk.
Pour into a greased and floured pan, then bake in a preheated "&amp;"oven at 180°C (350°F) for approximately 30 to 40 minutes.")</f>
        <v>Beat the egg whites until stiff peaks form and add the sugar.
Then, add the egg yolks and mix everything very well.
Add the wheat flour and then the baking powder.
Finally, add the warm milk.
Pour into a greased and floured pan, then bake in a preheated oven at 180°C (350°F) for approximately 30 to 40 minutes.</v>
      </c>
      <c r="E125" s="7" t="s">
        <v>497</v>
      </c>
    </row>
    <row r="126" spans="1:5" ht="100.8">
      <c r="A126" s="2">
        <v>124</v>
      </c>
      <c r="B126" s="2" t="str">
        <f ca="1">IFERROR(__xludf.DUMMYFUNCTION("GOOGLETRANSLATE(Portuguese!B126,""pt"",""en"")"),"Orange Cake with Zest")</f>
        <v>Orange Cake with Zest</v>
      </c>
      <c r="C126" s="2" t="str">
        <f ca="1">IFERROR(__xludf.DUMMYFUNCTION("GOOGLETRANSLATE(Portuguese!C126,""pt"",""en"")"),"1 medium orange
1 cup of oil
4 eggs
2 cups of sugar
2 cups of wheat flour
1 tablespoon of baking powder
2 cups of strained orange juice
1 tablespoon of cornstarch")</f>
        <v>1 medium orange
1 cup of oil
4 eggs
2 cups of sugar
2 cups of wheat flour
1 tablespoon of baking powder
2 cups of strained orange juice
1 tablespoon of cornstarch</v>
      </c>
      <c r="D126" s="2" t="str">
        <f ca="1">IFERROR(__xludf.DUMMYFUNCTION("GOOGLETRANSLATE(Portuguese!D126,""pt"",""en"")"),"Cut the orange into 4 pieces, remove the white pith and any visible seeds.
In a blender, blend the oranges, oil, eggs, and sugar.
In a bowl, mix the flour and baking powder.
Add the contents of the blender to the mixture, stirring with a wooden spoon (do "&amp;"not use a mixer).
Bake in a preheated oven at 180°C (350°F) for approximately 25 minutes in a pan greased with margarine and dusted with flour.
In a saucepan, combine all the ingredients and bring to a boil, stirring constantly. Let it simmer for a while "&amp;"and pour over the still-warm baked cake.")</f>
        <v>Cut the orange into 4 pieces, remove the white pith and any visible seeds.
In a blender, blend the oranges, oil, eggs, and sugar.
In a bowl, mix the flour and baking powder.
Add the contents of the blender to the mixture, stirring with a wooden spoon (do not use a mixer).
Bake in a preheated oven at 180°C (350°F) for approximately 25 minutes in a pan greased with margarine and dusted with flour.
In a saucepan, combine all the ingredients and bring to a boil, stirring constantly. Let it simmer for a while and pour over the still-warm baked cake.</v>
      </c>
      <c r="E126" s="7" t="s">
        <v>501</v>
      </c>
    </row>
    <row r="127" spans="1:5" ht="100.8">
      <c r="A127" s="2">
        <v>125</v>
      </c>
      <c r="B127" s="2" t="str">
        <f ca="1">IFERROR(__xludf.DUMMYFUNCTION("GOOGLETRANSLATE(Portuguese!B127,""pt"",""en"")"),"Chicken and cheese lasagna")</f>
        <v>Chicken and cheese lasagna</v>
      </c>
      <c r="C127" s="2" t="str">
        <f ca="1">IFERROR(__xludf.DUMMYFUNCTION("GOOGLETRANSLATE(Portuguese!C127,""pt"",""en"")"),"1 chicken breast
500g sliced ​​mozzarella cheese
400g sliced ​​ham
1 medium package of lasagna noodles (oven-ready, no pre-cooking required)
1 container of creamy ricotta cheese
2 chicken bouillon cubes (or chicken-flavored seasoning)
2 cups of milk"&amp;"
1 carton of heavy cream
2 tablespoons of flour
3 tablespoons of butter
1 medium onion")</f>
        <v>1 chicken breast
500g sliced ​​mozzarella cheese
400g sliced ​​ham
1 medium package of lasagna noodles (oven-ready, no pre-cooking required)
1 container of creamy ricotta cheese
2 chicken bouillon cubes (or chicken-flavored seasoning)
2 cups of milk
1 carton of heavy cream
2 tablespoons of flour
3 tablespoons of butter
1 medium onion</v>
      </c>
      <c r="D127" s="2" t="str">
        <f ca="1">IFERROR(__xludf.DUMMYFUNCTION("GOOGLETRANSLATE(Portuguese!D127,""pt"",""en"")"),"In a saucepan, make a smooth cream with 2 tablespoons of flour and 2 tablespoons of butter (reserve 1 tablespoon of butter).
Add the milk, 1 chicken bouillon cube and stir constantly.
Remove from heat and add the cream, set aside.
Cook the chicken breast "&amp;"in water (without oil), after cooking, shred it.
Chop the onion into small pieces, place in a pan and sauté with the butter.
Add the chicken and chicken bouillon, stir constantly until the chicken is completely browned.
In a baking dish, place 2 ladles of"&amp;" sauce.
Make the base with lasagna noodles, cover with 1 layer of ham, 1 of cheese and 1 of chicken (in that order).
On top of the chicken, place 1 layer of cream cheese and 2 ladles of sauce.
Cover the cream cheese with 1 layer of ham, 1 layer of cheese "&amp;"and 1 layer of noodles, add sauce.
Repeat this process until you are about 2.5 cm from the edge of the baking dish.
To finish, cover the lasagna with plenty of cheese, cream cheese, and sauce.
Bake for approximately 20 minutes over low heat.")</f>
        <v>In a saucepan, make a smooth cream with 2 tablespoons of flour and 2 tablespoons of butter (reserve 1 tablespoon of butter).
Add the milk, 1 chicken bouillon cube and stir constantly.
Remove from heat and add the cream, set aside.
Cook the chicken breast in water (without oil), after cooking, shred it.
Chop the onion into small pieces, place in a pan and sauté with the butter.
Add the chicken and chicken bouillon, stir constantly until the chicken is completely browned.
In a baking dish, place 2 ladles of sauce.
Make the base with lasagna noodles, cover with 1 layer of ham, 1 of cheese and 1 of chicken (in that order).
On top of the chicken, place 1 layer of cream cheese and 2 ladles of sauce.
Cover the cream cheese with 1 layer of ham, 1 layer of cheese and 1 layer of noodles, add sauce.
Repeat this process until you are about 2.5 cm from the edge of the baking dish.
To finish, cover the lasagna with plenty of cheese, cream cheese, and sauce.
Bake for approximately 20 minutes over low heat.</v>
      </c>
      <c r="E127" s="7" t="s">
        <v>505</v>
      </c>
    </row>
    <row r="128" spans="1:5" ht="86.4">
      <c r="A128" s="2">
        <v>126</v>
      </c>
      <c r="B128" s="2" t="str">
        <f ca="1">IFERROR(__xludf.DUMMYFUNCTION("GOOGLETRANSLATE(Portuguese!B128,""pt"",""en"")"),"Fluffy carrot cake")</f>
        <v>Fluffy carrot cake</v>
      </c>
      <c r="C128" s="2" t="str">
        <f ca="1">IFERROR(__xludf.DUMMYFUNCTION("GOOGLETRANSLATE(Portuguese!C128,""pt"",""en"")"),"2 medium carrots, cut into medium cubes (250 g)
1/2 cup (tea) of oil
3 eggs
1/2 cup (tea) of MAIZENA® cornstarch
1 and 1/2 cups (tea) of wheat flour
1 tablespoon of baking powder
1 cup (tea) of sugar
1/2 cup (tea) of melted milk chocolate (still warm)
1/2"&amp;" cup (tea) of heavy cream")</f>
        <v>2 medium carrots, cut into medium cubes (250 g)
1/2 cup (tea) of oil
3 eggs
1/2 cup (tea) of MAIZENA® cornstarch
1 and 1/2 cups (tea) of wheat flour
1 tablespoon of baking powder
1 cup (tea) of sugar
1/2 cup (tea) of melted milk chocolate (still warm)
1/2 cup (tea) of heavy cream</v>
      </c>
      <c r="D128" s="2" t="str">
        <f ca="1">IFERROR(__xludf.DUMMYFUNCTION("GOOGLETRANSLATE(Portuguese!D128,""pt"",""en"")"),"Preheat the oven to medium temperature (180°C).
Grease and flour a medium-sized bundt pan (20 cm in diameter).
Set aside.
In a blender, combine the carrot, oil, and eggs, and blend until smooth.
In a bowl, sift together the MAIZENA® cornstarch, wheat flou"&amp;"r, baking powder, and sugar. Add the reserved carrot mixture and stir with a spatula until a uniform batter forms.
Pour the batter into the prepared pan and bake for 35 minutes, or until a toothpick inserted into the center comes out clean.
Remove from th"&amp;"e oven and let cool slightly.
Mix the chocolate and cream, spread over the entire surface of the cake, and serve.
If preferred, use a round fluted pan (18 cm in diameter).")</f>
        <v>Preheat the oven to medium temperature (180°C).
Grease and flour a medium-sized bundt pan (20 cm in diameter).
Set aside.
In a blender, combine the carrot, oil, and eggs, and blend until smooth.
In a bowl, sift together the MAIZENA® cornstarch, wheat flour, baking powder, and sugar. Add the reserved carrot mixture and stir with a spatula until a uniform batter forms.
Pour the batter into the prepared pan and bake for 35 minutes, or until a toothpick inserted into the center comes out clean.
Remove from the oven and let cool slightly.
Mix the chocolate and cream, spread over the entire surface of the cake, and serve.
If preferred, use a round fluted pan (18 cm in diameter).</v>
      </c>
      <c r="E128" s="7" t="s">
        <v>508</v>
      </c>
    </row>
    <row r="129" spans="1:5" ht="100.8">
      <c r="A129" s="2">
        <v>127</v>
      </c>
      <c r="B129" s="2" t="str">
        <f ca="1">IFERROR(__xludf.DUMMYFUNCTION("GOOGLETRANSLATE(Portuguese!B129,""pt"",""en"")"),"Passion fruit mousse")</f>
        <v>Passion fruit mousse</v>
      </c>
      <c r="C129" s="2" t="str">
        <f ca="1">IFERROR(__xludf.DUMMYFUNCTION("GOOGLETRANSLATE(Portuguese!C129,""pt"",""en"")"),"1 can of sweetened condensed milk
1 can of heavy cream
1 can of concentrated passion fruit juice
1 cup of sugar
1/2 cup of water
2 passion fruits (pulp)")</f>
        <v>1 can of sweetened condensed milk
1 can of heavy cream
1 can of concentrated passion fruit juice
1 cup of sugar
1/2 cup of water
2 passion fruits (pulp)</v>
      </c>
      <c r="D129" s="2" t="str">
        <f ca="1">IFERROR(__xludf.DUMMYFUNCTION("GOOGLETRANSLATE(Portuguese!D129,""pt"",""en"")"),"Blend the can of condensed milk, the heavy cream, and the concentrated passion fruit juice in a blender.
Place in a serving dish and refrigerate until very cold (or freeze if needed for the same day).
Combine the sugar, water, and passion fruit in a sauce"&amp;"pan and bring to a boil until it reaches the thread stage.
Once cooled, pour over the mousse.")</f>
        <v>Blend the can of condensed milk, the heavy cream, and the concentrated passion fruit juice in a blender.
Place in a serving dish and refrigerate until very cold (or freeze if needed for the same day).
Combine the sugar, water, and passion fruit in a saucepan and bring to a boil until it reaches the thread stage.
Once cooled, pour over the mousse.</v>
      </c>
      <c r="E129" s="7" t="s">
        <v>512</v>
      </c>
    </row>
    <row r="130" spans="1:5" ht="86.4">
      <c r="A130" s="2">
        <v>128</v>
      </c>
      <c r="B130" s="2" t="str">
        <f ca="1">IFERROR(__xludf.DUMMYFUNCTION("GOOGLETRANSLATE(Portuguese!B130,""pt"",""en"")"),"Brazilian cheese bread")</f>
        <v>Brazilian cheese bread</v>
      </c>
      <c r="C130" s="2" t="str">
        <f ca="1">IFERROR(__xludf.DUMMYFUNCTION("GOOGLETRANSLATE(Portuguese!C130,""pt"",""en"")"),"4 cups (American) of sweet tapioca starch (500 g)
1 tablespoon of salt to taste
2 cups (American) of milk (300 ml)
1 cup (American) of oil (150 ml)
2 large eggs
4 cups (American) of grated semi-cured cheese
Oil for greasing")</f>
        <v>4 cups (American) of sweet tapioca starch (500 g)
1 tablespoon of salt to taste
2 cups (American) of milk (300 ml)
1 cup (American) of oil (150 ml)
2 large eggs
4 cups (American) of grated semi-cured cheese
Oil for greasing</v>
      </c>
      <c r="D130" s="2" t="str">
        <f ca="1">IFERROR(__xludf.DUMMYFUNCTION("GOOGLETRANSLATE(Portuguese!D130,""pt"",""en"")"),"Place the tapioca starch in a large bowl.
Separately, heat the salt, milk, and oil.
When it boils, scald the tapioca starch with this mixture, stirring very well to break up any lumps.
Let it cool.
Add the eggs, one at a time, alternating with the cheese "&amp;"and kneading well after each addition.
Grease your hands with oil, if necessary.
Roll small balls about 2 cm in diameter and place them on a greased baking sheet.
Bake in a preheated medium oven (180°C).
Bake until golden brown.")</f>
        <v>Place the tapioca starch in a large bowl.
Separately, heat the salt, milk, and oil.
When it boils, scald the tapioca starch with this mixture, stirring very well to break up any lumps.
Let it cool.
Add the eggs, one at a time, alternating with the cheese and kneading well after each addition.
Grease your hands with oil, if necessary.
Roll small balls about 2 cm in diameter and place them on a greased baking sheet.
Bake in a preheated medium oven (180°C).
Bake until golden brown.</v>
      </c>
      <c r="E130" s="7" t="s">
        <v>516</v>
      </c>
    </row>
    <row r="131" spans="1:5" ht="129.6">
      <c r="A131" s="2">
        <v>129</v>
      </c>
      <c r="B131" s="2" t="str">
        <f ca="1">IFERROR(__xludf.DUMMYFUNCTION("GOOGLETRANSLATE(Portuguese!B131,""pt"",""en"")"),"Carrot cake with chocolate frosting")</f>
        <v>Carrot cake with chocolate frosting</v>
      </c>
      <c r="C131" s="2" t="str">
        <f ca="1">IFERROR(__xludf.DUMMYFUNCTION("GOOGLETRANSLATE(Portuguese!C131,""pt"",""en"")"),"3 medium carrots
3 eggs
1 cup of oil
2 cups of sugar
2 cups of wheat flour
1 capful of baking powder (to sift with the baking powder)
Dark cocoa powder
3 tablespoons of milk
1 1/2 tablespoons of margarine
2 tablespoons of sugar")</f>
        <v>3 medium carrots
3 eggs
1 cup of oil
2 cups of sugar
2 cups of wheat flour
1 capful of baking powder (to sift with the baking powder)
Dark cocoa powder
3 tablespoons of milk
1 1/2 tablespoons of margarine
2 tablespoons of sugar</v>
      </c>
      <c r="D131" s="2" t="str">
        <f ca="1">IFERROR(__xludf.DUMMYFUNCTION("GOOGLETRANSLATE(Portuguese!D131,""pt"",""en"")"),"In a blender, place the eggs, oil, and carrots. Blend for 3 minutes to remove the egg smell.
In a separate bowl, place the dry ingredients.
Mix the two together, stirring well.
Microwave for 10 minutes (in an appropriate mold) while you prepare the syrup."&amp;"
Just put everything on the stove and stir constantly until it thickens.
If you prefer, microwave it, but always stop to stir because it will overflow and can burn.
Pour it over the still-warm cake.
If the cake is made in a silicone mold, it comes out sup"&amp;"er easily by applying a little oil to the mold and it won't break.
Boil the milk with the chocolate powder until it reaches a syrup consistency.")</f>
        <v>In a blender, place the eggs, oil, and carrots. Blend for 3 minutes to remove the egg smell.
In a separate bowl, place the dry ingredients.
Mix the two together, stirring well.
Microwave for 10 minutes (in an appropriate mold) while you prepare the syrup.
Just put everything on the stove and stir constantly until it thickens.
If you prefer, microwave it, but always stop to stir because it will overflow and can burn.
Pour it over the still-warm cake.
If the cake is made in a silicone mold, it comes out super easily by applying a little oil to the mold and it won't break.
Boil the milk with the chocolate powder until it reaches a syrup consistency.</v>
      </c>
      <c r="E131" s="7" t="s">
        <v>520</v>
      </c>
    </row>
    <row r="132" spans="1:5" ht="100.8">
      <c r="A132" s="2">
        <v>130</v>
      </c>
      <c r="B132" s="2" t="str">
        <f ca="1">IFERROR(__xludf.DUMMYFUNCTION("GOOGLETRANSLATE(Portuguese!B132,""pt"",""en"")"),"Savory bread and chicken cake")</f>
        <v>Savory bread and chicken cake</v>
      </c>
      <c r="C132" s="2" t="str">
        <f ca="1">IFERROR(__xludf.DUMMYFUNCTION("GOOGLETRANSLATE(Portuguese!C132,""pt"",""en"")"),"2 packages of sliced ​​bread
2 chicken breasts
1 chopped tomato (seeds removed)
1 large chopped onion
1 chopped garlic clove
1 chicken bouillon cube
parsley
salt
olive oil
1 can of cream
1 grated carrot
1 can of corn
chopped olives
chopped mushroo"&amp;"ms
1/2 jar of mayonnaise
1/2 jar of mayonnaise
potato sticks")</f>
        <v>2 packages of sliced ​​bread
2 chicken breasts
1 chopped tomato (seeds removed)
1 large chopped onion
1 chopped garlic clove
1 chicken bouillon cube
parsley
salt
olive oil
1 can of cream
1 grated carrot
1 can of corn
chopped olives
chopped mushrooms
1/2 jar of mayonnaise
1/2 jar of mayonnaise
potato sticks</v>
      </c>
      <c r="D132" s="2" t="str">
        <f ca="1">IFERROR(__xludf.DUMMYFUNCTION("GOOGLETRANSLATE(Portuguese!D132,""pt"",""en"")"),"Cook the chicken breasts with water, salt, and chicken broth in a pressure cooker for 30 minutes.
Drain the water and shred all the chicken.
In a pan, sauté the olive oil, onion, garlic, and tomato.
Add the chicken, adjust the salt if necessary, stir for "&amp;"a few minutes, and turn off the heat.
Add the corn, olives, mushrooms, cream, and 1/2 jar of mayonnaise.
Remove the crusts from the bread and set aside.
Line a baking dish or casserole dish with aluminum foil and line it with the first layer of bread slic"&amp;"es.
Pour some mayonnaise, add half of the filling and half of the grated carrot.
Place the second layer of bread slices and repeat the process until the entire dish is filled.
Refrigerate for 30 minutes.
After the allotted time, remove from the refrigerat"&amp;"or and unmold.
Spread the remaining mayonnaise around the cake and cover with potato sticks.")</f>
        <v>Cook the chicken breasts with water, salt, and chicken broth in a pressure cooker for 30 minutes.
Drain the water and shred all the chicken.
In a pan, sauté the olive oil, onion, garlic, and tomato.
Add the chicken, adjust the salt if necessary, stir for a few minutes, and turn off the heat.
Add the corn, olives, mushrooms, cream, and 1/2 jar of mayonnaise.
Remove the crusts from the bread and set aside.
Line a baking dish or casserole dish with aluminum foil and line it with the first layer of bread slices.
Pour some mayonnaise, add half of the filling and half of the grated carrot.
Place the second layer of bread slices and repeat the process until the entire dish is filled.
Refrigerate for 30 minutes.
After the allotted time, remove from the refrigerator and unmold.
Spread the remaining mayonnaise around the cake and cover with potato sticks.</v>
      </c>
      <c r="E132" s="7" t="s">
        <v>524</v>
      </c>
    </row>
    <row r="133" spans="1:5" ht="72">
      <c r="A133" s="2">
        <v>131</v>
      </c>
      <c r="B133" s="2" t="str">
        <f ca="1">IFERROR(__xludf.DUMMYFUNCTION("GOOGLETRANSLATE(Portuguese!B133,""pt"",""en"")"),"Churros")</f>
        <v>Churros</v>
      </c>
      <c r="C133" s="2" t="str">
        <f ca="1">IFERROR(__xludf.DUMMYFUNCTION("GOOGLETRANSLATE(Portuguese!C133,""pt"",""en"")"),"1 1/2 cups (tea) of milk
1/2 cup (tea) of water
2 tablespoons of margarine or butter
2 cups (tea) of wheat flour
Salt to taste
Sugar to taste
Cinnamon to taste")</f>
        <v>1 1/2 cups (tea) of milk
1/2 cup (tea) of water
2 tablespoons of margarine or butter
2 cups (tea) of wheat flour
Salt to taste
Sugar to taste
Cinnamon to taste</v>
      </c>
      <c r="D133" s="2" t="str">
        <f ca="1">IFERROR(__xludf.DUMMYFUNCTION("GOOGLETRANSLATE(Portuguese!D133,""pt"",""en"")"),"In a saucepan, add the milk, water, butter, and salt.
When the milk boils, add the wheat flour and stir quickly until the dough comes away from the bottom of the pan.
Place the dough in a piping bag with a star tip, then pipe strips of dough and fry.
Mix "&amp;"the cinnamon and sugar, then coat the fried churros.")</f>
        <v>In a saucepan, add the milk, water, butter, and salt.
When the milk boils, add the wheat flour and stir quickly until the dough comes away from the bottom of the pan.
Place the dough in a piping bag with a star tip, then pipe strips of dough and fry.
Mix the cinnamon and sugar, then coat the fried churros.</v>
      </c>
      <c r="E133" s="7" t="s">
        <v>528</v>
      </c>
    </row>
    <row r="134" spans="1:5" ht="100.8">
      <c r="A134" s="2">
        <v>132</v>
      </c>
      <c r="B134" s="2" t="str">
        <f ca="1">IFERROR(__xludf.DUMMYFUNCTION("GOOGLETRANSLATE(Portuguese!B134,""pt"",""en"")"),"Chocolate Pavé")</f>
        <v>Chocolate Pavé</v>
      </c>
      <c r="C134" s="2" t="str">
        <f ca="1">IFERROR(__xludf.DUMMYFUNCTION("GOOGLETRANSLATE(Portuguese!C134,""pt"",""en"")"),"1 package of cornstarch cookies
1/2 cup of milk
1 tablespoon of cocoa powder
1 can of sweetened condensed milk
1 can of cow's milk (use the condensed milk can as a measure)
1 tablespoon of cornstarch
2 egg yolks
1 can of sweetened condensed milk
1 c"&amp;"an of cow's milk (use the condensed milk can as a measure)
1 tablespoon of cornstarch
2 egg yolks
4 tablespoons of cocoa powder
4 egg whites
4 tablespoons of sugar
1 can of heavy cream (without whey)")</f>
        <v>1 package of cornstarch cookies
1/2 cup of milk
1 tablespoon of cocoa powder
1 can of sweetened condensed milk
1 can of cow's milk (use the condensed milk can as a measure)
1 tablespoon of cornstarch
2 egg yolks
1 can of sweetened condensed milk
1 can of cow's milk (use the condensed milk can as a measure)
1 tablespoon of cornstarch
2 egg yolks
4 tablespoons of cocoa powder
4 egg whites
4 tablespoons of sugar
1 can of heavy cream (without whey)</v>
      </c>
      <c r="D134" s="2" t="str">
        <f ca="1">IFERROR(__xludf.DUMMYFUNCTION("GOOGLETRANSLATE(Portuguese!D134,""pt"",""en"")"),"In a bowl, mix the milk and cocoa powder until completely dissolved.
Soak the cookies in the milk and set aside.
In a saucepan, bring all the ingredients to a medium heat and mix until you obtain a thick and creamy consistency.
Repeat the process done wit"&amp;"h the white cream.
Beat the egg whites with the sugar until you obtain a consistent cream, add the heavy cream and mix gently.
In a large baking dish, pour the white cream, half of the cookies, chocolate cream, cookies and meringue.
Repeat the process unt"&amp;"il the entire baking dish is filled and refrigerate for 40 minutes.")</f>
        <v>In a bowl, mix the milk and cocoa powder until completely dissolved.
Soak the cookies in the milk and set aside.
In a saucepan, bring all the ingredients to a medium heat and mix until you obtain a thick and creamy consistency.
Repeat the process done with the white cream.
Beat the egg whites with the sugar until you obtain a consistent cream, add the heavy cream and mix gently.
In a large baking dish, pour the white cream, half of the cookies, chocolate cream, cookies and meringue.
Repeat the process until the entire baking dish is filled and refrigerate for 40 minutes.</v>
      </c>
      <c r="E134" s="7" t="s">
        <v>532</v>
      </c>
    </row>
    <row r="135" spans="1:5" ht="86.4">
      <c r="A135" s="2">
        <v>133</v>
      </c>
      <c r="B135" s="2" t="str">
        <f ca="1">IFERROR(__xludf.DUMMYFUNCTION("GOOGLETRANSLATE(Portuguese!B135,""pt"",""en"")"),"Simple white sauce")</f>
        <v>Simple white sauce</v>
      </c>
      <c r="C135" s="2" t="str">
        <f ca="1">IFERROR(__xludf.DUMMYFUNCTION("GOOGLETRANSLATE(Portuguese!C135,""pt"",""en"")"),"2 cups cold milk
2 tablespoons butter or margarine
2 cloves garlic, minced
1/2 medium onion, chopped
2 tablespoons all-purpose flour (or cornstarch)
1 vegetable bouillon cube
Salt to taste")</f>
        <v>2 cups cold milk
2 tablespoons butter or margarine
2 cloves garlic, minced
1/2 medium onion, chopped
2 tablespoons all-purpose flour (or cornstarch)
1 vegetable bouillon cube
Salt to taste</v>
      </c>
      <c r="D135" s="2" t="str">
        <f ca="1">IFERROR(__xludf.DUMMYFUNCTION("GOOGLETRANSLATE(Portuguese!D135,""pt"",""en"")"),"Dissolve the wheat flour in 1/2 cup of milk and set aside.
In a saucepan, sauté the garlic and onion in margarine.
Add the milk with the flour, stir a little, and then add the remaining milk.
After boiling, add the vegetable broth.
Stir constantly until c"&amp;"reamy.")</f>
        <v>Dissolve the wheat flour in 1/2 cup of milk and set aside.
In a saucepan, sauté the garlic and onion in margarine.
Add the milk with the flour, stir a little, and then add the remaining milk.
After boiling, add the vegetable broth.
Stir constantly until creamy.</v>
      </c>
      <c r="E135" s="7" t="s">
        <v>536</v>
      </c>
    </row>
    <row r="136" spans="1:5" ht="100.8">
      <c r="A136" s="2">
        <v>134</v>
      </c>
      <c r="B136" s="2" t="str">
        <f ca="1">IFERROR(__xludf.DUMMYFUNCTION("GOOGLETRANSLATE(Portuguese!B136,""pt"",""en"")"),"Chocolate mousse")</f>
        <v>Chocolate mousse</v>
      </c>
      <c r="C136" s="2" t="str">
        <f ca="1">IFERROR(__xludf.DUMMYFUNCTION("GOOGLETRANSLATE(Portuguese!C136,""pt"",""en"")"),"1 can of sweetened condensed milk
1 teaspoon of butter or margarine
1 can of chilled heavy cream
3 egg whites, beaten to stiff peaks
4 tablespoons of chocolate powder")</f>
        <v>1 can of sweetened condensed milk
1 teaspoon of butter or margarine
1 can of chilled heavy cream
3 egg whites, beaten to stiff peaks
4 tablespoons of chocolate powder</v>
      </c>
      <c r="D136" s="2" t="str">
        <f ca="1">IFERROR(__xludf.DUMMYFUNCTION("GOOGLETRANSLATE(Portuguese!D136,""pt"",""en"")"),"Bring the condensed milk, butter, and chocolate powder to a boil, stirring constantly until the mixture pulls away from the bottom of the pan.
Set aside and let cool.
Mix the heavy cream and beaten egg whites until well combined.
Pour the mixture into a b"&amp;"aking dish and freeze for approximately 50 minutes.
Serve chilled.")</f>
        <v>Bring the condensed milk, butter, and chocolate powder to a boil, stirring constantly until the mixture pulls away from the bottom of the pan.
Set aside and let cool.
Mix the heavy cream and beaten egg whites until well combined.
Pour the mixture into a baking dish and freeze for approximately 50 minutes.
Serve chilled.</v>
      </c>
      <c r="E136" s="7" t="s">
        <v>539</v>
      </c>
    </row>
    <row r="200" spans="1:5" ht="13.2">
      <c r="A200" s="8" t="s">
        <v>629</v>
      </c>
      <c r="B200" s="8" t="s">
        <v>631</v>
      </c>
      <c r="C200" s="8" t="s">
        <v>632</v>
      </c>
      <c r="D200" s="8" t="s">
        <v>633</v>
      </c>
      <c r="E200" s="8" t="s">
        <v>630</v>
      </c>
    </row>
    <row r="201" spans="1:5" ht="145.19999999999999">
      <c r="A201" s="9">
        <v>0</v>
      </c>
      <c r="B201" s="9" t="s">
        <v>634</v>
      </c>
      <c r="C201" s="9" t="s">
        <v>635</v>
      </c>
      <c r="D201" s="9" t="s">
        <v>636</v>
      </c>
      <c r="E201" s="9" t="s">
        <v>7</v>
      </c>
    </row>
  </sheetData>
  <hyperlinks>
    <hyperlink ref="E2" r:id="rId1" xr:uid="{00000000-0004-0000-0100-000000000000}"/>
    <hyperlink ref="E3" r:id="rId2" xr:uid="{00000000-0004-0000-0100-000001000000}"/>
    <hyperlink ref="E4" r:id="rId3" xr:uid="{00000000-0004-0000-0100-000002000000}"/>
    <hyperlink ref="E5" r:id="rId4" xr:uid="{00000000-0004-0000-0100-000003000000}"/>
    <hyperlink ref="E6" r:id="rId5" xr:uid="{00000000-0004-0000-0100-000004000000}"/>
    <hyperlink ref="E7" r:id="rId6" xr:uid="{00000000-0004-0000-0100-000005000000}"/>
    <hyperlink ref="E8" r:id="rId7" xr:uid="{00000000-0004-0000-0100-000006000000}"/>
    <hyperlink ref="E9" r:id="rId8" xr:uid="{00000000-0004-0000-0100-000007000000}"/>
    <hyperlink ref="E10" r:id="rId9" xr:uid="{00000000-0004-0000-0100-000008000000}"/>
    <hyperlink ref="E11" r:id="rId10" xr:uid="{00000000-0004-0000-0100-000009000000}"/>
    <hyperlink ref="E12" r:id="rId11" xr:uid="{00000000-0004-0000-0100-00000A000000}"/>
    <hyperlink ref="E13" r:id="rId12" xr:uid="{00000000-0004-0000-0100-00000B000000}"/>
    <hyperlink ref="E14" r:id="rId13" xr:uid="{00000000-0004-0000-0100-00000C000000}"/>
    <hyperlink ref="E15" r:id="rId14" xr:uid="{00000000-0004-0000-0100-00000D000000}"/>
    <hyperlink ref="E16" r:id="rId15" xr:uid="{00000000-0004-0000-0100-00000E000000}"/>
    <hyperlink ref="E17" r:id="rId16" xr:uid="{00000000-0004-0000-0100-00000F000000}"/>
    <hyperlink ref="E18" r:id="rId17" xr:uid="{00000000-0004-0000-0100-000010000000}"/>
    <hyperlink ref="E19" r:id="rId18" xr:uid="{00000000-0004-0000-0100-000011000000}"/>
    <hyperlink ref="E20" r:id="rId19" xr:uid="{00000000-0004-0000-0100-000012000000}"/>
    <hyperlink ref="E21" r:id="rId20" xr:uid="{00000000-0004-0000-0100-000013000000}"/>
    <hyperlink ref="E22" r:id="rId21" xr:uid="{00000000-0004-0000-0100-000014000000}"/>
    <hyperlink ref="E23" r:id="rId22" xr:uid="{00000000-0004-0000-0100-000015000000}"/>
    <hyperlink ref="E24" r:id="rId23" xr:uid="{00000000-0004-0000-0100-000016000000}"/>
    <hyperlink ref="E25" r:id="rId24" xr:uid="{00000000-0004-0000-0100-000017000000}"/>
    <hyperlink ref="E26" r:id="rId25" xr:uid="{00000000-0004-0000-0100-000018000000}"/>
    <hyperlink ref="E27" r:id="rId26" xr:uid="{00000000-0004-0000-0100-000019000000}"/>
    <hyperlink ref="E28" r:id="rId27" xr:uid="{00000000-0004-0000-0100-00001A000000}"/>
    <hyperlink ref="E29" r:id="rId28" xr:uid="{00000000-0004-0000-0100-00001B000000}"/>
    <hyperlink ref="E30" r:id="rId29" xr:uid="{00000000-0004-0000-0100-00001C000000}"/>
    <hyperlink ref="E31" r:id="rId30" xr:uid="{00000000-0004-0000-0100-00001D000000}"/>
    <hyperlink ref="E32" r:id="rId31" xr:uid="{00000000-0004-0000-0100-00001E000000}"/>
    <hyperlink ref="E33" r:id="rId32" xr:uid="{00000000-0004-0000-0100-00001F000000}"/>
    <hyperlink ref="E34" r:id="rId33" xr:uid="{00000000-0004-0000-0100-000020000000}"/>
    <hyperlink ref="E35" r:id="rId34" xr:uid="{00000000-0004-0000-0100-000021000000}"/>
    <hyperlink ref="E36" r:id="rId35" xr:uid="{00000000-0004-0000-0100-000022000000}"/>
    <hyperlink ref="E37" r:id="rId36" xr:uid="{00000000-0004-0000-0100-000023000000}"/>
    <hyperlink ref="E38" r:id="rId37" xr:uid="{00000000-0004-0000-0100-000024000000}"/>
    <hyperlink ref="E39" r:id="rId38" xr:uid="{00000000-0004-0000-0100-000025000000}"/>
    <hyperlink ref="E40" r:id="rId39" xr:uid="{00000000-0004-0000-0100-000026000000}"/>
    <hyperlink ref="E41" r:id="rId40" xr:uid="{00000000-0004-0000-0100-000027000000}"/>
    <hyperlink ref="E42" r:id="rId41" xr:uid="{00000000-0004-0000-0100-000028000000}"/>
    <hyperlink ref="E43" r:id="rId42" xr:uid="{00000000-0004-0000-0100-000029000000}"/>
    <hyperlink ref="E44" r:id="rId43" xr:uid="{00000000-0004-0000-0100-00002A000000}"/>
    <hyperlink ref="E45" r:id="rId44" xr:uid="{00000000-0004-0000-0100-00002B000000}"/>
    <hyperlink ref="E46" r:id="rId45" xr:uid="{00000000-0004-0000-0100-00002C000000}"/>
    <hyperlink ref="E47" r:id="rId46" xr:uid="{00000000-0004-0000-0100-00002D000000}"/>
    <hyperlink ref="E48" r:id="rId47" xr:uid="{00000000-0004-0000-0100-00002E000000}"/>
    <hyperlink ref="E49" r:id="rId48" xr:uid="{00000000-0004-0000-0100-00002F000000}"/>
    <hyperlink ref="E50" r:id="rId49" xr:uid="{00000000-0004-0000-0100-000030000000}"/>
    <hyperlink ref="E51" r:id="rId50" xr:uid="{00000000-0004-0000-0100-000031000000}"/>
    <hyperlink ref="E52" r:id="rId51" xr:uid="{00000000-0004-0000-0100-000032000000}"/>
    <hyperlink ref="E53" r:id="rId52" xr:uid="{00000000-0004-0000-0100-000033000000}"/>
    <hyperlink ref="E54" r:id="rId53" xr:uid="{00000000-0004-0000-0100-000034000000}"/>
    <hyperlink ref="E55" r:id="rId54" xr:uid="{00000000-0004-0000-0100-000035000000}"/>
    <hyperlink ref="E56" r:id="rId55" xr:uid="{00000000-0004-0000-0100-000036000000}"/>
    <hyperlink ref="E57" r:id="rId56" xr:uid="{00000000-0004-0000-0100-000037000000}"/>
    <hyperlink ref="E58" r:id="rId57" xr:uid="{00000000-0004-0000-0100-000038000000}"/>
    <hyperlink ref="E59" r:id="rId58" xr:uid="{00000000-0004-0000-0100-000039000000}"/>
    <hyperlink ref="E60" r:id="rId59" xr:uid="{00000000-0004-0000-0100-00003A000000}"/>
    <hyperlink ref="E61" r:id="rId60" xr:uid="{00000000-0004-0000-0100-00003B000000}"/>
    <hyperlink ref="E62" r:id="rId61" xr:uid="{00000000-0004-0000-0100-00003C000000}"/>
    <hyperlink ref="E63" r:id="rId62" xr:uid="{00000000-0004-0000-0100-00003D000000}"/>
    <hyperlink ref="E64" r:id="rId63" xr:uid="{00000000-0004-0000-0100-00003E000000}"/>
    <hyperlink ref="E65" r:id="rId64" xr:uid="{00000000-0004-0000-0100-00003F000000}"/>
    <hyperlink ref="E66" r:id="rId65" xr:uid="{00000000-0004-0000-0100-000040000000}"/>
    <hyperlink ref="E67" r:id="rId66" xr:uid="{00000000-0004-0000-0100-000041000000}"/>
    <hyperlink ref="E68" r:id="rId67" xr:uid="{00000000-0004-0000-0100-000042000000}"/>
    <hyperlink ref="E69" r:id="rId68" xr:uid="{00000000-0004-0000-0100-000043000000}"/>
    <hyperlink ref="E70" r:id="rId69" xr:uid="{00000000-0004-0000-0100-000044000000}"/>
    <hyperlink ref="E71" r:id="rId70" xr:uid="{00000000-0004-0000-0100-000045000000}"/>
    <hyperlink ref="E72" r:id="rId71" xr:uid="{00000000-0004-0000-0100-000046000000}"/>
    <hyperlink ref="E73" r:id="rId72" xr:uid="{00000000-0004-0000-0100-000047000000}"/>
    <hyperlink ref="E74" r:id="rId73" xr:uid="{00000000-0004-0000-0100-000048000000}"/>
    <hyperlink ref="E75" r:id="rId74" xr:uid="{00000000-0004-0000-0100-000049000000}"/>
    <hyperlink ref="E76" r:id="rId75" xr:uid="{00000000-0004-0000-0100-00004A000000}"/>
    <hyperlink ref="E77" r:id="rId76" xr:uid="{00000000-0004-0000-0100-00004B000000}"/>
    <hyperlink ref="E78" r:id="rId77" xr:uid="{00000000-0004-0000-0100-00004C000000}"/>
    <hyperlink ref="E79" r:id="rId78" xr:uid="{00000000-0004-0000-0100-00004D000000}"/>
    <hyperlink ref="E80" r:id="rId79" xr:uid="{00000000-0004-0000-0100-00004E000000}"/>
    <hyperlink ref="E81" r:id="rId80" xr:uid="{00000000-0004-0000-0100-00004F000000}"/>
    <hyperlink ref="E82" r:id="rId81" xr:uid="{00000000-0004-0000-0100-000050000000}"/>
    <hyperlink ref="E83" r:id="rId82" xr:uid="{00000000-0004-0000-0100-000051000000}"/>
    <hyperlink ref="E84" r:id="rId83" xr:uid="{00000000-0004-0000-0100-000052000000}"/>
    <hyperlink ref="E85" r:id="rId84" xr:uid="{00000000-0004-0000-0100-000053000000}"/>
    <hyperlink ref="E86" r:id="rId85" xr:uid="{00000000-0004-0000-0100-000054000000}"/>
    <hyperlink ref="E87" r:id="rId86" xr:uid="{00000000-0004-0000-0100-000055000000}"/>
    <hyperlink ref="E88" r:id="rId87" xr:uid="{00000000-0004-0000-0100-000056000000}"/>
    <hyperlink ref="E89" r:id="rId88" xr:uid="{00000000-0004-0000-0100-000057000000}"/>
    <hyperlink ref="E90" r:id="rId89" xr:uid="{00000000-0004-0000-0100-000058000000}"/>
    <hyperlink ref="E91" r:id="rId90" xr:uid="{00000000-0004-0000-0100-000059000000}"/>
    <hyperlink ref="E92" r:id="rId91" xr:uid="{00000000-0004-0000-0100-00005A000000}"/>
    <hyperlink ref="E93" r:id="rId92" xr:uid="{00000000-0004-0000-0100-00005B000000}"/>
    <hyperlink ref="E94" r:id="rId93" xr:uid="{00000000-0004-0000-0100-00005C000000}"/>
    <hyperlink ref="E95" r:id="rId94" xr:uid="{00000000-0004-0000-0100-00005D000000}"/>
    <hyperlink ref="E96" r:id="rId95" xr:uid="{00000000-0004-0000-0100-00005E000000}"/>
    <hyperlink ref="E97" r:id="rId96" xr:uid="{00000000-0004-0000-0100-00005F000000}"/>
    <hyperlink ref="E98" r:id="rId97" xr:uid="{00000000-0004-0000-0100-000060000000}"/>
    <hyperlink ref="E99" r:id="rId98" xr:uid="{00000000-0004-0000-0100-000061000000}"/>
    <hyperlink ref="E100" r:id="rId99" xr:uid="{00000000-0004-0000-0100-000062000000}"/>
    <hyperlink ref="E101" r:id="rId100" xr:uid="{00000000-0004-0000-0100-000063000000}"/>
    <hyperlink ref="E102" r:id="rId101" xr:uid="{00000000-0004-0000-0100-000064000000}"/>
    <hyperlink ref="E103" r:id="rId102" xr:uid="{00000000-0004-0000-0100-000065000000}"/>
    <hyperlink ref="E104" r:id="rId103" xr:uid="{00000000-0004-0000-0100-000066000000}"/>
    <hyperlink ref="E105" r:id="rId104" xr:uid="{00000000-0004-0000-0100-000067000000}"/>
    <hyperlink ref="E106" r:id="rId105" xr:uid="{00000000-0004-0000-0100-000068000000}"/>
    <hyperlink ref="E107" r:id="rId106" xr:uid="{00000000-0004-0000-0100-000069000000}"/>
    <hyperlink ref="E108" r:id="rId107" xr:uid="{00000000-0004-0000-0100-00006A000000}"/>
    <hyperlink ref="E109" r:id="rId108" xr:uid="{00000000-0004-0000-0100-00006B000000}"/>
    <hyperlink ref="E110" r:id="rId109" xr:uid="{00000000-0004-0000-0100-00006C000000}"/>
    <hyperlink ref="E111" r:id="rId110" xr:uid="{00000000-0004-0000-0100-00006D000000}"/>
    <hyperlink ref="E112" r:id="rId111" xr:uid="{00000000-0004-0000-0100-00006E000000}"/>
    <hyperlink ref="E113" r:id="rId112" xr:uid="{00000000-0004-0000-0100-00006F000000}"/>
    <hyperlink ref="E114" r:id="rId113" xr:uid="{00000000-0004-0000-0100-000070000000}"/>
    <hyperlink ref="E115" r:id="rId114" xr:uid="{00000000-0004-0000-0100-000071000000}"/>
    <hyperlink ref="E116" r:id="rId115" xr:uid="{00000000-0004-0000-0100-000072000000}"/>
    <hyperlink ref="E117" r:id="rId116" xr:uid="{00000000-0004-0000-0100-000073000000}"/>
    <hyperlink ref="E118" r:id="rId117" xr:uid="{00000000-0004-0000-0100-000074000000}"/>
    <hyperlink ref="E119" r:id="rId118" xr:uid="{00000000-0004-0000-0100-000075000000}"/>
    <hyperlink ref="E120" r:id="rId119" xr:uid="{00000000-0004-0000-0100-000076000000}"/>
    <hyperlink ref="E121" r:id="rId120" xr:uid="{00000000-0004-0000-0100-000077000000}"/>
    <hyperlink ref="E122" r:id="rId121" xr:uid="{00000000-0004-0000-0100-000078000000}"/>
    <hyperlink ref="E123" r:id="rId122" xr:uid="{00000000-0004-0000-0100-000079000000}"/>
    <hyperlink ref="E124" r:id="rId123" xr:uid="{00000000-0004-0000-0100-00007A000000}"/>
    <hyperlink ref="E125" r:id="rId124" xr:uid="{00000000-0004-0000-0100-00007B000000}"/>
    <hyperlink ref="E126" r:id="rId125" xr:uid="{00000000-0004-0000-0100-00007C000000}"/>
    <hyperlink ref="E127" r:id="rId126" xr:uid="{00000000-0004-0000-0100-00007D000000}"/>
    <hyperlink ref="E128" r:id="rId127" xr:uid="{00000000-0004-0000-0100-00007E000000}"/>
    <hyperlink ref="E129" r:id="rId128" xr:uid="{00000000-0004-0000-0100-00007F000000}"/>
    <hyperlink ref="E130" r:id="rId129" xr:uid="{00000000-0004-0000-0100-000080000000}"/>
    <hyperlink ref="E131" r:id="rId130" xr:uid="{00000000-0004-0000-0100-000081000000}"/>
    <hyperlink ref="E132" r:id="rId131" xr:uid="{00000000-0004-0000-0100-000082000000}"/>
    <hyperlink ref="E133" r:id="rId132" xr:uid="{00000000-0004-0000-0100-000083000000}"/>
    <hyperlink ref="E134" r:id="rId133" xr:uid="{00000000-0004-0000-0100-000084000000}"/>
    <hyperlink ref="E135" r:id="rId134" xr:uid="{00000000-0004-0000-0100-000085000000}"/>
    <hyperlink ref="E136" r:id="rId135" xr:uid="{00000000-0004-0000-0100-000086000000}"/>
  </hyperlinks>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86"/>
  <sheetViews>
    <sheetView workbookViewId="0">
      <selection sqref="A1:C1"/>
    </sheetView>
  </sheetViews>
  <sheetFormatPr defaultColWidth="12.6640625" defaultRowHeight="15.75" customHeight="1"/>
  <sheetData>
    <row r="1" spans="1:11" ht="13.2">
      <c r="A1" s="179" t="s">
        <v>540</v>
      </c>
      <c r="B1" s="180"/>
      <c r="C1" s="180"/>
      <c r="E1" s="179" t="s">
        <v>541</v>
      </c>
      <c r="F1" s="180"/>
      <c r="G1" s="180"/>
      <c r="K1" s="10" t="s">
        <v>637</v>
      </c>
    </row>
    <row r="2" spans="1:11" ht="15.75" customHeight="1">
      <c r="A2" s="1"/>
      <c r="B2" s="2" t="s">
        <v>638</v>
      </c>
      <c r="C2" s="2" t="s">
        <v>543</v>
      </c>
      <c r="E2" s="1"/>
      <c r="F2" s="2" t="s">
        <v>638</v>
      </c>
      <c r="G2" s="2" t="s">
        <v>543</v>
      </c>
      <c r="J2" s="10" t="s">
        <v>540</v>
      </c>
      <c r="K2" s="10">
        <v>58</v>
      </c>
    </row>
    <row r="3" spans="1:11" ht="15.75" customHeight="1">
      <c r="B3" s="11" t="s">
        <v>639</v>
      </c>
      <c r="C3" s="12">
        <v>41</v>
      </c>
      <c r="F3" s="11" t="s">
        <v>640</v>
      </c>
      <c r="G3" s="12">
        <v>65</v>
      </c>
      <c r="J3" s="10" t="s">
        <v>541</v>
      </c>
      <c r="K3" s="10">
        <v>79</v>
      </c>
    </row>
    <row r="4" spans="1:11" ht="15.75" customHeight="1">
      <c r="B4" s="13" t="s">
        <v>641</v>
      </c>
      <c r="C4" s="4">
        <v>37</v>
      </c>
      <c r="F4" s="13" t="s">
        <v>641</v>
      </c>
      <c r="G4" s="4">
        <v>62</v>
      </c>
    </row>
    <row r="5" spans="1:11" ht="15.75" customHeight="1">
      <c r="B5" s="13" t="s">
        <v>642</v>
      </c>
      <c r="C5" s="4">
        <v>36</v>
      </c>
      <c r="F5" s="13" t="s">
        <v>642</v>
      </c>
      <c r="G5" s="4">
        <v>62</v>
      </c>
    </row>
    <row r="6" spans="1:11" ht="15.75" customHeight="1">
      <c r="B6" s="13" t="s">
        <v>643</v>
      </c>
      <c r="C6" s="4">
        <v>35</v>
      </c>
      <c r="F6" s="13" t="s">
        <v>643</v>
      </c>
      <c r="G6" s="4">
        <v>58</v>
      </c>
    </row>
    <row r="7" spans="1:11" ht="15.75" customHeight="1">
      <c r="B7" s="13" t="s">
        <v>644</v>
      </c>
      <c r="C7" s="4">
        <v>27</v>
      </c>
      <c r="F7" s="13" t="s">
        <v>645</v>
      </c>
      <c r="G7" s="4">
        <v>43</v>
      </c>
    </row>
    <row r="8" spans="1:11" ht="15.75" customHeight="1">
      <c r="B8" s="13" t="s">
        <v>645</v>
      </c>
      <c r="C8" s="4">
        <v>26</v>
      </c>
      <c r="F8" s="13" t="s">
        <v>644</v>
      </c>
      <c r="G8" s="4">
        <v>40</v>
      </c>
    </row>
    <row r="9" spans="1:11" ht="15.75" customHeight="1">
      <c r="B9" s="13" t="s">
        <v>551</v>
      </c>
      <c r="C9" s="4">
        <v>21</v>
      </c>
      <c r="F9" s="13" t="s">
        <v>646</v>
      </c>
      <c r="G9" s="4">
        <v>40</v>
      </c>
    </row>
    <row r="10" spans="1:11" ht="15.75" customHeight="1">
      <c r="B10" s="13" t="s">
        <v>646</v>
      </c>
      <c r="C10" s="4">
        <v>20</v>
      </c>
      <c r="F10" s="13" t="s">
        <v>551</v>
      </c>
      <c r="G10" s="4">
        <v>34</v>
      </c>
    </row>
    <row r="11" spans="1:11" ht="15.75" customHeight="1">
      <c r="B11" s="13" t="s">
        <v>647</v>
      </c>
      <c r="C11" s="4">
        <v>16</v>
      </c>
      <c r="F11" s="13" t="s">
        <v>648</v>
      </c>
      <c r="G11" s="4">
        <v>31</v>
      </c>
    </row>
    <row r="12" spans="1:11" ht="15.75" customHeight="1">
      <c r="B12" s="13" t="s">
        <v>648</v>
      </c>
      <c r="C12" s="4">
        <v>16</v>
      </c>
      <c r="F12" s="13" t="s">
        <v>649</v>
      </c>
      <c r="G12" s="4">
        <v>28</v>
      </c>
    </row>
    <row r="13" spans="1:11" ht="15.75" customHeight="1">
      <c r="B13" s="13" t="s">
        <v>649</v>
      </c>
      <c r="C13" s="4">
        <v>15</v>
      </c>
      <c r="F13" s="13" t="s">
        <v>647</v>
      </c>
      <c r="G13" s="4">
        <v>27</v>
      </c>
    </row>
    <row r="14" spans="1:11" ht="15.75" customHeight="1">
      <c r="B14" s="13" t="s">
        <v>650</v>
      </c>
      <c r="C14" s="4">
        <v>14</v>
      </c>
      <c r="F14" s="13" t="s">
        <v>650</v>
      </c>
      <c r="G14" s="4">
        <v>25</v>
      </c>
    </row>
    <row r="15" spans="1:11" ht="15.75" customHeight="1">
      <c r="B15" s="13" t="s">
        <v>651</v>
      </c>
      <c r="C15" s="4">
        <v>11</v>
      </c>
      <c r="F15" s="13" t="s">
        <v>651</v>
      </c>
      <c r="G15" s="4">
        <v>20</v>
      </c>
    </row>
    <row r="16" spans="1:11" ht="15.75" customHeight="1">
      <c r="B16" s="13" t="s">
        <v>652</v>
      </c>
      <c r="C16" s="4">
        <v>10</v>
      </c>
      <c r="F16" s="13" t="s">
        <v>653</v>
      </c>
      <c r="G16" s="4">
        <v>17</v>
      </c>
    </row>
    <row r="17" spans="2:7" ht="15.75" customHeight="1">
      <c r="B17" s="13" t="s">
        <v>653</v>
      </c>
      <c r="C17" s="4">
        <v>9</v>
      </c>
      <c r="F17" s="13" t="s">
        <v>652</v>
      </c>
      <c r="G17" s="4">
        <v>16</v>
      </c>
    </row>
    <row r="18" spans="2:7" ht="15.75" customHeight="1">
      <c r="B18" s="13" t="s">
        <v>654</v>
      </c>
      <c r="C18" s="4">
        <v>6</v>
      </c>
      <c r="F18" s="13" t="s">
        <v>655</v>
      </c>
      <c r="G18" s="4">
        <v>12</v>
      </c>
    </row>
    <row r="19" spans="2:7" ht="15.75" customHeight="1">
      <c r="B19" s="13" t="s">
        <v>656</v>
      </c>
      <c r="C19" s="4">
        <v>6</v>
      </c>
      <c r="F19" s="13" t="s">
        <v>657</v>
      </c>
      <c r="G19" s="4">
        <v>11</v>
      </c>
    </row>
    <row r="20" spans="2:7" ht="15.75" customHeight="1">
      <c r="B20" s="13" t="s">
        <v>658</v>
      </c>
      <c r="C20" s="4">
        <v>6</v>
      </c>
      <c r="F20" s="13" t="s">
        <v>659</v>
      </c>
      <c r="G20" s="4">
        <v>11</v>
      </c>
    </row>
    <row r="21" spans="2:7" ht="15.75" customHeight="1">
      <c r="B21" s="13" t="s">
        <v>655</v>
      </c>
      <c r="C21" s="4">
        <v>6</v>
      </c>
      <c r="F21" s="13" t="s">
        <v>656</v>
      </c>
      <c r="G21" s="4">
        <v>10</v>
      </c>
    </row>
    <row r="22" spans="2:7" ht="15.75" customHeight="1">
      <c r="B22" s="13" t="s">
        <v>660</v>
      </c>
      <c r="C22" s="4">
        <v>5</v>
      </c>
      <c r="F22" s="13" t="s">
        <v>661</v>
      </c>
      <c r="G22" s="4">
        <v>9</v>
      </c>
    </row>
    <row r="23" spans="2:7" ht="15.75" customHeight="1">
      <c r="B23" s="13" t="s">
        <v>662</v>
      </c>
      <c r="C23" s="4">
        <v>5</v>
      </c>
      <c r="F23" s="13" t="s">
        <v>654</v>
      </c>
      <c r="G23" s="4">
        <v>8</v>
      </c>
    </row>
    <row r="24" spans="2:7" ht="15.75" customHeight="1">
      <c r="B24" s="13" t="s">
        <v>661</v>
      </c>
      <c r="C24" s="4">
        <v>5</v>
      </c>
      <c r="F24" s="13" t="s">
        <v>662</v>
      </c>
      <c r="G24" s="4">
        <v>7</v>
      </c>
    </row>
    <row r="25" spans="2:7" ht="15.75" customHeight="1">
      <c r="B25" s="13" t="s">
        <v>659</v>
      </c>
      <c r="C25" s="4">
        <v>5</v>
      </c>
      <c r="F25" s="13" t="s">
        <v>658</v>
      </c>
      <c r="G25" s="4">
        <v>7</v>
      </c>
    </row>
    <row r="26" spans="2:7" ht="15.75" customHeight="1">
      <c r="B26" s="13" t="s">
        <v>663</v>
      </c>
      <c r="C26" s="4">
        <v>4</v>
      </c>
      <c r="F26" s="13" t="s">
        <v>664</v>
      </c>
      <c r="G26" s="4">
        <v>7</v>
      </c>
    </row>
    <row r="27" spans="2:7" ht="14.4">
      <c r="B27" s="13" t="s">
        <v>665</v>
      </c>
      <c r="C27" s="4">
        <v>4</v>
      </c>
      <c r="F27" s="13" t="s">
        <v>666</v>
      </c>
      <c r="G27" s="4">
        <v>7</v>
      </c>
    </row>
    <row r="28" spans="2:7" ht="14.4">
      <c r="B28" s="13" t="s">
        <v>666</v>
      </c>
      <c r="C28" s="4">
        <v>4</v>
      </c>
      <c r="F28" s="13" t="s">
        <v>667</v>
      </c>
      <c r="G28" s="4">
        <v>7</v>
      </c>
    </row>
    <row r="29" spans="2:7" ht="14.4">
      <c r="B29" s="13" t="s">
        <v>664</v>
      </c>
      <c r="C29" s="4">
        <v>4</v>
      </c>
      <c r="F29" s="13" t="s">
        <v>668</v>
      </c>
      <c r="G29" s="4">
        <v>6</v>
      </c>
    </row>
    <row r="30" spans="2:7" ht="14.4">
      <c r="B30" s="13" t="s">
        <v>657</v>
      </c>
      <c r="C30" s="4">
        <v>4</v>
      </c>
      <c r="F30" s="13" t="s">
        <v>669</v>
      </c>
      <c r="G30" s="4">
        <v>6</v>
      </c>
    </row>
    <row r="31" spans="2:7" ht="14.4">
      <c r="B31" s="13" t="s">
        <v>670</v>
      </c>
      <c r="C31" s="4">
        <v>2</v>
      </c>
      <c r="F31" s="13" t="s">
        <v>671</v>
      </c>
      <c r="G31" s="4">
        <v>6</v>
      </c>
    </row>
    <row r="32" spans="2:7" ht="14.4">
      <c r="B32" s="13" t="s">
        <v>668</v>
      </c>
      <c r="C32" s="4">
        <v>2</v>
      </c>
      <c r="F32" s="13" t="s">
        <v>672</v>
      </c>
      <c r="G32" s="4">
        <v>6</v>
      </c>
    </row>
    <row r="33" spans="2:7" ht="14.4">
      <c r="B33" s="13" t="s">
        <v>667</v>
      </c>
      <c r="C33" s="4">
        <v>2</v>
      </c>
      <c r="F33" s="13" t="s">
        <v>673</v>
      </c>
      <c r="G33" s="4">
        <v>6</v>
      </c>
    </row>
    <row r="34" spans="2:7" ht="14.4">
      <c r="B34" s="13" t="s">
        <v>674</v>
      </c>
      <c r="C34" s="4">
        <v>2</v>
      </c>
      <c r="F34" s="13" t="s">
        <v>663</v>
      </c>
      <c r="G34" s="4">
        <v>5</v>
      </c>
    </row>
    <row r="35" spans="2:7" ht="14.4">
      <c r="B35" s="13" t="s">
        <v>671</v>
      </c>
      <c r="C35" s="4">
        <v>2</v>
      </c>
      <c r="F35" s="13" t="s">
        <v>665</v>
      </c>
      <c r="G35" s="4">
        <v>4</v>
      </c>
    </row>
    <row r="36" spans="2:7" ht="14.4">
      <c r="B36" s="13" t="s">
        <v>581</v>
      </c>
      <c r="C36" s="4">
        <v>2</v>
      </c>
      <c r="F36" s="13" t="s">
        <v>675</v>
      </c>
      <c r="G36" s="4">
        <v>4</v>
      </c>
    </row>
    <row r="37" spans="2:7" ht="14.4">
      <c r="B37" s="13" t="s">
        <v>676</v>
      </c>
      <c r="C37" s="4">
        <v>2</v>
      </c>
      <c r="F37" s="13" t="s">
        <v>581</v>
      </c>
      <c r="G37" s="4">
        <v>4</v>
      </c>
    </row>
    <row r="38" spans="2:7" ht="14.4">
      <c r="B38" s="13" t="s">
        <v>673</v>
      </c>
      <c r="C38" s="4">
        <v>2</v>
      </c>
      <c r="F38" s="13" t="s">
        <v>677</v>
      </c>
      <c r="G38" s="4">
        <v>3</v>
      </c>
    </row>
    <row r="39" spans="2:7" ht="14.4">
      <c r="B39" s="13" t="s">
        <v>677</v>
      </c>
      <c r="C39" s="4">
        <v>1</v>
      </c>
      <c r="F39" s="13" t="s">
        <v>670</v>
      </c>
      <c r="G39" s="4">
        <v>3</v>
      </c>
    </row>
    <row r="40" spans="2:7" ht="14.4">
      <c r="B40" s="13" t="s">
        <v>678</v>
      </c>
      <c r="C40" s="4">
        <v>1</v>
      </c>
      <c r="F40" s="13" t="s">
        <v>679</v>
      </c>
      <c r="G40" s="4">
        <v>3</v>
      </c>
    </row>
    <row r="41" spans="2:7" ht="14.4">
      <c r="B41" s="13" t="s">
        <v>680</v>
      </c>
      <c r="C41" s="4">
        <v>1</v>
      </c>
      <c r="F41" s="13" t="s">
        <v>681</v>
      </c>
      <c r="G41" s="4">
        <v>3</v>
      </c>
    </row>
    <row r="42" spans="2:7" ht="14.4">
      <c r="B42" s="13" t="s">
        <v>682</v>
      </c>
      <c r="C42" s="4">
        <v>1</v>
      </c>
      <c r="F42" s="13" t="s">
        <v>683</v>
      </c>
      <c r="G42" s="4">
        <v>3</v>
      </c>
    </row>
    <row r="43" spans="2:7" ht="14.4">
      <c r="B43" s="13" t="s">
        <v>684</v>
      </c>
      <c r="C43" s="4">
        <v>1</v>
      </c>
      <c r="F43" s="13" t="s">
        <v>674</v>
      </c>
      <c r="G43" s="4">
        <v>3</v>
      </c>
    </row>
    <row r="44" spans="2:7" ht="14.4">
      <c r="B44" s="13" t="s">
        <v>685</v>
      </c>
      <c r="C44" s="4">
        <v>1</v>
      </c>
      <c r="F44" s="13" t="s">
        <v>686</v>
      </c>
      <c r="G44" s="4">
        <v>3</v>
      </c>
    </row>
    <row r="45" spans="2:7" ht="14.4">
      <c r="B45" s="13" t="s">
        <v>687</v>
      </c>
      <c r="C45" s="4">
        <v>1</v>
      </c>
      <c r="F45" s="13" t="s">
        <v>678</v>
      </c>
      <c r="G45" s="4">
        <v>2</v>
      </c>
    </row>
    <row r="46" spans="2:7" ht="14.4">
      <c r="B46" s="13" t="s">
        <v>596</v>
      </c>
      <c r="C46" s="4">
        <v>1</v>
      </c>
      <c r="F46" s="13" t="s">
        <v>676</v>
      </c>
      <c r="G46" s="4">
        <v>2</v>
      </c>
    </row>
    <row r="47" spans="2:7" ht="14.4">
      <c r="B47" s="13" t="s">
        <v>688</v>
      </c>
      <c r="C47" s="4">
        <v>1</v>
      </c>
      <c r="F47" s="13" t="s">
        <v>687</v>
      </c>
      <c r="G47" s="4">
        <v>2</v>
      </c>
    </row>
    <row r="48" spans="2:7" ht="14.4">
      <c r="B48" s="13" t="s">
        <v>679</v>
      </c>
      <c r="C48" s="4">
        <v>1</v>
      </c>
      <c r="F48" s="13" t="s">
        <v>689</v>
      </c>
      <c r="G48" s="4">
        <v>2</v>
      </c>
    </row>
    <row r="49" spans="2:7" ht="14.4">
      <c r="B49" s="13" t="s">
        <v>689</v>
      </c>
      <c r="C49" s="4">
        <v>1</v>
      </c>
      <c r="F49" s="13" t="s">
        <v>690</v>
      </c>
      <c r="G49" s="4">
        <v>2</v>
      </c>
    </row>
    <row r="50" spans="2:7" ht="14.4">
      <c r="B50" s="13" t="s">
        <v>691</v>
      </c>
      <c r="C50" s="4">
        <v>1</v>
      </c>
      <c r="F50" s="13" t="s">
        <v>692</v>
      </c>
      <c r="G50" s="4">
        <v>2</v>
      </c>
    </row>
    <row r="51" spans="2:7" ht="14.4">
      <c r="B51" s="13" t="s">
        <v>693</v>
      </c>
      <c r="C51" s="4">
        <v>1</v>
      </c>
      <c r="F51" s="13" t="s">
        <v>694</v>
      </c>
      <c r="G51" s="4">
        <v>2</v>
      </c>
    </row>
    <row r="52" spans="2:7" ht="14.4">
      <c r="B52" s="13" t="s">
        <v>681</v>
      </c>
      <c r="C52" s="4">
        <v>1</v>
      </c>
      <c r="F52" s="13" t="s">
        <v>695</v>
      </c>
      <c r="G52" s="4">
        <v>2</v>
      </c>
    </row>
    <row r="53" spans="2:7" ht="14.4">
      <c r="B53" s="13" t="s">
        <v>696</v>
      </c>
      <c r="C53" s="4">
        <v>1</v>
      </c>
      <c r="F53" s="13" t="s">
        <v>697</v>
      </c>
      <c r="G53" s="4">
        <v>2</v>
      </c>
    </row>
    <row r="54" spans="2:7" ht="14.4">
      <c r="B54" s="13" t="s">
        <v>672</v>
      </c>
      <c r="C54" s="4">
        <v>1</v>
      </c>
      <c r="F54" s="13" t="s">
        <v>698</v>
      </c>
      <c r="G54" s="4">
        <v>2</v>
      </c>
    </row>
    <row r="55" spans="2:7" ht="14.4">
      <c r="B55" s="13" t="s">
        <v>690</v>
      </c>
      <c r="C55" s="4">
        <v>1</v>
      </c>
      <c r="F55" s="13" t="s">
        <v>682</v>
      </c>
      <c r="G55" s="4">
        <v>1</v>
      </c>
    </row>
    <row r="56" spans="2:7" ht="14.4">
      <c r="B56" s="13" t="s">
        <v>699</v>
      </c>
      <c r="C56" s="4">
        <v>1</v>
      </c>
      <c r="F56" s="13" t="s">
        <v>684</v>
      </c>
      <c r="G56" s="4">
        <v>1</v>
      </c>
    </row>
    <row r="57" spans="2:7" ht="14.4">
      <c r="B57" s="13" t="s">
        <v>609</v>
      </c>
      <c r="C57" s="4">
        <v>1</v>
      </c>
      <c r="F57" s="13" t="s">
        <v>685</v>
      </c>
      <c r="G57" s="4">
        <v>1</v>
      </c>
    </row>
    <row r="58" spans="2:7" ht="14.4">
      <c r="B58" s="13" t="s">
        <v>683</v>
      </c>
      <c r="C58" s="4">
        <v>1</v>
      </c>
      <c r="F58" s="13" t="s">
        <v>596</v>
      </c>
      <c r="G58" s="4">
        <v>1</v>
      </c>
    </row>
    <row r="59" spans="2:7" ht="14.4">
      <c r="B59" s="13" t="s">
        <v>675</v>
      </c>
      <c r="C59" s="4">
        <v>1</v>
      </c>
      <c r="F59" s="13" t="s">
        <v>688</v>
      </c>
      <c r="G59" s="4">
        <v>1</v>
      </c>
    </row>
    <row r="60" spans="2:7" ht="14.4">
      <c r="B60" s="13" t="s">
        <v>700</v>
      </c>
      <c r="C60" s="4">
        <v>1</v>
      </c>
      <c r="F60" s="13" t="s">
        <v>691</v>
      </c>
      <c r="G60" s="4">
        <v>1</v>
      </c>
    </row>
    <row r="61" spans="2:7" ht="14.4">
      <c r="F61" s="13" t="s">
        <v>693</v>
      </c>
      <c r="G61" s="4">
        <v>1</v>
      </c>
    </row>
    <row r="62" spans="2:7" ht="14.4">
      <c r="F62" s="13" t="s">
        <v>699</v>
      </c>
      <c r="G62" s="4">
        <v>1</v>
      </c>
    </row>
    <row r="63" spans="2:7" ht="14.4">
      <c r="F63" s="13" t="s">
        <v>609</v>
      </c>
      <c r="G63" s="4">
        <v>1</v>
      </c>
    </row>
    <row r="64" spans="2:7" ht="14.4">
      <c r="B64" s="10" t="s">
        <v>701</v>
      </c>
      <c r="C64" s="10">
        <v>58</v>
      </c>
      <c r="F64" s="13" t="s">
        <v>700</v>
      </c>
      <c r="G64" s="4">
        <v>1</v>
      </c>
    </row>
    <row r="65" spans="6:7" ht="14.4">
      <c r="F65" s="13" t="s">
        <v>702</v>
      </c>
      <c r="G65" s="4">
        <v>1</v>
      </c>
    </row>
    <row r="66" spans="6:7" ht="14.4">
      <c r="F66" s="13" t="s">
        <v>703</v>
      </c>
      <c r="G66" s="4">
        <v>1</v>
      </c>
    </row>
    <row r="67" spans="6:7" ht="14.4">
      <c r="F67" s="13" t="s">
        <v>704</v>
      </c>
      <c r="G67" s="4">
        <v>1</v>
      </c>
    </row>
    <row r="68" spans="6:7" ht="14.4">
      <c r="F68" s="13" t="s">
        <v>705</v>
      </c>
      <c r="G68" s="4">
        <v>1</v>
      </c>
    </row>
    <row r="69" spans="6:7" ht="14.4">
      <c r="F69" s="13" t="s">
        <v>706</v>
      </c>
      <c r="G69" s="4">
        <v>1</v>
      </c>
    </row>
    <row r="70" spans="6:7" ht="14.4">
      <c r="F70" s="13" t="s">
        <v>707</v>
      </c>
      <c r="G70" s="4">
        <v>1</v>
      </c>
    </row>
    <row r="71" spans="6:7" ht="14.4">
      <c r="F71" s="13" t="s">
        <v>708</v>
      </c>
      <c r="G71" s="4">
        <v>1</v>
      </c>
    </row>
    <row r="72" spans="6:7" ht="14.4">
      <c r="F72" s="13" t="s">
        <v>709</v>
      </c>
      <c r="G72" s="4">
        <v>1</v>
      </c>
    </row>
    <row r="73" spans="6:7" ht="14.4">
      <c r="F73" s="13" t="s">
        <v>710</v>
      </c>
      <c r="G73" s="4">
        <v>1</v>
      </c>
    </row>
    <row r="74" spans="6:7" ht="14.4">
      <c r="F74" s="13" t="s">
        <v>711</v>
      </c>
      <c r="G74" s="4">
        <v>1</v>
      </c>
    </row>
    <row r="75" spans="6:7" ht="14.4">
      <c r="F75" s="13" t="s">
        <v>712</v>
      </c>
      <c r="G75" s="4">
        <v>1</v>
      </c>
    </row>
    <row r="76" spans="6:7" ht="14.4">
      <c r="F76" s="13" t="s">
        <v>713</v>
      </c>
      <c r="G76" s="4">
        <v>1</v>
      </c>
    </row>
    <row r="77" spans="6:7" ht="14.4">
      <c r="F77" s="13" t="s">
        <v>714</v>
      </c>
      <c r="G77" s="4">
        <v>1</v>
      </c>
    </row>
    <row r="78" spans="6:7" ht="14.4">
      <c r="F78" s="13" t="s">
        <v>715</v>
      </c>
      <c r="G78" s="4">
        <v>1</v>
      </c>
    </row>
    <row r="79" spans="6:7" ht="14.4">
      <c r="F79" s="13" t="s">
        <v>716</v>
      </c>
      <c r="G79" s="4">
        <v>1</v>
      </c>
    </row>
    <row r="80" spans="6:7" ht="14.4">
      <c r="F80" s="13" t="s">
        <v>717</v>
      </c>
      <c r="G80" s="4">
        <v>1</v>
      </c>
    </row>
    <row r="81" spans="6:7" ht="14.4">
      <c r="F81" s="13" t="s">
        <v>718</v>
      </c>
      <c r="G81" s="4">
        <v>1</v>
      </c>
    </row>
    <row r="86" spans="6:7" ht="13.2">
      <c r="F86" s="10" t="s">
        <v>701</v>
      </c>
      <c r="G86" s="10">
        <v>79</v>
      </c>
    </row>
  </sheetData>
  <mergeCells count="2">
    <mergeCell ref="A1:C1"/>
    <mergeCell ref="E1:G1"/>
  </mergeCells>
  <pageMargins left="0.511811024" right="0.511811024" top="0.78740157499999996" bottom="0.78740157499999996" header="0.31496062000000002" footer="0.3149606200000000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M27"/>
  <sheetViews>
    <sheetView workbookViewId="0"/>
  </sheetViews>
  <sheetFormatPr defaultColWidth="12.6640625" defaultRowHeight="15.75" customHeight="1"/>
  <sheetData>
    <row r="1" spans="1:13">
      <c r="A1" s="14" t="s">
        <v>719</v>
      </c>
      <c r="B1" s="14"/>
      <c r="C1" s="14"/>
      <c r="F1" s="10" t="s">
        <v>720</v>
      </c>
      <c r="G1" s="14" t="s">
        <v>721</v>
      </c>
      <c r="H1" s="10">
        <f>450/C11</f>
        <v>0.30363040757321708</v>
      </c>
      <c r="K1" s="10" t="s">
        <v>722</v>
      </c>
      <c r="L1" s="10" t="s">
        <v>723</v>
      </c>
      <c r="M1" s="10">
        <f>500/C11</f>
        <v>0.33736711952579679</v>
      </c>
    </row>
    <row r="2" spans="1:13">
      <c r="D2" s="10" t="s">
        <v>724</v>
      </c>
    </row>
    <row r="3" spans="1:13">
      <c r="A3" s="10" t="s">
        <v>725</v>
      </c>
      <c r="B3" s="10" t="s">
        <v>726</v>
      </c>
      <c r="C3" s="10">
        <v>350</v>
      </c>
      <c r="D3" s="15">
        <f t="shared" ref="D3:D9" si="0">C3/$C$11</f>
        <v>0.23615698366805774</v>
      </c>
      <c r="F3" s="10" t="s">
        <v>727</v>
      </c>
      <c r="G3" s="10">
        <f t="shared" ref="G3:G9" si="1">$H$1*C3</f>
        <v>106.27064265062597</v>
      </c>
      <c r="H3" s="15">
        <f t="shared" ref="H3:H9" si="2">G3/450</f>
        <v>0.23615698366805771</v>
      </c>
      <c r="K3" s="10" t="s">
        <v>728</v>
      </c>
      <c r="L3" s="10">
        <f t="shared" ref="L3:L9" si="3">$M$1*C3</f>
        <v>118.07849183402888</v>
      </c>
    </row>
    <row r="4" spans="1:13">
      <c r="A4" s="10" t="s">
        <v>729</v>
      </c>
      <c r="B4" s="10" t="s">
        <v>730</v>
      </c>
      <c r="C4" s="10">
        <v>1000</v>
      </c>
      <c r="D4" s="15">
        <f t="shared" si="0"/>
        <v>0.67473423905159358</v>
      </c>
      <c r="F4" s="10" t="s">
        <v>731</v>
      </c>
      <c r="G4" s="10">
        <f t="shared" si="1"/>
        <v>303.6304075732171</v>
      </c>
      <c r="H4" s="15">
        <f t="shared" si="2"/>
        <v>0.67473423905159358</v>
      </c>
      <c r="K4" s="10" t="s">
        <v>732</v>
      </c>
      <c r="L4" s="10">
        <f t="shared" si="3"/>
        <v>337.3671195257968</v>
      </c>
    </row>
    <row r="5" spans="1:13">
      <c r="A5" s="10" t="s">
        <v>733</v>
      </c>
      <c r="B5" s="10" t="s">
        <v>734</v>
      </c>
      <c r="C5" s="10">
        <f>45*0.927</f>
        <v>41.715000000000003</v>
      </c>
      <c r="D5" s="15">
        <f t="shared" si="0"/>
        <v>2.8146538782037225E-2</v>
      </c>
      <c r="F5" s="10" t="s">
        <v>735</v>
      </c>
      <c r="G5" s="10">
        <f t="shared" si="1"/>
        <v>12.66594245191675</v>
      </c>
      <c r="H5" s="15">
        <f t="shared" si="2"/>
        <v>2.8146538782037222E-2</v>
      </c>
      <c r="K5" s="10" t="s">
        <v>736</v>
      </c>
      <c r="L5" s="10">
        <f t="shared" si="3"/>
        <v>14.073269391018615</v>
      </c>
    </row>
    <row r="6" spans="1:13">
      <c r="A6" s="10" t="s">
        <v>651</v>
      </c>
      <c r="B6" s="10">
        <v>1</v>
      </c>
      <c r="C6" s="10">
        <f>1*70</f>
        <v>70</v>
      </c>
      <c r="D6" s="15">
        <f t="shared" si="0"/>
        <v>4.7231396733611548E-2</v>
      </c>
      <c r="F6" s="16">
        <v>0.3</v>
      </c>
      <c r="G6" s="10">
        <f t="shared" si="1"/>
        <v>21.254128530125197</v>
      </c>
      <c r="H6" s="15">
        <f t="shared" si="2"/>
        <v>4.7231396733611548E-2</v>
      </c>
      <c r="K6" s="10">
        <v>0.3</v>
      </c>
      <c r="L6" s="10">
        <f t="shared" si="3"/>
        <v>23.615698366805773</v>
      </c>
    </row>
    <row r="7" spans="1:13">
      <c r="A7" s="10" t="s">
        <v>737</v>
      </c>
      <c r="B7" s="10">
        <v>3</v>
      </c>
      <c r="C7" s="10">
        <f>4.4*3</f>
        <v>13.200000000000001</v>
      </c>
      <c r="D7" s="15">
        <f t="shared" si="0"/>
        <v>8.9064919554810353E-3</v>
      </c>
      <c r="F7" s="10">
        <v>1</v>
      </c>
      <c r="G7" s="10">
        <f t="shared" si="1"/>
        <v>4.0079213799664659</v>
      </c>
      <c r="H7" s="15">
        <f t="shared" si="2"/>
        <v>8.9064919554810353E-3</v>
      </c>
      <c r="K7" s="10">
        <v>1</v>
      </c>
      <c r="L7" s="10">
        <f t="shared" si="3"/>
        <v>4.4532459777405178</v>
      </c>
    </row>
    <row r="8" spans="1:13">
      <c r="A8" s="10" t="s">
        <v>711</v>
      </c>
      <c r="B8" s="10">
        <v>1</v>
      </c>
      <c r="C8" s="10">
        <f>0.25*1</f>
        <v>0.25</v>
      </c>
      <c r="D8" s="15">
        <f t="shared" si="0"/>
        <v>1.6868355976289837E-4</v>
      </c>
      <c r="F8" s="17">
        <v>46025</v>
      </c>
      <c r="G8" s="10">
        <f t="shared" si="1"/>
        <v>7.5907601893304269E-2</v>
      </c>
      <c r="H8" s="15">
        <f t="shared" si="2"/>
        <v>1.6868355976289837E-4</v>
      </c>
      <c r="K8" s="17">
        <v>46025</v>
      </c>
      <c r="L8" s="10">
        <f t="shared" si="3"/>
        <v>8.4341779881449197E-2</v>
      </c>
    </row>
    <row r="9" spans="1:13">
      <c r="A9" s="10" t="s">
        <v>646</v>
      </c>
      <c r="B9" s="10" t="s">
        <v>738</v>
      </c>
      <c r="C9" s="10">
        <f>1.38*5</f>
        <v>6.8999999999999995</v>
      </c>
      <c r="D9" s="15">
        <f t="shared" si="0"/>
        <v>4.6556662494559951E-3</v>
      </c>
      <c r="F9" s="10" t="s">
        <v>739</v>
      </c>
      <c r="G9" s="10">
        <f t="shared" si="1"/>
        <v>2.0950498122551977</v>
      </c>
      <c r="H9" s="15">
        <f t="shared" si="2"/>
        <v>4.6556662494559951E-3</v>
      </c>
      <c r="K9" s="10" t="s">
        <v>739</v>
      </c>
      <c r="L9" s="10">
        <f t="shared" si="3"/>
        <v>2.3278331247279977</v>
      </c>
    </row>
    <row r="11" spans="1:13">
      <c r="B11" s="10" t="s">
        <v>701</v>
      </c>
      <c r="C11" s="10">
        <f>SUM(C3:C9)</f>
        <v>1482.0650000000001</v>
      </c>
    </row>
    <row r="14" spans="1:13">
      <c r="F14" s="18" t="s">
        <v>740</v>
      </c>
      <c r="G14" s="10" t="s">
        <v>741</v>
      </c>
      <c r="H14" s="10">
        <f>1000/C23</f>
        <v>0.95675011122220055</v>
      </c>
      <c r="K14" s="10" t="s">
        <v>742</v>
      </c>
      <c r="L14" s="10" t="s">
        <v>726</v>
      </c>
      <c r="M14" s="10">
        <f>350/C23</f>
        <v>0.33486253892777018</v>
      </c>
    </row>
    <row r="15" spans="1:13">
      <c r="A15" s="18"/>
      <c r="B15" s="18"/>
      <c r="D15" s="10" t="s">
        <v>724</v>
      </c>
    </row>
    <row r="16" spans="1:13">
      <c r="A16" s="18" t="s">
        <v>743</v>
      </c>
      <c r="B16" s="10" t="s">
        <v>726</v>
      </c>
      <c r="C16" s="10">
        <v>350</v>
      </c>
      <c r="D16" s="15">
        <f t="shared" ref="D16:D21" si="4">C16/$C$23</f>
        <v>0.33486253892777018</v>
      </c>
      <c r="F16" s="10" t="s">
        <v>744</v>
      </c>
      <c r="G16" s="10">
        <f t="shared" ref="G16:G21" si="5">$H$14*C16</f>
        <v>334.86253892777017</v>
      </c>
      <c r="H16" s="15">
        <f t="shared" ref="H16:H21" si="6">G16/1000</f>
        <v>0.33486253892777018</v>
      </c>
      <c r="K16" s="10" t="s">
        <v>745</v>
      </c>
      <c r="L16" s="10">
        <f t="shared" ref="L16:L21" si="7">C16*$M$14</f>
        <v>117.20188862471956</v>
      </c>
    </row>
    <row r="17" spans="1:12">
      <c r="A17" s="10" t="s">
        <v>733</v>
      </c>
      <c r="B17" s="10" t="s">
        <v>746</v>
      </c>
      <c r="C17" s="10">
        <f>15*0.927</f>
        <v>13.905000000000001</v>
      </c>
      <c r="D17" s="15">
        <f t="shared" si="4"/>
        <v>1.3303610296544699E-2</v>
      </c>
      <c r="F17" s="10">
        <f>G17/0.927</f>
        <v>14.351251668333008</v>
      </c>
      <c r="G17" s="10">
        <f t="shared" si="5"/>
        <v>13.303610296544699</v>
      </c>
      <c r="H17" s="15">
        <f t="shared" si="6"/>
        <v>1.3303610296544699E-2</v>
      </c>
      <c r="K17" s="10" t="s">
        <v>738</v>
      </c>
      <c r="L17" s="10">
        <f t="shared" si="7"/>
        <v>4.6562636037906451</v>
      </c>
    </row>
    <row r="18" spans="1:12">
      <c r="A18" s="10" t="s">
        <v>651</v>
      </c>
      <c r="B18" s="10">
        <v>1</v>
      </c>
      <c r="C18" s="10">
        <v>70</v>
      </c>
      <c r="D18" s="15">
        <f t="shared" si="4"/>
        <v>6.6972507785554039E-2</v>
      </c>
      <c r="F18" s="10">
        <v>1</v>
      </c>
      <c r="G18" s="10">
        <f t="shared" si="5"/>
        <v>66.972507785554043</v>
      </c>
      <c r="H18" s="15">
        <f t="shared" si="6"/>
        <v>6.6972507785554039E-2</v>
      </c>
      <c r="K18" s="17">
        <v>46025</v>
      </c>
      <c r="L18" s="10">
        <f t="shared" si="7"/>
        <v>23.440377724943914</v>
      </c>
    </row>
    <row r="19" spans="1:12">
      <c r="A19" s="10" t="s">
        <v>737</v>
      </c>
      <c r="B19" s="10">
        <v>1</v>
      </c>
      <c r="C19" s="10">
        <v>4.4000000000000004</v>
      </c>
      <c r="D19" s="15">
        <f t="shared" si="4"/>
        <v>4.2097004893776827E-3</v>
      </c>
      <c r="F19" s="10">
        <v>1</v>
      </c>
      <c r="G19" s="10">
        <f t="shared" si="5"/>
        <v>4.209700489377683</v>
      </c>
      <c r="H19" s="15">
        <f t="shared" si="6"/>
        <v>4.2097004893776827E-3</v>
      </c>
      <c r="K19" s="17">
        <v>46025</v>
      </c>
      <c r="L19" s="10">
        <f t="shared" si="7"/>
        <v>1.4733951712821889</v>
      </c>
    </row>
    <row r="20" spans="1:12">
      <c r="A20" s="10" t="s">
        <v>653</v>
      </c>
      <c r="B20" s="10" t="s">
        <v>747</v>
      </c>
      <c r="C20" s="10">
        <v>600</v>
      </c>
      <c r="D20" s="15">
        <f t="shared" si="4"/>
        <v>0.57405006673332026</v>
      </c>
      <c r="F20" s="10" t="s">
        <v>748</v>
      </c>
      <c r="G20" s="10">
        <f t="shared" si="5"/>
        <v>574.05006673332036</v>
      </c>
      <c r="H20" s="15">
        <f t="shared" si="6"/>
        <v>0.57405006673332037</v>
      </c>
      <c r="K20" s="10" t="s">
        <v>749</v>
      </c>
      <c r="L20" s="10">
        <f t="shared" si="7"/>
        <v>200.91752335666212</v>
      </c>
    </row>
    <row r="21" spans="1:12">
      <c r="A21" s="10" t="s">
        <v>646</v>
      </c>
      <c r="B21" s="10" t="s">
        <v>738</v>
      </c>
      <c r="C21" s="10">
        <f>1.38*5</f>
        <v>6.8999999999999995</v>
      </c>
      <c r="D21" s="15">
        <f t="shared" si="4"/>
        <v>6.6015757674331831E-3</v>
      </c>
      <c r="F21" s="10">
        <f>G21/1.38</f>
        <v>4.783750556111003</v>
      </c>
      <c r="G21" s="10">
        <f t="shared" si="5"/>
        <v>6.6015757674331832</v>
      </c>
      <c r="H21" s="15">
        <f t="shared" si="6"/>
        <v>6.6015757674331831E-3</v>
      </c>
      <c r="K21" s="10" t="s">
        <v>750</v>
      </c>
      <c r="L21" s="10">
        <f t="shared" si="7"/>
        <v>2.3105515186016139</v>
      </c>
    </row>
    <row r="23" spans="1:12">
      <c r="B23" s="10" t="s">
        <v>701</v>
      </c>
      <c r="C23" s="10">
        <f>SUM(C16:C21)</f>
        <v>1045.2049999999999</v>
      </c>
    </row>
    <row r="25" spans="1:12">
      <c r="D25" s="10" t="s">
        <v>751</v>
      </c>
    </row>
    <row r="26" spans="1:12">
      <c r="A26" s="10" t="s">
        <v>752</v>
      </c>
      <c r="C26" s="10" t="s">
        <v>753</v>
      </c>
      <c r="D26" s="10">
        <v>0.77900000000000003</v>
      </c>
    </row>
    <row r="27" spans="1:12">
      <c r="B27" s="10" t="s">
        <v>754</v>
      </c>
      <c r="C27" s="10">
        <f>400/D26</f>
        <v>513.47881899871629</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T131"/>
  <sheetViews>
    <sheetView workbookViewId="0"/>
  </sheetViews>
  <sheetFormatPr defaultColWidth="12.6640625" defaultRowHeight="15.75" customHeight="1"/>
  <cols>
    <col min="5" max="5" width="30.44140625" customWidth="1"/>
    <col min="6" max="6" width="24.6640625" customWidth="1"/>
    <col min="13" max="13" width="35" customWidth="1"/>
  </cols>
  <sheetData>
    <row r="1" spans="1:20" ht="15.75" customHeight="1">
      <c r="A1" s="181" t="s">
        <v>755</v>
      </c>
      <c r="B1" s="180"/>
      <c r="C1" s="180"/>
      <c r="D1" s="180"/>
      <c r="E1" s="182"/>
      <c r="F1" s="180"/>
      <c r="G1" s="180"/>
      <c r="H1" s="180"/>
      <c r="L1" s="19" t="s">
        <v>756</v>
      </c>
      <c r="M1" s="20"/>
      <c r="N1" s="20" t="s">
        <v>757</v>
      </c>
      <c r="T1" s="18"/>
    </row>
    <row r="2" spans="1:20" ht="13.2">
      <c r="E2" s="21"/>
      <c r="F2" s="21"/>
      <c r="G2" s="21"/>
      <c r="H2" s="21"/>
      <c r="L2" s="19" t="s">
        <v>758</v>
      </c>
      <c r="M2" s="20"/>
      <c r="N2" s="20" t="s">
        <v>759</v>
      </c>
      <c r="T2" s="18"/>
    </row>
    <row r="3" spans="1:20" ht="13.2">
      <c r="A3" s="21" t="s">
        <v>760</v>
      </c>
      <c r="B3" s="21" t="s">
        <v>761</v>
      </c>
      <c r="C3" s="21" t="s">
        <v>762</v>
      </c>
      <c r="D3" s="21" t="s">
        <v>763</v>
      </c>
      <c r="E3" s="22" t="s">
        <v>764</v>
      </c>
      <c r="F3" s="22" t="s">
        <v>765</v>
      </c>
      <c r="G3" s="22" t="s">
        <v>766</v>
      </c>
      <c r="H3" s="22" t="s">
        <v>767</v>
      </c>
      <c r="I3" s="21" t="s">
        <v>768</v>
      </c>
      <c r="J3" s="21" t="s">
        <v>769</v>
      </c>
      <c r="L3" s="19" t="s">
        <v>770</v>
      </c>
      <c r="M3" s="20"/>
      <c r="N3" s="20" t="s">
        <v>771</v>
      </c>
      <c r="O3" s="22"/>
      <c r="P3" s="22"/>
      <c r="Q3" s="21"/>
      <c r="T3" s="18"/>
    </row>
    <row r="4" spans="1:20" ht="13.2">
      <c r="A4" s="21" t="s">
        <v>772</v>
      </c>
      <c r="B4" s="21" t="s">
        <v>773</v>
      </c>
      <c r="C4" s="21" t="s">
        <v>774</v>
      </c>
      <c r="D4" s="21" t="s">
        <v>775</v>
      </c>
      <c r="E4" s="10" t="s">
        <v>776</v>
      </c>
      <c r="F4" s="10" t="s">
        <v>777</v>
      </c>
      <c r="G4" s="10" t="s">
        <v>778</v>
      </c>
      <c r="H4" s="10" t="s">
        <v>779</v>
      </c>
      <c r="I4" s="10">
        <v>25</v>
      </c>
      <c r="J4" s="10">
        <v>25</v>
      </c>
      <c r="L4" s="21"/>
    </row>
    <row r="5" spans="1:20" ht="13.2">
      <c r="A5" s="21" t="s">
        <v>772</v>
      </c>
      <c r="B5" s="21" t="s">
        <v>780</v>
      </c>
      <c r="C5" s="21" t="s">
        <v>774</v>
      </c>
      <c r="D5" s="21" t="s">
        <v>775</v>
      </c>
      <c r="E5" s="10" t="s">
        <v>781</v>
      </c>
      <c r="F5" s="10" t="s">
        <v>782</v>
      </c>
      <c r="G5" s="10" t="s">
        <v>783</v>
      </c>
      <c r="H5" s="10" t="s">
        <v>784</v>
      </c>
      <c r="I5" s="10">
        <v>12</v>
      </c>
      <c r="J5" s="10">
        <v>12</v>
      </c>
      <c r="L5" s="21"/>
      <c r="Q5" s="23"/>
    </row>
    <row r="6" spans="1:20" ht="13.2">
      <c r="A6" s="21" t="s">
        <v>772</v>
      </c>
      <c r="B6" s="21" t="s">
        <v>780</v>
      </c>
      <c r="C6" s="21" t="s">
        <v>774</v>
      </c>
      <c r="D6" s="21" t="s">
        <v>775</v>
      </c>
      <c r="E6" s="10" t="s">
        <v>785</v>
      </c>
      <c r="F6" s="10" t="s">
        <v>786</v>
      </c>
      <c r="G6" s="10" t="s">
        <v>787</v>
      </c>
      <c r="H6" s="10" t="s">
        <v>788</v>
      </c>
      <c r="I6" s="10">
        <v>6</v>
      </c>
      <c r="J6" s="10">
        <v>6</v>
      </c>
      <c r="L6" s="21"/>
    </row>
    <row r="7" spans="1:20" ht="13.2">
      <c r="A7" s="21" t="s">
        <v>772</v>
      </c>
      <c r="B7" s="21" t="s">
        <v>780</v>
      </c>
      <c r="C7" s="21" t="s">
        <v>774</v>
      </c>
      <c r="D7" s="21" t="s">
        <v>775</v>
      </c>
      <c r="E7" s="10" t="s">
        <v>789</v>
      </c>
      <c r="F7" s="10" t="s">
        <v>790</v>
      </c>
      <c r="G7" s="10" t="s">
        <v>791</v>
      </c>
      <c r="H7" s="10" t="s">
        <v>792</v>
      </c>
      <c r="I7" s="10">
        <v>6</v>
      </c>
      <c r="J7" s="10">
        <v>6</v>
      </c>
      <c r="L7" s="21"/>
      <c r="Q7" s="23"/>
    </row>
    <row r="8" spans="1:20" ht="13.2">
      <c r="A8" s="21" t="s">
        <v>793</v>
      </c>
      <c r="B8" s="21" t="s">
        <v>794</v>
      </c>
      <c r="C8" s="21" t="s">
        <v>774</v>
      </c>
      <c r="D8" s="21" t="s">
        <v>775</v>
      </c>
      <c r="E8" s="10" t="s">
        <v>795</v>
      </c>
      <c r="F8" s="10" t="s">
        <v>796</v>
      </c>
      <c r="G8" s="10" t="s">
        <v>797</v>
      </c>
      <c r="H8" s="10" t="s">
        <v>798</v>
      </c>
      <c r="I8" s="10">
        <v>6</v>
      </c>
      <c r="J8" s="10">
        <v>6</v>
      </c>
      <c r="L8" s="21"/>
      <c r="Q8" s="23"/>
    </row>
    <row r="9" spans="1:20" ht="13.2">
      <c r="A9" s="21" t="s">
        <v>793</v>
      </c>
      <c r="B9" s="21" t="s">
        <v>799</v>
      </c>
      <c r="C9" s="21" t="s">
        <v>774</v>
      </c>
      <c r="D9" s="21" t="s">
        <v>775</v>
      </c>
      <c r="E9" s="10" t="s">
        <v>800</v>
      </c>
      <c r="F9" s="10" t="s">
        <v>801</v>
      </c>
      <c r="G9" s="10" t="s">
        <v>802</v>
      </c>
      <c r="H9" s="10" t="s">
        <v>803</v>
      </c>
      <c r="I9" s="10">
        <v>6</v>
      </c>
      <c r="J9" s="10">
        <v>6</v>
      </c>
      <c r="L9" s="21"/>
      <c r="Q9" s="23"/>
    </row>
    <row r="10" spans="1:20" ht="13.2">
      <c r="A10" s="21" t="s">
        <v>772</v>
      </c>
      <c r="B10" s="21" t="s">
        <v>773</v>
      </c>
      <c r="C10" s="21" t="s">
        <v>774</v>
      </c>
      <c r="D10" s="21" t="s">
        <v>775</v>
      </c>
      <c r="E10" s="10" t="s">
        <v>804</v>
      </c>
      <c r="F10" s="10" t="s">
        <v>805</v>
      </c>
      <c r="G10" s="10" t="s">
        <v>806</v>
      </c>
      <c r="H10" s="10" t="s">
        <v>807</v>
      </c>
      <c r="I10" s="10">
        <v>20</v>
      </c>
      <c r="J10" s="10">
        <v>20</v>
      </c>
      <c r="L10" s="21"/>
    </row>
    <row r="11" spans="1:20" ht="13.2">
      <c r="A11" s="21" t="s">
        <v>772</v>
      </c>
      <c r="B11" s="21" t="s">
        <v>808</v>
      </c>
      <c r="C11" s="21" t="s">
        <v>774</v>
      </c>
      <c r="D11" s="21" t="s">
        <v>775</v>
      </c>
      <c r="E11" s="10" t="s">
        <v>720</v>
      </c>
      <c r="F11" s="10" t="s">
        <v>809</v>
      </c>
      <c r="G11" s="10" t="s">
        <v>810</v>
      </c>
      <c r="H11" s="10" t="s">
        <v>811</v>
      </c>
      <c r="I11" s="10">
        <v>6</v>
      </c>
      <c r="J11" s="10">
        <v>6</v>
      </c>
      <c r="L11" s="21"/>
    </row>
    <row r="12" spans="1:20" ht="13.2">
      <c r="A12" s="21" t="s">
        <v>772</v>
      </c>
      <c r="B12" s="21" t="s">
        <v>808</v>
      </c>
      <c r="C12" s="21" t="s">
        <v>774</v>
      </c>
      <c r="D12" s="21" t="s">
        <v>775</v>
      </c>
      <c r="E12" s="10" t="s">
        <v>812</v>
      </c>
      <c r="F12" s="10" t="s">
        <v>227</v>
      </c>
      <c r="G12" s="10" t="s">
        <v>813</v>
      </c>
      <c r="H12" s="10" t="s">
        <v>814</v>
      </c>
      <c r="I12" s="10">
        <v>6</v>
      </c>
      <c r="J12" s="10">
        <v>6</v>
      </c>
      <c r="L12" s="21"/>
    </row>
    <row r="13" spans="1:20" ht="13.2">
      <c r="A13" s="21" t="s">
        <v>793</v>
      </c>
      <c r="B13" s="21" t="s">
        <v>799</v>
      </c>
      <c r="C13" s="21" t="s">
        <v>774</v>
      </c>
      <c r="D13" s="21" t="s">
        <v>775</v>
      </c>
      <c r="E13" s="10" t="s">
        <v>815</v>
      </c>
      <c r="F13" s="10" t="s">
        <v>816</v>
      </c>
      <c r="G13" s="10" t="s">
        <v>817</v>
      </c>
      <c r="H13" s="10" t="s">
        <v>818</v>
      </c>
      <c r="I13" s="10">
        <v>6</v>
      </c>
      <c r="J13" s="10">
        <v>6</v>
      </c>
      <c r="L13" s="21"/>
    </row>
    <row r="14" spans="1:20" ht="13.2">
      <c r="A14" s="21" t="s">
        <v>793</v>
      </c>
      <c r="B14" s="21" t="s">
        <v>794</v>
      </c>
      <c r="C14" s="21" t="s">
        <v>774</v>
      </c>
      <c r="D14" s="21" t="s">
        <v>775</v>
      </c>
      <c r="E14" s="10" t="s">
        <v>819</v>
      </c>
      <c r="F14" s="10" t="s">
        <v>820</v>
      </c>
      <c r="G14" s="10" t="s">
        <v>821</v>
      </c>
      <c r="H14" s="10" t="s">
        <v>822</v>
      </c>
      <c r="I14" s="10">
        <v>8</v>
      </c>
      <c r="J14" s="10">
        <v>8</v>
      </c>
      <c r="L14" s="21"/>
    </row>
    <row r="15" spans="1:20" ht="13.2">
      <c r="A15" s="21" t="s">
        <v>793</v>
      </c>
      <c r="B15" s="21" t="s">
        <v>794</v>
      </c>
      <c r="C15" s="21" t="s">
        <v>823</v>
      </c>
      <c r="D15" s="21" t="s">
        <v>775</v>
      </c>
      <c r="E15" s="10" t="s">
        <v>824</v>
      </c>
      <c r="F15" s="10" t="s">
        <v>825</v>
      </c>
      <c r="G15" s="10" t="s">
        <v>826</v>
      </c>
      <c r="H15" s="10" t="s">
        <v>827</v>
      </c>
      <c r="I15" s="10">
        <v>1</v>
      </c>
      <c r="J15" s="10">
        <v>1</v>
      </c>
      <c r="L15" s="21"/>
      <c r="Q15" s="23"/>
    </row>
    <row r="16" spans="1:20" ht="13.2">
      <c r="A16" s="21" t="s">
        <v>793</v>
      </c>
      <c r="B16" s="21" t="s">
        <v>799</v>
      </c>
      <c r="C16" s="21" t="s">
        <v>774</v>
      </c>
      <c r="D16" s="21" t="s">
        <v>775</v>
      </c>
      <c r="E16" s="10" t="s">
        <v>828</v>
      </c>
      <c r="F16" s="10" t="s">
        <v>829</v>
      </c>
      <c r="G16" s="10" t="s">
        <v>830</v>
      </c>
      <c r="H16" s="10" t="s">
        <v>831</v>
      </c>
      <c r="I16" s="10">
        <v>2</v>
      </c>
      <c r="J16" s="10">
        <v>2</v>
      </c>
      <c r="L16" s="21"/>
      <c r="Q16" s="23"/>
    </row>
    <row r="17" spans="1:17" ht="13.2">
      <c r="A17" s="21" t="s">
        <v>793</v>
      </c>
      <c r="B17" s="21" t="s">
        <v>799</v>
      </c>
      <c r="C17" s="21" t="s">
        <v>774</v>
      </c>
      <c r="D17" s="21" t="s">
        <v>775</v>
      </c>
      <c r="E17" s="10" t="s">
        <v>832</v>
      </c>
      <c r="F17" s="10" t="s">
        <v>833</v>
      </c>
      <c r="G17" s="10" t="s">
        <v>834</v>
      </c>
      <c r="H17" s="10" t="s">
        <v>835</v>
      </c>
      <c r="I17" s="10">
        <v>2</v>
      </c>
      <c r="J17" s="10">
        <v>2</v>
      </c>
      <c r="L17" s="21"/>
      <c r="Q17" s="23"/>
    </row>
    <row r="18" spans="1:17" ht="13.2">
      <c r="A18" s="21" t="s">
        <v>793</v>
      </c>
      <c r="B18" s="21" t="s">
        <v>799</v>
      </c>
      <c r="C18" s="21" t="s">
        <v>774</v>
      </c>
      <c r="D18" s="21" t="s">
        <v>775</v>
      </c>
      <c r="E18" s="10" t="s">
        <v>836</v>
      </c>
      <c r="F18" s="10" t="s">
        <v>837</v>
      </c>
      <c r="G18" s="10" t="s">
        <v>838</v>
      </c>
      <c r="H18" s="10" t="s">
        <v>839</v>
      </c>
      <c r="I18" s="10">
        <v>1</v>
      </c>
      <c r="J18" s="10">
        <v>1</v>
      </c>
      <c r="L18" s="21"/>
    </row>
    <row r="19" spans="1:17" ht="13.2">
      <c r="A19" s="21" t="s">
        <v>793</v>
      </c>
      <c r="B19" s="21" t="s">
        <v>794</v>
      </c>
      <c r="C19" s="21" t="s">
        <v>774</v>
      </c>
      <c r="D19" s="21" t="s">
        <v>775</v>
      </c>
      <c r="E19" s="10" t="s">
        <v>840</v>
      </c>
      <c r="F19" s="10" t="s">
        <v>841</v>
      </c>
      <c r="G19" s="10" t="s">
        <v>842</v>
      </c>
      <c r="H19" s="10" t="s">
        <v>843</v>
      </c>
      <c r="I19" s="10">
        <v>12</v>
      </c>
      <c r="J19" s="10">
        <v>12</v>
      </c>
      <c r="L19" s="21"/>
      <c r="Q19" s="23"/>
    </row>
    <row r="20" spans="1:17" ht="13.2">
      <c r="A20" s="21" t="s">
        <v>793</v>
      </c>
      <c r="B20" s="21" t="s">
        <v>799</v>
      </c>
      <c r="C20" s="21" t="s">
        <v>774</v>
      </c>
      <c r="D20" s="21" t="s">
        <v>775</v>
      </c>
      <c r="E20" s="10" t="s">
        <v>844</v>
      </c>
      <c r="F20" s="10" t="s">
        <v>845</v>
      </c>
      <c r="G20" s="10" t="s">
        <v>846</v>
      </c>
      <c r="H20" s="10" t="s">
        <v>847</v>
      </c>
      <c r="I20" s="10">
        <v>12</v>
      </c>
      <c r="J20" s="10">
        <v>12</v>
      </c>
      <c r="L20" s="21"/>
      <c r="Q20" s="23"/>
    </row>
    <row r="21" spans="1:17" ht="13.2">
      <c r="A21" s="21" t="s">
        <v>793</v>
      </c>
      <c r="B21" s="21" t="s">
        <v>799</v>
      </c>
      <c r="C21" s="21" t="s">
        <v>774</v>
      </c>
      <c r="D21" s="21" t="s">
        <v>775</v>
      </c>
      <c r="E21" s="10" t="s">
        <v>848</v>
      </c>
      <c r="F21" s="10" t="s">
        <v>849</v>
      </c>
      <c r="G21" s="10" t="s">
        <v>850</v>
      </c>
      <c r="H21" s="10" t="s">
        <v>851</v>
      </c>
      <c r="I21" s="10">
        <v>12</v>
      </c>
      <c r="J21" s="10">
        <v>12</v>
      </c>
      <c r="L21" s="21"/>
      <c r="Q21" s="23"/>
    </row>
    <row r="22" spans="1:17" ht="13.2">
      <c r="A22" s="21" t="s">
        <v>772</v>
      </c>
      <c r="B22" s="21" t="s">
        <v>773</v>
      </c>
      <c r="C22" s="21" t="s">
        <v>774</v>
      </c>
      <c r="D22" s="21" t="s">
        <v>852</v>
      </c>
      <c r="E22" s="10" t="s">
        <v>853</v>
      </c>
      <c r="F22" s="10" t="s">
        <v>854</v>
      </c>
      <c r="G22" s="10" t="s">
        <v>855</v>
      </c>
      <c r="H22" s="10" t="s">
        <v>856</v>
      </c>
      <c r="I22" s="10">
        <v>8</v>
      </c>
      <c r="J22" s="10">
        <v>8</v>
      </c>
      <c r="L22" s="21"/>
      <c r="Q22" s="23"/>
    </row>
    <row r="23" spans="1:17" ht="13.2">
      <c r="A23" s="21" t="s">
        <v>772</v>
      </c>
      <c r="B23" s="21" t="s">
        <v>773</v>
      </c>
      <c r="C23" s="21" t="s">
        <v>857</v>
      </c>
      <c r="D23" s="21" t="s">
        <v>852</v>
      </c>
      <c r="E23" s="10" t="s">
        <v>742</v>
      </c>
      <c r="F23" s="10" t="s">
        <v>858</v>
      </c>
      <c r="G23" s="10" t="s">
        <v>859</v>
      </c>
      <c r="H23" s="10" t="s">
        <v>860</v>
      </c>
      <c r="I23" s="23">
        <v>46181</v>
      </c>
      <c r="J23" s="10">
        <v>7</v>
      </c>
      <c r="L23" s="21"/>
      <c r="Q23" s="23"/>
    </row>
    <row r="24" spans="1:17" ht="13.2">
      <c r="A24" s="21" t="s">
        <v>772</v>
      </c>
      <c r="B24" s="21" t="s">
        <v>773</v>
      </c>
      <c r="C24" s="21" t="s">
        <v>857</v>
      </c>
      <c r="D24" s="21" t="s">
        <v>852</v>
      </c>
      <c r="E24" s="10" t="s">
        <v>861</v>
      </c>
      <c r="F24" s="10" t="s">
        <v>299</v>
      </c>
      <c r="G24" s="10" t="s">
        <v>862</v>
      </c>
      <c r="H24" s="24" t="s">
        <v>863</v>
      </c>
      <c r="I24" s="10">
        <v>6</v>
      </c>
      <c r="J24" s="10">
        <v>6</v>
      </c>
      <c r="L24" s="21"/>
    </row>
    <row r="25" spans="1:17" ht="13.2">
      <c r="A25" s="21" t="s">
        <v>772</v>
      </c>
      <c r="B25" s="21" t="s">
        <v>773</v>
      </c>
      <c r="C25" s="21" t="s">
        <v>774</v>
      </c>
      <c r="D25" s="21" t="s">
        <v>852</v>
      </c>
      <c r="E25" s="10" t="s">
        <v>864</v>
      </c>
      <c r="F25" s="10" t="s">
        <v>865</v>
      </c>
      <c r="G25" s="10" t="s">
        <v>866</v>
      </c>
      <c r="H25" s="10" t="s">
        <v>867</v>
      </c>
      <c r="I25" s="10">
        <v>8</v>
      </c>
      <c r="J25" s="10">
        <v>8</v>
      </c>
      <c r="L25" s="21"/>
      <c r="Q25" s="23"/>
    </row>
    <row r="26" spans="1:17" ht="13.2">
      <c r="A26" s="21" t="s">
        <v>772</v>
      </c>
      <c r="B26" s="21" t="s">
        <v>773</v>
      </c>
      <c r="C26" s="21" t="s">
        <v>857</v>
      </c>
      <c r="D26" s="21" t="s">
        <v>852</v>
      </c>
      <c r="E26" s="10" t="s">
        <v>868</v>
      </c>
      <c r="F26" s="10" t="s">
        <v>869</v>
      </c>
      <c r="G26" s="10" t="s">
        <v>870</v>
      </c>
      <c r="H26" s="10" t="s">
        <v>871</v>
      </c>
      <c r="I26" s="10">
        <v>6</v>
      </c>
      <c r="J26" s="10">
        <v>6</v>
      </c>
      <c r="L26" s="21"/>
    </row>
    <row r="27" spans="1:17" ht="13.2">
      <c r="A27" s="21" t="s">
        <v>772</v>
      </c>
      <c r="B27" s="21" t="s">
        <v>773</v>
      </c>
      <c r="C27" s="21" t="s">
        <v>857</v>
      </c>
      <c r="D27" s="21" t="s">
        <v>852</v>
      </c>
      <c r="E27" s="10" t="s">
        <v>872</v>
      </c>
      <c r="F27" s="10" t="s">
        <v>873</v>
      </c>
      <c r="G27" s="10" t="s">
        <v>874</v>
      </c>
      <c r="H27" s="10" t="s">
        <v>875</v>
      </c>
      <c r="I27" s="10">
        <v>6</v>
      </c>
      <c r="J27" s="10">
        <v>6</v>
      </c>
      <c r="L27" s="21"/>
      <c r="Q27" s="23"/>
    </row>
    <row r="28" spans="1:17" ht="13.2">
      <c r="A28" s="21" t="s">
        <v>772</v>
      </c>
      <c r="B28" s="21" t="s">
        <v>773</v>
      </c>
      <c r="C28" s="21" t="s">
        <v>857</v>
      </c>
      <c r="D28" s="21" t="s">
        <v>852</v>
      </c>
      <c r="E28" s="10" t="s">
        <v>876</v>
      </c>
      <c r="F28" s="10" t="s">
        <v>877</v>
      </c>
      <c r="G28" s="10" t="s">
        <v>878</v>
      </c>
      <c r="H28" s="10" t="s">
        <v>879</v>
      </c>
      <c r="I28" s="23">
        <v>46181</v>
      </c>
      <c r="J28" s="10">
        <v>7</v>
      </c>
      <c r="M28" s="21"/>
    </row>
    <row r="29" spans="1:17" ht="13.2">
      <c r="A29" s="21" t="s">
        <v>772</v>
      </c>
      <c r="B29" s="21" t="s">
        <v>880</v>
      </c>
      <c r="C29" s="21" t="s">
        <v>857</v>
      </c>
      <c r="D29" s="21" t="s">
        <v>881</v>
      </c>
      <c r="E29" s="10" t="s">
        <v>882</v>
      </c>
      <c r="F29" s="10" t="s">
        <v>883</v>
      </c>
      <c r="G29" s="10" t="s">
        <v>884</v>
      </c>
      <c r="H29" s="24" t="s">
        <v>885</v>
      </c>
      <c r="I29" s="10">
        <v>6</v>
      </c>
      <c r="J29" s="10">
        <v>6</v>
      </c>
      <c r="M29" s="183"/>
      <c r="N29" s="180"/>
    </row>
    <row r="30" spans="1:17" ht="13.2">
      <c r="A30" s="21" t="s">
        <v>772</v>
      </c>
      <c r="B30" s="21" t="s">
        <v>880</v>
      </c>
      <c r="C30" s="21" t="s">
        <v>857</v>
      </c>
      <c r="D30" s="21" t="s">
        <v>886</v>
      </c>
      <c r="E30" s="10" t="s">
        <v>887</v>
      </c>
      <c r="F30" s="10" t="s">
        <v>888</v>
      </c>
      <c r="G30" s="10" t="s">
        <v>889</v>
      </c>
      <c r="H30" s="10" t="s">
        <v>890</v>
      </c>
      <c r="I30" s="10">
        <v>6</v>
      </c>
      <c r="J30" s="10">
        <v>6</v>
      </c>
      <c r="L30" s="21"/>
      <c r="Q30" s="23"/>
    </row>
    <row r="31" spans="1:17" ht="13.2">
      <c r="A31" s="21" t="s">
        <v>772</v>
      </c>
      <c r="B31" s="21" t="s">
        <v>780</v>
      </c>
      <c r="C31" s="21" t="s">
        <v>857</v>
      </c>
      <c r="D31" s="21" t="s">
        <v>886</v>
      </c>
      <c r="E31" s="10" t="s">
        <v>891</v>
      </c>
      <c r="F31" s="10" t="s">
        <v>892</v>
      </c>
      <c r="G31" s="10" t="s">
        <v>893</v>
      </c>
      <c r="H31" s="10" t="s">
        <v>894</v>
      </c>
      <c r="I31" s="10">
        <v>4</v>
      </c>
      <c r="J31" s="10">
        <v>4</v>
      </c>
      <c r="L31" s="21"/>
    </row>
    <row r="32" spans="1:17" ht="13.2">
      <c r="A32" s="21" t="s">
        <v>772</v>
      </c>
      <c r="B32" s="21" t="s">
        <v>780</v>
      </c>
      <c r="C32" s="21" t="s">
        <v>857</v>
      </c>
      <c r="D32" s="21" t="s">
        <v>886</v>
      </c>
      <c r="E32" s="10" t="s">
        <v>895</v>
      </c>
      <c r="F32" s="10" t="s">
        <v>896</v>
      </c>
      <c r="G32" s="10" t="s">
        <v>897</v>
      </c>
      <c r="H32" s="10" t="s">
        <v>898</v>
      </c>
      <c r="I32" s="10">
        <v>1</v>
      </c>
      <c r="J32" s="10">
        <v>1</v>
      </c>
      <c r="L32" s="21"/>
      <c r="Q32" s="23"/>
    </row>
    <row r="33" spans="1:17" ht="13.2">
      <c r="A33" s="21" t="s">
        <v>772</v>
      </c>
      <c r="B33" s="21" t="s">
        <v>780</v>
      </c>
      <c r="C33" s="21" t="s">
        <v>857</v>
      </c>
      <c r="D33" s="21" t="s">
        <v>886</v>
      </c>
      <c r="E33" s="10" t="s">
        <v>899</v>
      </c>
      <c r="F33" s="10" t="s">
        <v>900</v>
      </c>
      <c r="G33" s="10" t="s">
        <v>901</v>
      </c>
      <c r="H33" s="10" t="s">
        <v>902</v>
      </c>
      <c r="I33" s="10">
        <v>2</v>
      </c>
      <c r="J33" s="10">
        <v>2</v>
      </c>
      <c r="L33" s="21"/>
      <c r="Q33" s="23"/>
    </row>
    <row r="34" spans="1:17" ht="13.2">
      <c r="A34" s="21" t="s">
        <v>772</v>
      </c>
      <c r="B34" s="21" t="s">
        <v>780</v>
      </c>
      <c r="C34" s="21" t="s">
        <v>857</v>
      </c>
      <c r="D34" s="21" t="s">
        <v>886</v>
      </c>
      <c r="E34" s="10" t="s">
        <v>903</v>
      </c>
      <c r="F34" s="10" t="s">
        <v>904</v>
      </c>
      <c r="G34" s="10" t="s">
        <v>905</v>
      </c>
      <c r="H34" s="10" t="s">
        <v>906</v>
      </c>
      <c r="I34" s="10">
        <v>6</v>
      </c>
      <c r="J34" s="10">
        <v>6</v>
      </c>
      <c r="L34" s="21"/>
    </row>
    <row r="35" spans="1:17" ht="13.2">
      <c r="A35" s="21" t="s">
        <v>772</v>
      </c>
      <c r="B35" s="21" t="s">
        <v>780</v>
      </c>
      <c r="C35" s="21" t="s">
        <v>857</v>
      </c>
      <c r="D35" s="21" t="s">
        <v>886</v>
      </c>
      <c r="E35" s="10" t="s">
        <v>907</v>
      </c>
      <c r="F35" s="10" t="s">
        <v>908</v>
      </c>
      <c r="G35" s="10" t="s">
        <v>909</v>
      </c>
      <c r="H35" s="10" t="s">
        <v>910</v>
      </c>
      <c r="I35" s="23">
        <v>46181</v>
      </c>
      <c r="J35" s="10">
        <v>7</v>
      </c>
      <c r="L35" s="21"/>
    </row>
    <row r="36" spans="1:17" ht="13.2">
      <c r="A36" s="21" t="s">
        <v>772</v>
      </c>
      <c r="B36" s="21" t="s">
        <v>780</v>
      </c>
      <c r="C36" s="21" t="s">
        <v>857</v>
      </c>
      <c r="D36" s="21" t="s">
        <v>886</v>
      </c>
      <c r="E36" s="10" t="s">
        <v>911</v>
      </c>
      <c r="F36" s="10" t="s">
        <v>912</v>
      </c>
      <c r="G36" s="10" t="s">
        <v>913</v>
      </c>
      <c r="H36" s="10" t="s">
        <v>914</v>
      </c>
      <c r="I36" s="10">
        <v>4</v>
      </c>
      <c r="J36" s="10">
        <v>4</v>
      </c>
      <c r="L36" s="21"/>
    </row>
    <row r="37" spans="1:17" ht="13.2">
      <c r="A37" s="21" t="s">
        <v>772</v>
      </c>
      <c r="B37" s="21" t="s">
        <v>808</v>
      </c>
      <c r="C37" s="21" t="s">
        <v>857</v>
      </c>
      <c r="D37" s="21" t="s">
        <v>886</v>
      </c>
      <c r="E37" s="10" t="s">
        <v>915</v>
      </c>
      <c r="F37" s="10" t="s">
        <v>916</v>
      </c>
      <c r="G37" s="10" t="s">
        <v>917</v>
      </c>
      <c r="H37" s="10" t="s">
        <v>918</v>
      </c>
      <c r="I37" s="10">
        <v>1</v>
      </c>
      <c r="J37" s="10">
        <v>1</v>
      </c>
      <c r="M37" s="21"/>
    </row>
    <row r="38" spans="1:17" ht="13.2">
      <c r="A38" s="21" t="s">
        <v>772</v>
      </c>
      <c r="B38" s="21" t="s">
        <v>808</v>
      </c>
      <c r="C38" s="21" t="s">
        <v>857</v>
      </c>
      <c r="D38" s="21" t="s">
        <v>886</v>
      </c>
      <c r="E38" s="10" t="s">
        <v>919</v>
      </c>
      <c r="F38" s="10" t="s">
        <v>920</v>
      </c>
      <c r="G38" s="10" t="s">
        <v>921</v>
      </c>
      <c r="H38" s="10" t="s">
        <v>922</v>
      </c>
      <c r="I38" s="10">
        <v>12</v>
      </c>
      <c r="J38" s="10">
        <v>12</v>
      </c>
      <c r="L38" s="21"/>
      <c r="Q38" s="23"/>
    </row>
    <row r="39" spans="1:17" ht="13.2">
      <c r="A39" s="21" t="s">
        <v>793</v>
      </c>
      <c r="B39" s="21" t="s">
        <v>799</v>
      </c>
      <c r="C39" s="21" t="s">
        <v>774</v>
      </c>
      <c r="D39" s="21" t="s">
        <v>923</v>
      </c>
      <c r="E39" s="10" t="s">
        <v>924</v>
      </c>
      <c r="F39" s="10" t="s">
        <v>925</v>
      </c>
      <c r="G39" s="10" t="s">
        <v>926</v>
      </c>
      <c r="H39" s="10" t="s">
        <v>927</v>
      </c>
      <c r="I39" s="10">
        <v>6</v>
      </c>
      <c r="J39" s="10">
        <v>6</v>
      </c>
      <c r="L39" s="21"/>
    </row>
    <row r="40" spans="1:17" ht="13.2">
      <c r="A40" s="21" t="s">
        <v>793</v>
      </c>
      <c r="B40" s="21" t="s">
        <v>799</v>
      </c>
      <c r="C40" s="21" t="s">
        <v>774</v>
      </c>
      <c r="D40" s="21" t="s">
        <v>923</v>
      </c>
      <c r="E40" s="10" t="s">
        <v>928</v>
      </c>
      <c r="F40" s="10" t="s">
        <v>722</v>
      </c>
      <c r="G40" s="10" t="s">
        <v>929</v>
      </c>
      <c r="H40" s="10" t="s">
        <v>930</v>
      </c>
      <c r="I40" s="10">
        <v>6</v>
      </c>
      <c r="J40" s="10">
        <v>6</v>
      </c>
      <c r="L40" s="21"/>
    </row>
    <row r="41" spans="1:17" ht="13.2">
      <c r="A41" s="21" t="s">
        <v>793</v>
      </c>
      <c r="B41" s="21" t="s">
        <v>799</v>
      </c>
      <c r="C41" s="21" t="s">
        <v>774</v>
      </c>
      <c r="D41" s="21" t="s">
        <v>923</v>
      </c>
      <c r="E41" s="10" t="s">
        <v>719</v>
      </c>
      <c r="F41" s="10" t="s">
        <v>931</v>
      </c>
      <c r="G41" s="10" t="s">
        <v>932</v>
      </c>
      <c r="H41" s="10" t="s">
        <v>933</v>
      </c>
      <c r="I41" s="10">
        <v>6</v>
      </c>
      <c r="J41" s="10">
        <v>6</v>
      </c>
      <c r="L41" s="21"/>
    </row>
    <row r="42" spans="1:17" ht="13.2">
      <c r="A42" s="21" t="s">
        <v>772</v>
      </c>
      <c r="B42" s="21" t="s">
        <v>880</v>
      </c>
      <c r="C42" s="21" t="s">
        <v>774</v>
      </c>
      <c r="D42" s="21" t="s">
        <v>923</v>
      </c>
      <c r="E42" s="10" t="s">
        <v>934</v>
      </c>
      <c r="F42" s="10" t="s">
        <v>935</v>
      </c>
      <c r="G42" s="10" t="s">
        <v>936</v>
      </c>
      <c r="H42" s="10" t="s">
        <v>937</v>
      </c>
      <c r="I42" s="10">
        <v>6</v>
      </c>
      <c r="J42" s="10">
        <v>6</v>
      </c>
      <c r="L42" s="21"/>
    </row>
    <row r="43" spans="1:17" ht="13.2">
      <c r="A43" s="21" t="s">
        <v>793</v>
      </c>
      <c r="B43" s="21" t="s">
        <v>794</v>
      </c>
      <c r="C43" s="21" t="s">
        <v>774</v>
      </c>
      <c r="D43" s="21" t="s">
        <v>923</v>
      </c>
      <c r="E43" s="10" t="s">
        <v>938</v>
      </c>
      <c r="F43" s="10" t="s">
        <v>939</v>
      </c>
      <c r="G43" s="10" t="s">
        <v>940</v>
      </c>
      <c r="H43" s="10" t="s">
        <v>941</v>
      </c>
      <c r="I43" s="10">
        <v>6</v>
      </c>
      <c r="J43" s="10">
        <v>6</v>
      </c>
      <c r="L43" s="21"/>
      <c r="Q43" s="23"/>
    </row>
    <row r="44" spans="1:17" ht="13.2">
      <c r="A44" s="21" t="s">
        <v>793</v>
      </c>
      <c r="B44" s="21" t="s">
        <v>799</v>
      </c>
      <c r="C44" s="21" t="s">
        <v>774</v>
      </c>
      <c r="D44" s="21" t="s">
        <v>923</v>
      </c>
      <c r="E44" s="10" t="s">
        <v>942</v>
      </c>
      <c r="F44" s="10" t="s">
        <v>943</v>
      </c>
      <c r="G44" s="10" t="s">
        <v>944</v>
      </c>
      <c r="H44" s="10" t="s">
        <v>945</v>
      </c>
      <c r="I44" s="10">
        <v>6</v>
      </c>
      <c r="J44" s="10">
        <v>6</v>
      </c>
      <c r="L44" s="21"/>
      <c r="Q44" s="23"/>
    </row>
    <row r="45" spans="1:17" ht="13.2">
      <c r="A45" s="21" t="s">
        <v>793</v>
      </c>
      <c r="B45" s="21" t="s">
        <v>799</v>
      </c>
      <c r="C45" s="21" t="s">
        <v>774</v>
      </c>
      <c r="D45" s="21" t="s">
        <v>923</v>
      </c>
      <c r="E45" s="10" t="s">
        <v>946</v>
      </c>
      <c r="F45" s="10" t="s">
        <v>947</v>
      </c>
      <c r="G45" s="10" t="s">
        <v>948</v>
      </c>
      <c r="H45" s="10" t="s">
        <v>949</v>
      </c>
      <c r="I45" s="10">
        <v>6</v>
      </c>
      <c r="J45" s="10">
        <v>6</v>
      </c>
      <c r="M45" s="21"/>
    </row>
    <row r="46" spans="1:17" ht="13.2">
      <c r="A46" s="21" t="s">
        <v>793</v>
      </c>
      <c r="B46" s="21" t="s">
        <v>794</v>
      </c>
      <c r="C46" s="21" t="s">
        <v>774</v>
      </c>
      <c r="D46" s="21" t="s">
        <v>923</v>
      </c>
      <c r="E46" s="10" t="s">
        <v>950</v>
      </c>
      <c r="F46" s="10" t="s">
        <v>951</v>
      </c>
      <c r="G46" s="10" t="s">
        <v>952</v>
      </c>
      <c r="H46" s="10" t="s">
        <v>953</v>
      </c>
      <c r="I46" s="10">
        <v>6</v>
      </c>
      <c r="J46" s="10">
        <v>6</v>
      </c>
      <c r="M46" s="22"/>
      <c r="N46" s="22"/>
    </row>
    <row r="47" spans="1:17" ht="13.2">
      <c r="A47" s="21" t="s">
        <v>793</v>
      </c>
      <c r="B47" s="21" t="s">
        <v>794</v>
      </c>
      <c r="C47" s="21" t="s">
        <v>774</v>
      </c>
      <c r="D47" s="21" t="s">
        <v>923</v>
      </c>
      <c r="E47" s="10" t="s">
        <v>954</v>
      </c>
      <c r="F47" s="10" t="s">
        <v>955</v>
      </c>
      <c r="G47" s="10" t="s">
        <v>956</v>
      </c>
      <c r="H47" s="10" t="s">
        <v>957</v>
      </c>
      <c r="I47" s="10">
        <v>6</v>
      </c>
      <c r="J47" s="10">
        <v>6</v>
      </c>
      <c r="L47" s="21"/>
    </row>
    <row r="48" spans="1:17" ht="13.2">
      <c r="A48" s="21" t="s">
        <v>793</v>
      </c>
      <c r="B48" s="21" t="s">
        <v>794</v>
      </c>
      <c r="C48" s="21" t="s">
        <v>774</v>
      </c>
      <c r="D48" s="21" t="s">
        <v>923</v>
      </c>
      <c r="E48" s="10" t="s">
        <v>958</v>
      </c>
      <c r="F48" s="10" t="s">
        <v>959</v>
      </c>
      <c r="G48" s="10" t="s">
        <v>960</v>
      </c>
      <c r="H48" s="10" t="s">
        <v>961</v>
      </c>
      <c r="I48" s="10">
        <v>6</v>
      </c>
      <c r="J48" s="10">
        <v>6</v>
      </c>
      <c r="L48" s="21"/>
    </row>
    <row r="49" spans="1:17" ht="13.2">
      <c r="A49" s="21" t="s">
        <v>793</v>
      </c>
      <c r="B49" s="21" t="s">
        <v>799</v>
      </c>
      <c r="C49" s="21" t="s">
        <v>774</v>
      </c>
      <c r="D49" s="21" t="s">
        <v>923</v>
      </c>
      <c r="E49" s="10" t="s">
        <v>962</v>
      </c>
      <c r="F49" s="10" t="s">
        <v>963</v>
      </c>
      <c r="G49" s="10" t="s">
        <v>964</v>
      </c>
      <c r="H49" s="10" t="s">
        <v>965</v>
      </c>
      <c r="I49" s="10">
        <v>6</v>
      </c>
      <c r="J49" s="10">
        <v>6</v>
      </c>
      <c r="L49" s="21"/>
    </row>
    <row r="50" spans="1:17" ht="13.2">
      <c r="A50" s="21" t="s">
        <v>793</v>
      </c>
      <c r="B50" s="21" t="s">
        <v>799</v>
      </c>
      <c r="C50" s="21" t="s">
        <v>774</v>
      </c>
      <c r="D50" s="21" t="s">
        <v>923</v>
      </c>
      <c r="E50" s="10" t="s">
        <v>966</v>
      </c>
      <c r="F50" s="10" t="s">
        <v>967</v>
      </c>
      <c r="G50" s="10" t="s">
        <v>968</v>
      </c>
      <c r="H50" s="10" t="s">
        <v>969</v>
      </c>
      <c r="I50" s="23">
        <v>46024</v>
      </c>
      <c r="J50" s="10">
        <v>1.5</v>
      </c>
      <c r="L50" s="21"/>
    </row>
    <row r="51" spans="1:17" ht="13.2">
      <c r="A51" s="21" t="s">
        <v>793</v>
      </c>
      <c r="B51" s="21" t="s">
        <v>794</v>
      </c>
      <c r="C51" s="21" t="s">
        <v>823</v>
      </c>
      <c r="D51" s="21" t="s">
        <v>970</v>
      </c>
      <c r="E51" s="20" t="s">
        <v>971</v>
      </c>
      <c r="F51" s="20" t="s">
        <v>972</v>
      </c>
      <c r="G51" s="10" t="s">
        <v>973</v>
      </c>
      <c r="H51" s="10" t="s">
        <v>974</v>
      </c>
      <c r="I51" s="10">
        <v>12</v>
      </c>
      <c r="J51" s="10">
        <v>12</v>
      </c>
      <c r="L51" s="21"/>
    </row>
    <row r="52" spans="1:17" ht="13.2">
      <c r="A52" s="21" t="s">
        <v>793</v>
      </c>
      <c r="B52" s="21" t="s">
        <v>794</v>
      </c>
      <c r="C52" s="21" t="s">
        <v>823</v>
      </c>
      <c r="D52" s="21" t="s">
        <v>970</v>
      </c>
      <c r="E52" s="10" t="s">
        <v>975</v>
      </c>
      <c r="F52" s="10" t="s">
        <v>976</v>
      </c>
      <c r="G52" s="10" t="s">
        <v>977</v>
      </c>
      <c r="H52" s="10" t="s">
        <v>978</v>
      </c>
      <c r="I52" s="23">
        <v>46181</v>
      </c>
      <c r="J52" s="10">
        <v>7</v>
      </c>
      <c r="L52" s="21"/>
    </row>
    <row r="53" spans="1:17" ht="13.2">
      <c r="A53" s="21" t="s">
        <v>793</v>
      </c>
      <c r="B53" s="21" t="s">
        <v>794</v>
      </c>
      <c r="C53" s="21" t="s">
        <v>823</v>
      </c>
      <c r="D53" s="21" t="s">
        <v>970</v>
      </c>
      <c r="E53" s="10" t="s">
        <v>979</v>
      </c>
      <c r="F53" s="10" t="s">
        <v>367</v>
      </c>
      <c r="G53" s="10" t="s">
        <v>980</v>
      </c>
      <c r="H53" s="10" t="s">
        <v>981</v>
      </c>
      <c r="I53" s="23">
        <v>46181</v>
      </c>
      <c r="J53" s="10">
        <v>7</v>
      </c>
      <c r="L53" s="21"/>
    </row>
    <row r="54" spans="1:17" ht="13.2">
      <c r="A54" s="21" t="s">
        <v>793</v>
      </c>
      <c r="B54" s="21" t="s">
        <v>794</v>
      </c>
      <c r="C54" s="21" t="s">
        <v>823</v>
      </c>
      <c r="D54" s="21" t="s">
        <v>970</v>
      </c>
      <c r="E54" s="10" t="s">
        <v>982</v>
      </c>
      <c r="F54" s="10" t="s">
        <v>983</v>
      </c>
      <c r="G54" s="10" t="s">
        <v>984</v>
      </c>
      <c r="H54" s="10" t="s">
        <v>985</v>
      </c>
      <c r="I54" s="10">
        <v>6</v>
      </c>
      <c r="J54" s="10">
        <v>6</v>
      </c>
      <c r="L54" s="21"/>
    </row>
    <row r="55" spans="1:17" ht="13.2">
      <c r="A55" s="21" t="s">
        <v>793</v>
      </c>
      <c r="B55" s="21" t="s">
        <v>794</v>
      </c>
      <c r="C55" s="21" t="s">
        <v>823</v>
      </c>
      <c r="D55" s="21" t="s">
        <v>970</v>
      </c>
      <c r="E55" s="10" t="s">
        <v>986</v>
      </c>
      <c r="F55" s="10" t="s">
        <v>987</v>
      </c>
      <c r="G55" s="10" t="s">
        <v>988</v>
      </c>
      <c r="H55" s="10" t="s">
        <v>989</v>
      </c>
      <c r="I55" s="10">
        <v>8</v>
      </c>
      <c r="J55" s="10">
        <v>8</v>
      </c>
      <c r="L55" s="21"/>
    </row>
    <row r="56" spans="1:17" ht="13.2">
      <c r="A56" s="21" t="s">
        <v>793</v>
      </c>
      <c r="B56" s="21" t="s">
        <v>794</v>
      </c>
      <c r="C56" s="21" t="s">
        <v>823</v>
      </c>
      <c r="D56" s="21" t="s">
        <v>970</v>
      </c>
      <c r="E56" s="10" t="s">
        <v>990</v>
      </c>
      <c r="F56" s="10" t="s">
        <v>991</v>
      </c>
      <c r="G56" s="10" t="s">
        <v>992</v>
      </c>
      <c r="H56" s="10" t="s">
        <v>993</v>
      </c>
      <c r="I56" s="10">
        <v>6</v>
      </c>
      <c r="J56" s="10">
        <v>6</v>
      </c>
      <c r="L56" s="21"/>
    </row>
    <row r="57" spans="1:17" ht="13.2">
      <c r="A57" s="21" t="s">
        <v>793</v>
      </c>
      <c r="B57" s="21" t="s">
        <v>794</v>
      </c>
      <c r="C57" s="21" t="s">
        <v>823</v>
      </c>
      <c r="D57" s="21" t="s">
        <v>970</v>
      </c>
      <c r="E57" s="10" t="s">
        <v>994</v>
      </c>
      <c r="F57" s="10" t="s">
        <v>995</v>
      </c>
      <c r="G57" s="10" t="s">
        <v>996</v>
      </c>
      <c r="H57" s="10" t="s">
        <v>997</v>
      </c>
      <c r="I57" s="10">
        <v>4</v>
      </c>
      <c r="J57" s="10">
        <v>4</v>
      </c>
      <c r="L57" s="21"/>
      <c r="Q57" s="23"/>
    </row>
    <row r="58" spans="1:17" ht="13.2">
      <c r="A58" s="21" t="s">
        <v>793</v>
      </c>
      <c r="B58" s="21" t="s">
        <v>794</v>
      </c>
      <c r="C58" s="21" t="s">
        <v>823</v>
      </c>
      <c r="D58" s="21" t="s">
        <v>970</v>
      </c>
      <c r="E58" s="10" t="s">
        <v>998</v>
      </c>
      <c r="F58" s="10" t="s">
        <v>999</v>
      </c>
      <c r="G58" s="10" t="s">
        <v>1000</v>
      </c>
      <c r="H58" s="10" t="s">
        <v>1001</v>
      </c>
      <c r="I58" s="10">
        <v>6</v>
      </c>
      <c r="J58" s="10">
        <v>6</v>
      </c>
      <c r="M58" s="21"/>
    </row>
    <row r="59" spans="1:17" ht="13.2">
      <c r="A59" s="21" t="s">
        <v>793</v>
      </c>
      <c r="B59" s="21" t="s">
        <v>794</v>
      </c>
      <c r="C59" s="21" t="s">
        <v>823</v>
      </c>
      <c r="D59" s="21" t="s">
        <v>970</v>
      </c>
      <c r="E59" s="10" t="s">
        <v>1002</v>
      </c>
      <c r="F59" s="10" t="s">
        <v>1003</v>
      </c>
      <c r="G59" s="10" t="s">
        <v>1004</v>
      </c>
      <c r="H59" s="10" t="s">
        <v>1005</v>
      </c>
      <c r="I59" s="10">
        <v>8</v>
      </c>
      <c r="J59" s="10">
        <v>8</v>
      </c>
      <c r="M59" s="22"/>
      <c r="N59" s="22"/>
    </row>
    <row r="60" spans="1:17" ht="13.2">
      <c r="A60" s="21" t="s">
        <v>793</v>
      </c>
      <c r="B60" s="21" t="s">
        <v>794</v>
      </c>
      <c r="C60" s="21" t="s">
        <v>823</v>
      </c>
      <c r="D60" s="21" t="s">
        <v>970</v>
      </c>
      <c r="E60" s="10" t="s">
        <v>1006</v>
      </c>
      <c r="F60" s="10" t="s">
        <v>1007</v>
      </c>
      <c r="G60" s="10" t="s">
        <v>1008</v>
      </c>
      <c r="H60" s="10" t="s">
        <v>1009</v>
      </c>
      <c r="I60" s="10">
        <v>8</v>
      </c>
      <c r="J60" s="10">
        <v>8</v>
      </c>
      <c r="L60" s="21"/>
    </row>
    <row r="61" spans="1:17" ht="13.2">
      <c r="A61" s="21" t="s">
        <v>793</v>
      </c>
      <c r="B61" s="21" t="s">
        <v>794</v>
      </c>
      <c r="C61" s="21" t="s">
        <v>823</v>
      </c>
      <c r="D61" s="21" t="s">
        <v>970</v>
      </c>
      <c r="E61" s="10" t="s">
        <v>1010</v>
      </c>
      <c r="F61" s="10" t="s">
        <v>255</v>
      </c>
      <c r="G61" s="10" t="s">
        <v>1011</v>
      </c>
      <c r="H61" s="10" t="s">
        <v>1012</v>
      </c>
      <c r="I61" s="10">
        <v>12</v>
      </c>
      <c r="J61" s="10">
        <v>12</v>
      </c>
      <c r="L61" s="21"/>
    </row>
    <row r="62" spans="1:17" ht="13.2">
      <c r="A62" s="21" t="s">
        <v>793</v>
      </c>
      <c r="B62" s="21" t="s">
        <v>794</v>
      </c>
      <c r="C62" s="21" t="s">
        <v>823</v>
      </c>
      <c r="D62" s="21" t="s">
        <v>970</v>
      </c>
      <c r="E62" s="10" t="s">
        <v>1013</v>
      </c>
      <c r="F62" s="10" t="s">
        <v>1014</v>
      </c>
      <c r="G62" s="10" t="s">
        <v>1015</v>
      </c>
      <c r="H62" s="10" t="s">
        <v>1016</v>
      </c>
      <c r="I62" s="10">
        <v>8</v>
      </c>
      <c r="J62" s="10">
        <v>8</v>
      </c>
      <c r="L62" s="21"/>
    </row>
    <row r="63" spans="1:17" ht="13.2">
      <c r="A63" s="21" t="s">
        <v>793</v>
      </c>
      <c r="B63" s="21" t="s">
        <v>794</v>
      </c>
      <c r="C63" s="21" t="s">
        <v>774</v>
      </c>
      <c r="D63" s="21" t="s">
        <v>970</v>
      </c>
      <c r="E63" s="10" t="s">
        <v>1017</v>
      </c>
      <c r="F63" s="10" t="s">
        <v>1018</v>
      </c>
      <c r="G63" s="10" t="s">
        <v>1019</v>
      </c>
      <c r="H63" s="10" t="s">
        <v>1020</v>
      </c>
      <c r="I63" s="10">
        <v>24</v>
      </c>
      <c r="J63" s="10">
        <v>24</v>
      </c>
      <c r="L63" s="21"/>
      <c r="Q63" s="23"/>
    </row>
    <row r="64" spans="1:17" ht="13.2">
      <c r="A64" s="21" t="s">
        <v>793</v>
      </c>
      <c r="B64" s="21" t="s">
        <v>794</v>
      </c>
      <c r="C64" s="21" t="s">
        <v>774</v>
      </c>
      <c r="D64" s="21" t="s">
        <v>970</v>
      </c>
      <c r="E64" s="10" t="s">
        <v>1021</v>
      </c>
      <c r="F64" s="10" t="s">
        <v>462</v>
      </c>
      <c r="G64" s="10" t="s">
        <v>1022</v>
      </c>
      <c r="H64" s="10" t="s">
        <v>1023</v>
      </c>
      <c r="I64" s="10">
        <v>24</v>
      </c>
      <c r="J64" s="10">
        <v>24</v>
      </c>
      <c r="L64" s="21"/>
    </row>
    <row r="65" spans="1:17" ht="13.2">
      <c r="A65" s="21" t="s">
        <v>793</v>
      </c>
      <c r="B65" s="21" t="s">
        <v>794</v>
      </c>
      <c r="C65" s="21" t="s">
        <v>823</v>
      </c>
      <c r="D65" s="21" t="s">
        <v>970</v>
      </c>
      <c r="E65" s="10" t="s">
        <v>1024</v>
      </c>
      <c r="F65" s="10" t="s">
        <v>1025</v>
      </c>
      <c r="G65" s="10" t="s">
        <v>1026</v>
      </c>
      <c r="H65" s="10" t="s">
        <v>1027</v>
      </c>
      <c r="I65" s="10">
        <v>12</v>
      </c>
      <c r="J65" s="10">
        <v>12</v>
      </c>
      <c r="L65" s="21"/>
    </row>
    <row r="66" spans="1:17" ht="13.2">
      <c r="A66" s="21" t="s">
        <v>793</v>
      </c>
      <c r="B66" s="21" t="s">
        <v>794</v>
      </c>
      <c r="C66" s="21" t="s">
        <v>823</v>
      </c>
      <c r="D66" s="21" t="s">
        <v>970</v>
      </c>
      <c r="E66" s="10" t="s">
        <v>1028</v>
      </c>
      <c r="F66" s="10" t="s">
        <v>1029</v>
      </c>
      <c r="G66" s="10" t="s">
        <v>1030</v>
      </c>
      <c r="H66" s="10" t="s">
        <v>1031</v>
      </c>
      <c r="I66" s="10">
        <v>30</v>
      </c>
      <c r="J66" s="10">
        <v>30</v>
      </c>
      <c r="L66" s="21"/>
    </row>
    <row r="67" spans="1:17" ht="13.2">
      <c r="A67" s="21" t="s">
        <v>793</v>
      </c>
      <c r="B67" s="21" t="s">
        <v>794</v>
      </c>
      <c r="C67" s="21" t="s">
        <v>823</v>
      </c>
      <c r="D67" s="21" t="s">
        <v>970</v>
      </c>
      <c r="E67" s="10" t="s">
        <v>1032</v>
      </c>
      <c r="F67" s="10" t="s">
        <v>48</v>
      </c>
      <c r="G67" s="10" t="s">
        <v>1033</v>
      </c>
      <c r="H67" s="10" t="s">
        <v>1034</v>
      </c>
      <c r="I67" s="10" t="s">
        <v>1035</v>
      </c>
      <c r="J67" s="10">
        <v>27.5</v>
      </c>
      <c r="L67" s="21"/>
    </row>
    <row r="68" spans="1:17" ht="13.2">
      <c r="A68" s="21" t="s">
        <v>793</v>
      </c>
      <c r="B68" s="21" t="s">
        <v>794</v>
      </c>
      <c r="C68" s="21" t="s">
        <v>823</v>
      </c>
      <c r="D68" s="21" t="s">
        <v>970</v>
      </c>
      <c r="E68" s="10" t="s">
        <v>1036</v>
      </c>
      <c r="F68" s="10" t="s">
        <v>1037</v>
      </c>
      <c r="G68" s="10" t="s">
        <v>1038</v>
      </c>
      <c r="H68" s="10" t="s">
        <v>1039</v>
      </c>
      <c r="I68" s="10">
        <v>60</v>
      </c>
      <c r="J68" s="10">
        <v>60</v>
      </c>
      <c r="L68" s="21"/>
    </row>
    <row r="69" spans="1:17" ht="13.2">
      <c r="L69" s="21"/>
    </row>
    <row r="70" spans="1:17" ht="13.2">
      <c r="A70" s="10" t="s">
        <v>772</v>
      </c>
      <c r="B70" s="10" t="s">
        <v>808</v>
      </c>
      <c r="C70" s="10" t="s">
        <v>1040</v>
      </c>
      <c r="D70" s="10">
        <f>COUNTIFS(A4:A68,"Meat",B4:B68,"Pork",C4:C68,"Main")</f>
        <v>2</v>
      </c>
      <c r="L70" s="21"/>
      <c r="Q70" s="23"/>
    </row>
    <row r="71" spans="1:17" ht="13.2">
      <c r="A71" s="10">
        <f>COUNTIF(A4:A68,"Meat")</f>
        <v>25</v>
      </c>
      <c r="B71" s="10">
        <f>COUNTIFS(A4:A68,"Meat",B4:B68,"Pork")</f>
        <v>4</v>
      </c>
      <c r="C71" s="10" t="s">
        <v>774</v>
      </c>
      <c r="D71" s="10">
        <f>COUNTIFS(A4:A68,"Meat",B4:B68,"Pork",C4:C68,"Side")</f>
        <v>2</v>
      </c>
    </row>
    <row r="72" spans="1:17" ht="13.2">
      <c r="C72" s="10" t="s">
        <v>823</v>
      </c>
      <c r="D72" s="10">
        <f>COUNTIFS(A4:A68,"Meat",B4:B68,"Pork",C4:C68,"Dessert")</f>
        <v>0</v>
      </c>
    </row>
    <row r="73" spans="1:17" ht="13.2">
      <c r="B73" s="10" t="s">
        <v>780</v>
      </c>
      <c r="C73" s="10" t="s">
        <v>1040</v>
      </c>
      <c r="D73" s="10">
        <f>COUNTIFS(A4:A68,"Meat",B4:B68,"Beef",C4:C68,"Main")</f>
        <v>6</v>
      </c>
    </row>
    <row r="74" spans="1:17" ht="13.2">
      <c r="B74" s="10">
        <f>COUNTIFS(A4:A68,"Meat",B4:B68,"Beef")</f>
        <v>9</v>
      </c>
      <c r="C74" s="10" t="s">
        <v>774</v>
      </c>
      <c r="D74" s="10">
        <f>COUNTIFS(A4:A68,"Meat",B4:B68,"Beef",C4:C68,"Side")</f>
        <v>3</v>
      </c>
    </row>
    <row r="75" spans="1:17" ht="13.2">
      <c r="C75" s="10" t="s">
        <v>823</v>
      </c>
      <c r="D75" s="10">
        <f>COUNTIFS(A4:A68,"Meat",B4:B68,"Beef",C4:C68,"Dessert")</f>
        <v>0</v>
      </c>
    </row>
    <row r="76" spans="1:17" ht="13.2">
      <c r="B76" s="10" t="s">
        <v>880</v>
      </c>
      <c r="C76" s="10" t="s">
        <v>1040</v>
      </c>
      <c r="D76" s="10">
        <f>COUNTIFS(A4:A68,"Meat",B4:B68,"Poultry",C4:C68,"Main")</f>
        <v>2</v>
      </c>
    </row>
    <row r="77" spans="1:17" ht="13.2">
      <c r="B77" s="10">
        <f>COUNTIFS(A4:A68,"Meat",B4:B68,"Poultry")</f>
        <v>3</v>
      </c>
      <c r="C77" s="10" t="s">
        <v>774</v>
      </c>
      <c r="D77" s="10">
        <f>COUNTIFS(A4:A68,"Meat",B4:B68,"Poultry",C4:C68,"Side")</f>
        <v>1</v>
      </c>
    </row>
    <row r="78" spans="1:17" ht="13.2">
      <c r="C78" s="10" t="s">
        <v>823</v>
      </c>
      <c r="D78" s="10">
        <f>COUNTIFS(A4:A68,"Meat",B4:B68,"Poultry",C4:C68,"Dessert")</f>
        <v>0</v>
      </c>
    </row>
    <row r="79" spans="1:17" ht="13.2">
      <c r="B79" s="10" t="s">
        <v>1041</v>
      </c>
      <c r="C79" s="10" t="s">
        <v>1040</v>
      </c>
      <c r="D79" s="10">
        <f>COUNTIFS(A4:A68,"Meat",B4:B68,"Sea food ",C4:C68,"Main")</f>
        <v>5</v>
      </c>
    </row>
    <row r="80" spans="1:17" ht="13.2">
      <c r="B80" s="10">
        <f>COUNTIFS(A4:A68,"Meat",B4:B68,"Sea food ")</f>
        <v>9</v>
      </c>
      <c r="C80" s="10" t="s">
        <v>774</v>
      </c>
      <c r="D80" s="10">
        <f>COUNTIFS(A4:A68,"Meat",B4:B68,"Sea food ",C4:C68,"Side")</f>
        <v>4</v>
      </c>
    </row>
    <row r="81" spans="1:4" ht="13.2">
      <c r="C81" s="10" t="s">
        <v>823</v>
      </c>
      <c r="D81" s="10">
        <f>COUNTIFS(A4:A68,"Meat",B4:B68,"Sea food ",C4:C68,"Dessert")</f>
        <v>0</v>
      </c>
    </row>
    <row r="82" spans="1:4" ht="13.2">
      <c r="A82" s="10" t="s">
        <v>1042</v>
      </c>
      <c r="B82" s="10" t="s">
        <v>799</v>
      </c>
      <c r="C82" s="10" t="s">
        <v>1040</v>
      </c>
      <c r="D82" s="10">
        <f>COUNTIFS(A4:A68,"No meat",B4:B68,"Vegan",C4:C68,"Main")</f>
        <v>0</v>
      </c>
    </row>
    <row r="83" spans="1:4" ht="13.2">
      <c r="A83" s="10">
        <f>COUNTIF(A4:A68,"No meat")</f>
        <v>40</v>
      </c>
      <c r="B83" s="10">
        <f>COUNTIFS(A4:A68,"No meat",B4:B68,"Vegan")</f>
        <v>14</v>
      </c>
      <c r="C83" s="10" t="s">
        <v>774</v>
      </c>
      <c r="D83" s="10">
        <f>COUNTIFS(A4:A68,"No meat",B4:B68,"Vegan",C4:C68,"Side")</f>
        <v>14</v>
      </c>
    </row>
    <row r="84" spans="1:4" ht="13.2">
      <c r="C84" s="10" t="s">
        <v>823</v>
      </c>
      <c r="D84" s="10">
        <f>COUNTIFS(A4:A68,"No meat",B4:B68,"Vegan",C4:C68,"Dessert")</f>
        <v>0</v>
      </c>
    </row>
    <row r="85" spans="1:4" ht="13.2">
      <c r="B85" s="10" t="s">
        <v>794</v>
      </c>
      <c r="C85" s="10" t="s">
        <v>1040</v>
      </c>
      <c r="D85" s="10">
        <f>COUNTIFS(A4:A68,"No meat",B4:B68,"Vegetarian",C4:C68,"Main)")</f>
        <v>0</v>
      </c>
    </row>
    <row r="86" spans="1:4" ht="13.2">
      <c r="B86" s="10">
        <f>COUNTIFS(A4:A68,"No meat",B4:B68,"Vegetarian")</f>
        <v>26</v>
      </c>
      <c r="C86" s="10" t="s">
        <v>774</v>
      </c>
      <c r="D86" s="10">
        <f>COUNTIFS(A4:A68,"No meat",B4:B68,"Vegetarian",C4:C68,"Side")</f>
        <v>9</v>
      </c>
    </row>
    <row r="87" spans="1:4" ht="13.2">
      <c r="C87" s="10" t="s">
        <v>823</v>
      </c>
      <c r="D87" s="10">
        <f>COUNTIFS(A4:A68,"No meat",B4:B68,"Vegetarian",C4:C68,"Dessert")</f>
        <v>17</v>
      </c>
    </row>
    <row r="93" spans="1:4" ht="13.2">
      <c r="A93" s="22" t="s">
        <v>1043</v>
      </c>
      <c r="B93" s="22" t="s">
        <v>857</v>
      </c>
      <c r="C93" s="22" t="s">
        <v>774</v>
      </c>
      <c r="D93" s="22" t="s">
        <v>823</v>
      </c>
    </row>
    <row r="94" spans="1:4" ht="13.2">
      <c r="A94" s="10" t="s">
        <v>808</v>
      </c>
      <c r="B94" s="10">
        <v>2</v>
      </c>
      <c r="C94" s="10">
        <v>2</v>
      </c>
      <c r="D94" s="10">
        <v>0</v>
      </c>
    </row>
    <row r="95" spans="1:4" ht="13.2">
      <c r="A95" s="10" t="s">
        <v>780</v>
      </c>
      <c r="B95" s="10">
        <v>7</v>
      </c>
      <c r="C95" s="10">
        <v>3</v>
      </c>
      <c r="D95" s="10">
        <v>0</v>
      </c>
    </row>
    <row r="96" spans="1:4" ht="13.2">
      <c r="A96" s="10" t="s">
        <v>880</v>
      </c>
      <c r="B96" s="10">
        <v>2</v>
      </c>
      <c r="C96" s="10">
        <v>1</v>
      </c>
      <c r="D96" s="10">
        <v>0</v>
      </c>
    </row>
    <row r="97" spans="1:4" ht="13.2">
      <c r="A97" s="10" t="s">
        <v>1044</v>
      </c>
      <c r="B97" s="10">
        <v>5</v>
      </c>
      <c r="C97" s="10">
        <v>4</v>
      </c>
      <c r="D97" s="10">
        <v>0</v>
      </c>
    </row>
    <row r="98" spans="1:4" ht="13.2">
      <c r="A98" s="10" t="s">
        <v>799</v>
      </c>
      <c r="B98" s="10">
        <v>0</v>
      </c>
      <c r="C98" s="10">
        <v>14</v>
      </c>
      <c r="D98" s="10">
        <v>0</v>
      </c>
    </row>
    <row r="99" spans="1:4" ht="13.2">
      <c r="A99" s="10" t="s">
        <v>794</v>
      </c>
      <c r="B99" s="10">
        <v>0</v>
      </c>
      <c r="C99" s="10">
        <v>9</v>
      </c>
      <c r="D99" s="10">
        <v>17</v>
      </c>
    </row>
    <row r="104" spans="1:4" ht="13.2">
      <c r="A104" s="10" t="s">
        <v>1045</v>
      </c>
      <c r="B104" s="10" t="s">
        <v>1046</v>
      </c>
      <c r="C104" s="10" t="s">
        <v>1047</v>
      </c>
    </row>
    <row r="105" spans="1:4" ht="13.2">
      <c r="A105" s="10" t="s">
        <v>1048</v>
      </c>
      <c r="C105" s="10">
        <v>0</v>
      </c>
    </row>
    <row r="106" spans="1:4" ht="13.2">
      <c r="A106" s="10" t="s">
        <v>772</v>
      </c>
      <c r="B106" s="10" t="s">
        <v>1048</v>
      </c>
      <c r="C106" s="10">
        <v>0</v>
      </c>
    </row>
    <row r="107" spans="1:4" ht="13.2">
      <c r="A107" s="10" t="s">
        <v>808</v>
      </c>
      <c r="B107" s="10" t="s">
        <v>772</v>
      </c>
      <c r="C107" s="10">
        <v>0</v>
      </c>
    </row>
    <row r="108" spans="1:4" ht="13.2">
      <c r="A108" s="10" t="s">
        <v>1049</v>
      </c>
      <c r="B108" s="10" t="s">
        <v>808</v>
      </c>
      <c r="C108" s="10">
        <v>2</v>
      </c>
    </row>
    <row r="109" spans="1:4" ht="13.2">
      <c r="A109" s="10" t="s">
        <v>1050</v>
      </c>
      <c r="B109" s="10" t="s">
        <v>808</v>
      </c>
      <c r="C109" s="10">
        <v>2</v>
      </c>
    </row>
    <row r="110" spans="1:4" ht="13.2">
      <c r="A110" s="10" t="s">
        <v>1051</v>
      </c>
      <c r="B110" s="10" t="s">
        <v>808</v>
      </c>
      <c r="C110" s="10">
        <v>0</v>
      </c>
    </row>
    <row r="111" spans="1:4" ht="13.2">
      <c r="A111" s="10" t="s">
        <v>780</v>
      </c>
      <c r="B111" s="10" t="s">
        <v>772</v>
      </c>
      <c r="C111" s="10">
        <v>0</v>
      </c>
    </row>
    <row r="112" spans="1:4" ht="13.2">
      <c r="A112" s="10" t="s">
        <v>1052</v>
      </c>
      <c r="B112" s="10" t="s">
        <v>780</v>
      </c>
      <c r="C112" s="25">
        <v>6</v>
      </c>
    </row>
    <row r="113" spans="1:3" ht="13.2">
      <c r="A113" s="10" t="s">
        <v>1053</v>
      </c>
      <c r="B113" s="10" t="s">
        <v>780</v>
      </c>
      <c r="C113" s="25">
        <v>3</v>
      </c>
    </row>
    <row r="114" spans="1:3" ht="13.2">
      <c r="A114" s="10" t="s">
        <v>1054</v>
      </c>
      <c r="B114" s="10" t="s">
        <v>780</v>
      </c>
      <c r="C114" s="25">
        <v>0</v>
      </c>
    </row>
    <row r="115" spans="1:3" ht="13.2">
      <c r="A115" s="10" t="s">
        <v>880</v>
      </c>
      <c r="B115" s="10" t="s">
        <v>772</v>
      </c>
      <c r="C115" s="10">
        <v>0</v>
      </c>
    </row>
    <row r="116" spans="1:3" ht="13.2">
      <c r="A116" s="10" t="s">
        <v>1055</v>
      </c>
      <c r="B116" s="10" t="s">
        <v>880</v>
      </c>
      <c r="C116" s="25">
        <v>2</v>
      </c>
    </row>
    <row r="117" spans="1:3" ht="13.2">
      <c r="A117" s="10" t="s">
        <v>1056</v>
      </c>
      <c r="B117" s="10" t="s">
        <v>880</v>
      </c>
      <c r="C117" s="25">
        <v>1</v>
      </c>
    </row>
    <row r="118" spans="1:3" ht="13.2">
      <c r="A118" s="10" t="s">
        <v>1057</v>
      </c>
      <c r="B118" s="10" t="s">
        <v>880</v>
      </c>
      <c r="C118" s="25">
        <v>0</v>
      </c>
    </row>
    <row r="119" spans="1:3" ht="13.2">
      <c r="A119" s="10" t="s">
        <v>1041</v>
      </c>
      <c r="B119" s="10" t="s">
        <v>772</v>
      </c>
      <c r="C119" s="10">
        <v>0</v>
      </c>
    </row>
    <row r="120" spans="1:3" ht="13.2">
      <c r="A120" s="10" t="s">
        <v>1058</v>
      </c>
      <c r="B120" s="10" t="s">
        <v>1041</v>
      </c>
      <c r="C120" s="25">
        <v>5</v>
      </c>
    </row>
    <row r="121" spans="1:3" ht="13.2">
      <c r="A121" s="10" t="s">
        <v>1059</v>
      </c>
      <c r="B121" s="10" t="s">
        <v>1041</v>
      </c>
      <c r="C121" s="25">
        <v>4</v>
      </c>
    </row>
    <row r="122" spans="1:3" ht="13.2">
      <c r="A122" s="10" t="s">
        <v>1060</v>
      </c>
      <c r="B122" s="10" t="s">
        <v>1041</v>
      </c>
      <c r="C122" s="25">
        <v>0</v>
      </c>
    </row>
    <row r="123" spans="1:3" ht="13.2">
      <c r="A123" s="10" t="s">
        <v>1042</v>
      </c>
      <c r="B123" s="10" t="s">
        <v>1048</v>
      </c>
      <c r="C123" s="10">
        <v>0</v>
      </c>
    </row>
    <row r="124" spans="1:3" ht="13.2">
      <c r="A124" s="10" t="s">
        <v>799</v>
      </c>
      <c r="B124" s="10" t="s">
        <v>1042</v>
      </c>
      <c r="C124" s="10">
        <v>0</v>
      </c>
    </row>
    <row r="125" spans="1:3" ht="13.2">
      <c r="A125" s="10" t="s">
        <v>1061</v>
      </c>
      <c r="B125" s="10" t="s">
        <v>799</v>
      </c>
      <c r="C125" s="25">
        <v>0</v>
      </c>
    </row>
    <row r="126" spans="1:3" ht="13.2">
      <c r="A126" s="10" t="s">
        <v>1062</v>
      </c>
      <c r="B126" s="10" t="s">
        <v>799</v>
      </c>
      <c r="C126" s="25">
        <v>14</v>
      </c>
    </row>
    <row r="127" spans="1:3" ht="13.2">
      <c r="A127" s="10" t="s">
        <v>1063</v>
      </c>
      <c r="B127" s="10" t="s">
        <v>799</v>
      </c>
      <c r="C127" s="25">
        <v>0</v>
      </c>
    </row>
    <row r="128" spans="1:3" ht="13.2">
      <c r="A128" s="10" t="s">
        <v>794</v>
      </c>
      <c r="B128" s="10" t="s">
        <v>1042</v>
      </c>
      <c r="C128" s="10">
        <v>0</v>
      </c>
    </row>
    <row r="129" spans="1:3" ht="13.2">
      <c r="A129" s="10" t="s">
        <v>1064</v>
      </c>
      <c r="B129" s="10" t="s">
        <v>794</v>
      </c>
      <c r="C129" s="25">
        <v>0</v>
      </c>
    </row>
    <row r="130" spans="1:3" ht="13.2">
      <c r="A130" s="10" t="s">
        <v>1065</v>
      </c>
      <c r="B130" s="10" t="s">
        <v>794</v>
      </c>
      <c r="C130" s="25">
        <v>9</v>
      </c>
    </row>
    <row r="131" spans="1:3" ht="13.2">
      <c r="A131" s="10" t="s">
        <v>1066</v>
      </c>
      <c r="B131" s="10" t="s">
        <v>794</v>
      </c>
      <c r="C131" s="25">
        <v>17</v>
      </c>
    </row>
  </sheetData>
  <mergeCells count="3">
    <mergeCell ref="A1:D1"/>
    <mergeCell ref="E1:H1"/>
    <mergeCell ref="M29:N29"/>
  </mergeCells>
  <pageMargins left="0.511811024" right="0.511811024" top="0.78740157499999996" bottom="0.78740157499999996" header="0.31496062000000002" footer="0.3149606200000000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V151"/>
  <sheetViews>
    <sheetView workbookViewId="0"/>
  </sheetViews>
  <sheetFormatPr defaultColWidth="12.6640625" defaultRowHeight="15.75" customHeight="1"/>
  <cols>
    <col min="2" max="5" width="30.44140625" customWidth="1"/>
    <col min="6" max="6" width="24.6640625" customWidth="1"/>
    <col min="13" max="13" width="35" customWidth="1"/>
  </cols>
  <sheetData>
    <row r="1" spans="1:22" ht="15.75" customHeight="1">
      <c r="A1" s="26" t="s">
        <v>1067</v>
      </c>
      <c r="B1" s="26"/>
      <c r="C1" s="26"/>
      <c r="D1" s="26"/>
      <c r="T1" s="27" t="s">
        <v>756</v>
      </c>
      <c r="V1" s="10" t="s">
        <v>757</v>
      </c>
    </row>
    <row r="2" spans="1:22" ht="13.2">
      <c r="B2" s="21"/>
      <c r="C2" s="21"/>
      <c r="D2" s="21"/>
      <c r="E2" s="21"/>
      <c r="F2" s="21"/>
      <c r="G2" s="21"/>
      <c r="H2" s="21"/>
      <c r="M2" s="21"/>
      <c r="T2" s="27" t="s">
        <v>758</v>
      </c>
      <c r="V2" s="10" t="s">
        <v>759</v>
      </c>
    </row>
    <row r="3" spans="1:22" ht="13.2">
      <c r="A3" s="21" t="s">
        <v>760</v>
      </c>
      <c r="B3" s="22" t="s">
        <v>761</v>
      </c>
      <c r="C3" s="22" t="s">
        <v>762</v>
      </c>
      <c r="D3" s="28" t="s">
        <v>1068</v>
      </c>
      <c r="E3" s="22" t="s">
        <v>764</v>
      </c>
      <c r="F3" s="22" t="s">
        <v>765</v>
      </c>
      <c r="G3" s="22" t="s">
        <v>766</v>
      </c>
      <c r="H3" s="22" t="s">
        <v>767</v>
      </c>
      <c r="I3" s="21" t="s">
        <v>768</v>
      </c>
      <c r="J3" s="21" t="s">
        <v>769</v>
      </c>
      <c r="T3" s="27" t="s">
        <v>770</v>
      </c>
    </row>
    <row r="4" spans="1:22" ht="13.2">
      <c r="A4" s="21" t="s">
        <v>772</v>
      </c>
      <c r="B4" s="10" t="s">
        <v>780</v>
      </c>
      <c r="C4" s="10" t="s">
        <v>857</v>
      </c>
      <c r="D4" s="28" t="s">
        <v>1069</v>
      </c>
      <c r="E4" s="10" t="s">
        <v>1070</v>
      </c>
      <c r="F4" s="10" t="s">
        <v>1071</v>
      </c>
      <c r="G4" s="10" t="s">
        <v>1072</v>
      </c>
      <c r="H4" s="10" t="s">
        <v>1073</v>
      </c>
      <c r="I4" s="10">
        <v>6</v>
      </c>
      <c r="J4" s="10">
        <v>6</v>
      </c>
    </row>
    <row r="5" spans="1:22" ht="13.2">
      <c r="A5" s="21" t="s">
        <v>772</v>
      </c>
      <c r="B5" s="10" t="s">
        <v>780</v>
      </c>
      <c r="C5" s="10" t="s">
        <v>857</v>
      </c>
      <c r="D5" s="28" t="s">
        <v>1069</v>
      </c>
      <c r="E5" s="10" t="s">
        <v>1074</v>
      </c>
      <c r="F5" s="10" t="s">
        <v>786</v>
      </c>
      <c r="G5" s="10" t="s">
        <v>1075</v>
      </c>
      <c r="H5" s="10" t="s">
        <v>1076</v>
      </c>
      <c r="I5" s="23">
        <v>46181</v>
      </c>
      <c r="J5" s="10">
        <v>7</v>
      </c>
    </row>
    <row r="6" spans="1:22" ht="13.2">
      <c r="A6" s="21" t="s">
        <v>772</v>
      </c>
      <c r="B6" s="10" t="s">
        <v>780</v>
      </c>
      <c r="C6" s="10" t="s">
        <v>857</v>
      </c>
      <c r="D6" s="28" t="s">
        <v>1069</v>
      </c>
      <c r="E6" s="10" t="s">
        <v>1077</v>
      </c>
      <c r="F6" s="10" t="s">
        <v>1078</v>
      </c>
      <c r="G6" s="10" t="s">
        <v>1079</v>
      </c>
      <c r="H6" s="10" t="s">
        <v>1080</v>
      </c>
      <c r="I6" s="10">
        <v>6</v>
      </c>
      <c r="J6" s="10">
        <v>6</v>
      </c>
    </row>
    <row r="7" spans="1:22" ht="13.2">
      <c r="A7" s="21" t="s">
        <v>772</v>
      </c>
      <c r="B7" s="10" t="s">
        <v>780</v>
      </c>
      <c r="C7" s="10" t="s">
        <v>857</v>
      </c>
      <c r="D7" s="28" t="s">
        <v>1069</v>
      </c>
      <c r="E7" s="10" t="s">
        <v>1081</v>
      </c>
      <c r="F7" s="10" t="s">
        <v>1082</v>
      </c>
      <c r="G7" s="10" t="s">
        <v>1083</v>
      </c>
      <c r="H7" s="10" t="s">
        <v>1084</v>
      </c>
      <c r="I7" s="23">
        <v>46057</v>
      </c>
      <c r="J7" s="10">
        <v>3</v>
      </c>
    </row>
    <row r="8" spans="1:22" ht="13.2">
      <c r="A8" s="21" t="s">
        <v>772</v>
      </c>
      <c r="B8" s="10" t="s">
        <v>780</v>
      </c>
      <c r="C8" s="10" t="s">
        <v>857</v>
      </c>
      <c r="D8" s="28" t="s">
        <v>1069</v>
      </c>
      <c r="E8" s="10" t="s">
        <v>1085</v>
      </c>
      <c r="F8" s="10" t="s">
        <v>1086</v>
      </c>
      <c r="G8" s="10" t="s">
        <v>1087</v>
      </c>
      <c r="H8" s="10" t="s">
        <v>1088</v>
      </c>
      <c r="I8" s="23">
        <v>46244</v>
      </c>
      <c r="J8" s="10">
        <v>9</v>
      </c>
    </row>
    <row r="9" spans="1:22" ht="13.2">
      <c r="A9" s="21" t="s">
        <v>772</v>
      </c>
      <c r="B9" s="10" t="s">
        <v>780</v>
      </c>
      <c r="C9" s="10" t="s">
        <v>857</v>
      </c>
      <c r="D9" s="28" t="s">
        <v>1069</v>
      </c>
      <c r="E9" s="10" t="s">
        <v>1089</v>
      </c>
      <c r="F9" s="10" t="s">
        <v>1090</v>
      </c>
      <c r="G9" s="10" t="s">
        <v>1091</v>
      </c>
      <c r="H9" s="10" t="s">
        <v>1092</v>
      </c>
      <c r="I9" s="23">
        <v>46181</v>
      </c>
      <c r="J9" s="10">
        <v>7</v>
      </c>
    </row>
    <row r="10" spans="1:22" ht="13.2">
      <c r="A10" s="21" t="s">
        <v>772</v>
      </c>
      <c r="B10" s="10" t="s">
        <v>780</v>
      </c>
      <c r="C10" s="10" t="s">
        <v>857</v>
      </c>
      <c r="D10" s="28" t="s">
        <v>1069</v>
      </c>
      <c r="E10" s="10" t="s">
        <v>1093</v>
      </c>
      <c r="F10" s="10" t="s">
        <v>1094</v>
      </c>
      <c r="G10" s="10" t="s">
        <v>1095</v>
      </c>
      <c r="H10" s="10" t="s">
        <v>1096</v>
      </c>
      <c r="I10" s="10">
        <v>6</v>
      </c>
      <c r="J10" s="10">
        <v>6</v>
      </c>
    </row>
    <row r="11" spans="1:22" ht="13.2">
      <c r="A11" s="21" t="s">
        <v>772</v>
      </c>
      <c r="B11" s="10" t="s">
        <v>780</v>
      </c>
      <c r="C11" s="10" t="s">
        <v>857</v>
      </c>
      <c r="D11" s="28" t="s">
        <v>1069</v>
      </c>
      <c r="E11" s="10" t="s">
        <v>1097</v>
      </c>
      <c r="F11" s="10" t="s">
        <v>1098</v>
      </c>
      <c r="G11" s="10" t="s">
        <v>1099</v>
      </c>
      <c r="H11" s="10" t="s">
        <v>1100</v>
      </c>
      <c r="I11" s="10">
        <v>4</v>
      </c>
      <c r="J11" s="10">
        <v>4</v>
      </c>
    </row>
    <row r="12" spans="1:22" ht="13.2">
      <c r="A12" s="21" t="s">
        <v>772</v>
      </c>
      <c r="B12" s="10" t="s">
        <v>780</v>
      </c>
      <c r="C12" s="10" t="s">
        <v>857</v>
      </c>
      <c r="D12" s="28" t="s">
        <v>1069</v>
      </c>
      <c r="E12" s="10" t="s">
        <v>1101</v>
      </c>
      <c r="F12" s="10" t="s">
        <v>1102</v>
      </c>
      <c r="G12" s="10" t="s">
        <v>1103</v>
      </c>
      <c r="H12" s="10" t="s">
        <v>1104</v>
      </c>
      <c r="I12" s="10">
        <v>2</v>
      </c>
      <c r="J12" s="10">
        <v>2</v>
      </c>
    </row>
    <row r="13" spans="1:22" ht="13.2">
      <c r="A13" s="21" t="s">
        <v>772</v>
      </c>
      <c r="B13" s="10" t="s">
        <v>780</v>
      </c>
      <c r="C13" s="10" t="s">
        <v>857</v>
      </c>
      <c r="D13" s="28" t="s">
        <v>1069</v>
      </c>
      <c r="E13" s="10" t="s">
        <v>1105</v>
      </c>
      <c r="F13" s="10" t="s">
        <v>1106</v>
      </c>
      <c r="G13" s="10" t="s">
        <v>1107</v>
      </c>
      <c r="H13" s="10" t="s">
        <v>1108</v>
      </c>
      <c r="I13" s="10">
        <v>4</v>
      </c>
      <c r="J13" s="10">
        <v>4</v>
      </c>
    </row>
    <row r="14" spans="1:22" ht="13.2">
      <c r="A14" s="21" t="s">
        <v>772</v>
      </c>
      <c r="B14" s="10" t="s">
        <v>880</v>
      </c>
      <c r="C14" s="10" t="s">
        <v>857</v>
      </c>
      <c r="D14" s="28" t="s">
        <v>1069</v>
      </c>
      <c r="E14" s="10" t="s">
        <v>1109</v>
      </c>
      <c r="F14" s="10" t="s">
        <v>1110</v>
      </c>
      <c r="G14" s="10" t="s">
        <v>1111</v>
      </c>
      <c r="H14" s="10" t="s">
        <v>1112</v>
      </c>
      <c r="I14" s="10">
        <v>4</v>
      </c>
      <c r="J14" s="10">
        <v>4</v>
      </c>
    </row>
    <row r="15" spans="1:22" ht="13.2">
      <c r="A15" s="21" t="s">
        <v>772</v>
      </c>
      <c r="B15" s="10" t="s">
        <v>880</v>
      </c>
      <c r="C15" s="10" t="s">
        <v>857</v>
      </c>
      <c r="D15" s="28" t="s">
        <v>1069</v>
      </c>
      <c r="E15" s="10" t="s">
        <v>1113</v>
      </c>
      <c r="F15" s="10" t="s">
        <v>1114</v>
      </c>
      <c r="G15" s="10" t="s">
        <v>1115</v>
      </c>
      <c r="H15" s="10" t="s">
        <v>1116</v>
      </c>
      <c r="I15" s="23">
        <v>46181</v>
      </c>
      <c r="J15" s="10">
        <v>7</v>
      </c>
    </row>
    <row r="16" spans="1:22" ht="13.2">
      <c r="A16" s="21" t="s">
        <v>772</v>
      </c>
      <c r="B16" s="10" t="s">
        <v>880</v>
      </c>
      <c r="C16" s="10" t="s">
        <v>857</v>
      </c>
      <c r="D16" s="28" t="s">
        <v>1069</v>
      </c>
      <c r="E16" s="10" t="s">
        <v>1117</v>
      </c>
      <c r="F16" s="10" t="s">
        <v>247</v>
      </c>
      <c r="G16" s="10" t="s">
        <v>1118</v>
      </c>
      <c r="H16" s="10" t="s">
        <v>1119</v>
      </c>
      <c r="I16" s="23">
        <v>46118</v>
      </c>
      <c r="J16" s="10">
        <v>5</v>
      </c>
    </row>
    <row r="17" spans="1:10" ht="13.2">
      <c r="A17" s="21" t="s">
        <v>772</v>
      </c>
      <c r="B17" s="10" t="s">
        <v>880</v>
      </c>
      <c r="C17" s="10" t="s">
        <v>857</v>
      </c>
      <c r="D17" s="28" t="s">
        <v>1069</v>
      </c>
      <c r="E17" s="10" t="s">
        <v>1120</v>
      </c>
      <c r="F17" s="10" t="s">
        <v>1121</v>
      </c>
      <c r="G17" s="10" t="s">
        <v>1122</v>
      </c>
      <c r="H17" s="10" t="s">
        <v>1123</v>
      </c>
      <c r="I17" s="23">
        <v>46057</v>
      </c>
      <c r="J17" s="10">
        <v>3</v>
      </c>
    </row>
    <row r="18" spans="1:10" ht="13.2">
      <c r="A18" s="21" t="s">
        <v>772</v>
      </c>
      <c r="B18" s="10" t="s">
        <v>880</v>
      </c>
      <c r="C18" s="10" t="s">
        <v>857</v>
      </c>
      <c r="D18" s="28" t="s">
        <v>1069</v>
      </c>
      <c r="E18" s="10" t="s">
        <v>1124</v>
      </c>
      <c r="F18" s="10" t="s">
        <v>1125</v>
      </c>
      <c r="G18" s="10" t="s">
        <v>1126</v>
      </c>
      <c r="H18" s="10" t="s">
        <v>1127</v>
      </c>
      <c r="I18" s="10">
        <v>4</v>
      </c>
      <c r="J18" s="10">
        <v>4</v>
      </c>
    </row>
    <row r="19" spans="1:10" ht="13.2">
      <c r="A19" s="21" t="s">
        <v>772</v>
      </c>
      <c r="B19" s="10" t="s">
        <v>808</v>
      </c>
      <c r="C19" s="10" t="s">
        <v>857</v>
      </c>
      <c r="D19" s="28" t="s">
        <v>1069</v>
      </c>
      <c r="E19" s="10" t="s">
        <v>1128</v>
      </c>
      <c r="F19" s="10" t="s">
        <v>1129</v>
      </c>
      <c r="G19" s="10" t="s">
        <v>1130</v>
      </c>
      <c r="H19" s="10" t="s">
        <v>1131</v>
      </c>
      <c r="I19" s="23">
        <v>46118</v>
      </c>
      <c r="J19" s="10">
        <v>5</v>
      </c>
    </row>
    <row r="20" spans="1:10" ht="13.2">
      <c r="A20" s="21" t="s">
        <v>772</v>
      </c>
      <c r="B20" s="10" t="s">
        <v>808</v>
      </c>
      <c r="C20" s="10" t="s">
        <v>857</v>
      </c>
      <c r="D20" s="28" t="s">
        <v>1069</v>
      </c>
      <c r="E20" s="10" t="s">
        <v>1132</v>
      </c>
      <c r="F20" s="10" t="s">
        <v>1133</v>
      </c>
      <c r="G20" s="10" t="s">
        <v>1134</v>
      </c>
      <c r="H20" s="10" t="s">
        <v>1135</v>
      </c>
      <c r="I20" s="23">
        <v>46181</v>
      </c>
      <c r="J20" s="10">
        <v>7</v>
      </c>
    </row>
    <row r="21" spans="1:10" ht="13.2">
      <c r="A21" s="21" t="s">
        <v>772</v>
      </c>
      <c r="B21" s="10" t="s">
        <v>808</v>
      </c>
      <c r="C21" s="10" t="s">
        <v>857</v>
      </c>
      <c r="D21" s="28" t="s">
        <v>1069</v>
      </c>
      <c r="E21" s="10" t="s">
        <v>1136</v>
      </c>
      <c r="F21" s="10" t="s">
        <v>1137</v>
      </c>
      <c r="G21" s="10" t="s">
        <v>1138</v>
      </c>
      <c r="H21" s="10" t="s">
        <v>1139</v>
      </c>
      <c r="I21" s="23">
        <v>46307</v>
      </c>
      <c r="J21" s="10">
        <v>11</v>
      </c>
    </row>
    <row r="22" spans="1:10" ht="13.2">
      <c r="A22" s="21" t="s">
        <v>772</v>
      </c>
      <c r="B22" s="10" t="s">
        <v>808</v>
      </c>
      <c r="C22" s="10" t="s">
        <v>774</v>
      </c>
      <c r="D22" s="28" t="s">
        <v>1069</v>
      </c>
      <c r="E22" s="10" t="s">
        <v>1140</v>
      </c>
      <c r="F22" s="10" t="s">
        <v>1141</v>
      </c>
      <c r="G22" s="10" t="s">
        <v>1142</v>
      </c>
      <c r="H22" s="10" t="s">
        <v>1143</v>
      </c>
      <c r="I22" s="23">
        <v>46181</v>
      </c>
      <c r="J22" s="10">
        <v>7</v>
      </c>
    </row>
    <row r="23" spans="1:10" ht="13.2">
      <c r="A23" s="21" t="s">
        <v>772</v>
      </c>
      <c r="B23" s="10" t="s">
        <v>1041</v>
      </c>
      <c r="C23" s="10" t="s">
        <v>857</v>
      </c>
      <c r="D23" s="28" t="s">
        <v>1069</v>
      </c>
      <c r="E23" s="10" t="s">
        <v>868</v>
      </c>
      <c r="F23" s="10" t="s">
        <v>1144</v>
      </c>
      <c r="G23" s="10" t="s">
        <v>1145</v>
      </c>
      <c r="H23" s="10" t="s">
        <v>1146</v>
      </c>
      <c r="I23" s="23">
        <v>46118</v>
      </c>
      <c r="J23" s="10">
        <v>5</v>
      </c>
    </row>
    <row r="24" spans="1:10" ht="13.2">
      <c r="A24" s="21" t="s">
        <v>772</v>
      </c>
      <c r="B24" s="10" t="s">
        <v>1041</v>
      </c>
      <c r="C24" s="10" t="s">
        <v>857</v>
      </c>
      <c r="D24" s="28" t="s">
        <v>1069</v>
      </c>
      <c r="E24" s="10" t="s">
        <v>1147</v>
      </c>
      <c r="F24" s="10" t="s">
        <v>1148</v>
      </c>
      <c r="G24" s="10" t="s">
        <v>1149</v>
      </c>
      <c r="H24" s="10" t="s">
        <v>1150</v>
      </c>
      <c r="I24" s="10">
        <v>4</v>
      </c>
      <c r="J24" s="10">
        <v>4</v>
      </c>
    </row>
    <row r="25" spans="1:10" ht="13.2">
      <c r="A25" s="21" t="s">
        <v>772</v>
      </c>
      <c r="B25" s="10" t="s">
        <v>1041</v>
      </c>
      <c r="C25" s="10" t="s">
        <v>857</v>
      </c>
      <c r="D25" s="28" t="s">
        <v>1069</v>
      </c>
      <c r="E25" s="10" t="s">
        <v>1151</v>
      </c>
      <c r="F25" s="10" t="s">
        <v>1152</v>
      </c>
      <c r="G25" s="10" t="s">
        <v>1153</v>
      </c>
      <c r="H25" s="10" t="s">
        <v>1154</v>
      </c>
      <c r="I25" s="23">
        <v>46118</v>
      </c>
      <c r="J25" s="10">
        <v>5</v>
      </c>
    </row>
    <row r="26" spans="1:10" ht="13.2">
      <c r="A26" s="21" t="s">
        <v>772</v>
      </c>
      <c r="B26" s="10" t="s">
        <v>1041</v>
      </c>
      <c r="C26" s="10" t="s">
        <v>857</v>
      </c>
      <c r="D26" s="28" t="s">
        <v>1069</v>
      </c>
      <c r="E26" s="10" t="s">
        <v>1155</v>
      </c>
      <c r="F26" s="10" t="s">
        <v>1156</v>
      </c>
      <c r="G26" s="10" t="s">
        <v>1157</v>
      </c>
      <c r="H26" s="10" t="s">
        <v>1158</v>
      </c>
      <c r="I26" s="10">
        <v>4</v>
      </c>
      <c r="J26" s="10">
        <v>4</v>
      </c>
    </row>
    <row r="27" spans="1:10" ht="13.2">
      <c r="A27" s="21" t="s">
        <v>772</v>
      </c>
      <c r="B27" s="10" t="s">
        <v>1041</v>
      </c>
      <c r="C27" s="10" t="s">
        <v>857</v>
      </c>
      <c r="D27" s="28" t="s">
        <v>1069</v>
      </c>
      <c r="E27" s="10" t="s">
        <v>1159</v>
      </c>
      <c r="F27" s="10" t="s">
        <v>1160</v>
      </c>
      <c r="G27" s="10" t="s">
        <v>1161</v>
      </c>
      <c r="H27" s="10" t="s">
        <v>1162</v>
      </c>
      <c r="I27" s="23">
        <v>46181</v>
      </c>
      <c r="J27" s="10">
        <v>7</v>
      </c>
    </row>
    <row r="28" spans="1:10" ht="13.2">
      <c r="A28" s="21" t="s">
        <v>793</v>
      </c>
      <c r="B28" s="10" t="s">
        <v>799</v>
      </c>
      <c r="C28" s="10" t="s">
        <v>857</v>
      </c>
      <c r="D28" s="28" t="s">
        <v>794</v>
      </c>
      <c r="E28" s="10" t="s">
        <v>1163</v>
      </c>
      <c r="F28" s="10" t="s">
        <v>1164</v>
      </c>
      <c r="G28" s="10" t="s">
        <v>1165</v>
      </c>
      <c r="H28" s="10" t="s">
        <v>1166</v>
      </c>
      <c r="I28" s="23">
        <v>46118</v>
      </c>
      <c r="J28" s="10">
        <v>5</v>
      </c>
    </row>
    <row r="29" spans="1:10" ht="13.2">
      <c r="A29" s="21" t="s">
        <v>793</v>
      </c>
      <c r="B29" s="10" t="s">
        <v>794</v>
      </c>
      <c r="C29" s="10" t="s">
        <v>774</v>
      </c>
      <c r="D29" s="28" t="s">
        <v>794</v>
      </c>
      <c r="E29" s="10" t="s">
        <v>1167</v>
      </c>
      <c r="F29" s="10" t="s">
        <v>1168</v>
      </c>
      <c r="G29" s="10" t="s">
        <v>1169</v>
      </c>
      <c r="H29" s="10" t="s">
        <v>1170</v>
      </c>
      <c r="I29" s="10">
        <v>8</v>
      </c>
      <c r="J29" s="10">
        <v>8</v>
      </c>
    </row>
    <row r="30" spans="1:10" ht="13.2">
      <c r="A30" s="21" t="s">
        <v>793</v>
      </c>
      <c r="B30" s="10" t="s">
        <v>794</v>
      </c>
      <c r="C30" s="10" t="s">
        <v>774</v>
      </c>
      <c r="D30" s="28" t="s">
        <v>794</v>
      </c>
      <c r="E30" s="10" t="s">
        <v>1171</v>
      </c>
      <c r="F30" s="10" t="s">
        <v>1172</v>
      </c>
      <c r="G30" s="10" t="s">
        <v>1173</v>
      </c>
      <c r="H30" s="10" t="s">
        <v>1174</v>
      </c>
      <c r="I30" s="23">
        <v>46181</v>
      </c>
      <c r="J30" s="10">
        <v>7</v>
      </c>
    </row>
    <row r="31" spans="1:10" ht="13.2">
      <c r="A31" s="21" t="s">
        <v>793</v>
      </c>
      <c r="B31" s="10" t="s">
        <v>794</v>
      </c>
      <c r="C31" s="10" t="s">
        <v>774</v>
      </c>
      <c r="D31" s="28" t="s">
        <v>794</v>
      </c>
      <c r="E31" s="10" t="s">
        <v>1175</v>
      </c>
      <c r="F31" s="10" t="s">
        <v>1176</v>
      </c>
      <c r="G31" s="10" t="s">
        <v>1177</v>
      </c>
      <c r="H31" s="10" t="s">
        <v>1178</v>
      </c>
      <c r="I31" s="23">
        <v>46181</v>
      </c>
      <c r="J31" s="10">
        <v>7</v>
      </c>
    </row>
    <row r="32" spans="1:10" ht="13.2">
      <c r="A32" s="21" t="s">
        <v>793</v>
      </c>
      <c r="B32" s="10" t="s">
        <v>799</v>
      </c>
      <c r="C32" s="10" t="s">
        <v>1179</v>
      </c>
      <c r="D32" s="28" t="s">
        <v>794</v>
      </c>
      <c r="E32" s="10" t="s">
        <v>1180</v>
      </c>
      <c r="F32" s="10" t="s">
        <v>1181</v>
      </c>
      <c r="G32" s="10" t="s">
        <v>1182</v>
      </c>
      <c r="H32" s="10" t="s">
        <v>1183</v>
      </c>
      <c r="I32" s="10">
        <v>6</v>
      </c>
      <c r="J32" s="10">
        <v>6</v>
      </c>
    </row>
    <row r="33" spans="1:10" ht="13.2">
      <c r="A33" s="21" t="s">
        <v>793</v>
      </c>
      <c r="B33" s="10" t="s">
        <v>794</v>
      </c>
      <c r="C33" s="10" t="s">
        <v>857</v>
      </c>
      <c r="D33" s="28" t="s">
        <v>794</v>
      </c>
      <c r="E33" s="10" t="s">
        <v>1184</v>
      </c>
      <c r="F33" s="10" t="s">
        <v>1185</v>
      </c>
      <c r="G33" s="10" t="s">
        <v>1186</v>
      </c>
      <c r="H33" s="10" t="s">
        <v>1187</v>
      </c>
      <c r="I33" s="10">
        <v>4</v>
      </c>
      <c r="J33" s="10">
        <v>4</v>
      </c>
    </row>
    <row r="34" spans="1:10" ht="13.2">
      <c r="A34" s="21" t="s">
        <v>793</v>
      </c>
      <c r="B34" s="10" t="s">
        <v>794</v>
      </c>
      <c r="C34" s="10" t="s">
        <v>774</v>
      </c>
      <c r="D34" s="28" t="s">
        <v>794</v>
      </c>
      <c r="E34" s="10" t="s">
        <v>1188</v>
      </c>
      <c r="F34" s="10" t="s">
        <v>1189</v>
      </c>
      <c r="G34" s="10" t="s">
        <v>1190</v>
      </c>
      <c r="H34" s="10" t="s">
        <v>1191</v>
      </c>
      <c r="I34" s="10">
        <v>6</v>
      </c>
      <c r="J34" s="10">
        <v>6</v>
      </c>
    </row>
    <row r="35" spans="1:10" ht="13.2">
      <c r="A35" s="21" t="s">
        <v>772</v>
      </c>
      <c r="B35" s="10" t="s">
        <v>780</v>
      </c>
      <c r="C35" s="10" t="s">
        <v>857</v>
      </c>
      <c r="D35" s="28" t="s">
        <v>1192</v>
      </c>
      <c r="E35" s="10" t="s">
        <v>1193</v>
      </c>
      <c r="F35" s="10" t="s">
        <v>1194</v>
      </c>
      <c r="G35" s="10" t="s">
        <v>1195</v>
      </c>
      <c r="H35" s="10" t="s">
        <v>1196</v>
      </c>
      <c r="I35" s="23">
        <v>46118</v>
      </c>
      <c r="J35" s="10">
        <v>5</v>
      </c>
    </row>
    <row r="36" spans="1:10" ht="13.2">
      <c r="A36" s="21" t="s">
        <v>772</v>
      </c>
      <c r="B36" s="10" t="s">
        <v>808</v>
      </c>
      <c r="C36" s="10" t="s">
        <v>857</v>
      </c>
      <c r="D36" s="28" t="s">
        <v>1192</v>
      </c>
      <c r="E36" s="10" t="s">
        <v>1197</v>
      </c>
      <c r="F36" s="10" t="s">
        <v>1198</v>
      </c>
      <c r="G36" s="10" t="s">
        <v>1199</v>
      </c>
      <c r="H36" s="10" t="s">
        <v>1200</v>
      </c>
      <c r="I36" s="10">
        <v>8</v>
      </c>
      <c r="J36" s="10">
        <v>8</v>
      </c>
    </row>
    <row r="37" spans="1:10" ht="13.2">
      <c r="A37" s="21" t="s">
        <v>772</v>
      </c>
      <c r="B37" s="10" t="s">
        <v>808</v>
      </c>
      <c r="C37" s="10" t="s">
        <v>857</v>
      </c>
      <c r="D37" s="28" t="s">
        <v>1192</v>
      </c>
      <c r="E37" s="10" t="s">
        <v>1201</v>
      </c>
      <c r="F37" s="10" t="s">
        <v>1202</v>
      </c>
      <c r="G37" s="10" t="s">
        <v>1203</v>
      </c>
      <c r="H37" s="10" t="s">
        <v>1204</v>
      </c>
      <c r="I37" s="10">
        <v>4</v>
      </c>
      <c r="J37" s="10">
        <v>4</v>
      </c>
    </row>
    <row r="38" spans="1:10" ht="13.2">
      <c r="A38" s="21" t="s">
        <v>772</v>
      </c>
      <c r="B38" s="10" t="s">
        <v>808</v>
      </c>
      <c r="C38" s="10" t="s">
        <v>857</v>
      </c>
      <c r="D38" s="28" t="s">
        <v>1192</v>
      </c>
      <c r="E38" s="10" t="s">
        <v>1205</v>
      </c>
      <c r="F38" s="10" t="s">
        <v>1206</v>
      </c>
      <c r="G38" s="10" t="s">
        <v>1207</v>
      </c>
      <c r="H38" s="10" t="s">
        <v>1208</v>
      </c>
      <c r="I38" s="10">
        <v>4</v>
      </c>
      <c r="J38" s="10">
        <v>4</v>
      </c>
    </row>
    <row r="39" spans="1:10" ht="13.2">
      <c r="A39" s="21" t="s">
        <v>772</v>
      </c>
      <c r="B39" s="10" t="s">
        <v>780</v>
      </c>
      <c r="C39" s="10" t="s">
        <v>857</v>
      </c>
      <c r="D39" s="28" t="s">
        <v>1192</v>
      </c>
      <c r="E39" s="10" t="s">
        <v>1209</v>
      </c>
      <c r="F39" s="10" t="s">
        <v>1210</v>
      </c>
      <c r="G39" s="10" t="s">
        <v>1211</v>
      </c>
      <c r="H39" s="10" t="s">
        <v>1212</v>
      </c>
      <c r="I39" s="10">
        <v>8</v>
      </c>
      <c r="J39" s="10">
        <v>8</v>
      </c>
    </row>
    <row r="40" spans="1:10" ht="13.2">
      <c r="A40" s="21" t="s">
        <v>772</v>
      </c>
      <c r="B40" s="10" t="s">
        <v>1041</v>
      </c>
      <c r="C40" s="10" t="s">
        <v>857</v>
      </c>
      <c r="D40" s="28" t="s">
        <v>1192</v>
      </c>
      <c r="E40" s="10" t="s">
        <v>740</v>
      </c>
      <c r="F40" s="10" t="s">
        <v>1213</v>
      </c>
      <c r="G40" s="10" t="s">
        <v>1214</v>
      </c>
      <c r="H40" s="10" t="s">
        <v>1215</v>
      </c>
      <c r="I40" s="23">
        <v>46181</v>
      </c>
      <c r="J40" s="10">
        <v>7</v>
      </c>
    </row>
    <row r="41" spans="1:10" ht="13.2">
      <c r="A41" s="21" t="s">
        <v>793</v>
      </c>
      <c r="B41" s="10" t="s">
        <v>799</v>
      </c>
      <c r="C41" s="10" t="s">
        <v>774</v>
      </c>
      <c r="D41" s="28" t="s">
        <v>1192</v>
      </c>
      <c r="E41" s="10" t="s">
        <v>1216</v>
      </c>
      <c r="F41" s="10" t="s">
        <v>1217</v>
      </c>
      <c r="G41" s="10" t="s">
        <v>1218</v>
      </c>
      <c r="H41" s="10" t="s">
        <v>1219</v>
      </c>
      <c r="I41" s="23">
        <v>46118</v>
      </c>
      <c r="J41" s="10">
        <v>5</v>
      </c>
    </row>
    <row r="42" spans="1:10" ht="13.2">
      <c r="A42" s="21" t="s">
        <v>772</v>
      </c>
      <c r="B42" s="10" t="s">
        <v>880</v>
      </c>
      <c r="C42" s="10" t="s">
        <v>1179</v>
      </c>
      <c r="D42" s="28" t="s">
        <v>1220</v>
      </c>
      <c r="E42" s="10" t="s">
        <v>1221</v>
      </c>
      <c r="F42" s="10" t="s">
        <v>1222</v>
      </c>
      <c r="G42" s="10" t="s">
        <v>1223</v>
      </c>
      <c r="H42" s="10" t="s">
        <v>1224</v>
      </c>
      <c r="I42" s="10">
        <v>8</v>
      </c>
      <c r="J42" s="10">
        <v>8</v>
      </c>
    </row>
    <row r="43" spans="1:10" ht="13.2">
      <c r="A43" s="21" t="s">
        <v>772</v>
      </c>
      <c r="B43" s="10" t="s">
        <v>808</v>
      </c>
      <c r="C43" s="10" t="s">
        <v>774</v>
      </c>
      <c r="D43" s="28" t="s">
        <v>1220</v>
      </c>
      <c r="E43" s="10" t="s">
        <v>1225</v>
      </c>
      <c r="F43" s="10" t="s">
        <v>1226</v>
      </c>
      <c r="G43" s="10" t="s">
        <v>1227</v>
      </c>
      <c r="H43" s="10" t="s">
        <v>1228</v>
      </c>
      <c r="I43" s="10">
        <v>25</v>
      </c>
      <c r="J43" s="10">
        <v>25</v>
      </c>
    </row>
    <row r="44" spans="1:10" ht="13.2">
      <c r="A44" s="21" t="s">
        <v>772</v>
      </c>
      <c r="B44" s="10" t="s">
        <v>808</v>
      </c>
      <c r="C44" s="10" t="s">
        <v>774</v>
      </c>
      <c r="D44" s="28" t="s">
        <v>1220</v>
      </c>
      <c r="E44" s="10" t="s">
        <v>1229</v>
      </c>
      <c r="F44" s="10" t="s">
        <v>1230</v>
      </c>
      <c r="G44" s="10" t="s">
        <v>1231</v>
      </c>
      <c r="H44" s="10" t="s">
        <v>1232</v>
      </c>
      <c r="I44" s="10">
        <v>25</v>
      </c>
      <c r="J44" s="10">
        <v>25</v>
      </c>
    </row>
    <row r="45" spans="1:10" ht="13.2">
      <c r="A45" s="21" t="s">
        <v>772</v>
      </c>
      <c r="B45" s="10" t="s">
        <v>808</v>
      </c>
      <c r="C45" s="10" t="s">
        <v>774</v>
      </c>
      <c r="D45" s="28" t="s">
        <v>1220</v>
      </c>
      <c r="E45" s="10" t="s">
        <v>1233</v>
      </c>
      <c r="F45" s="10" t="s">
        <v>1234</v>
      </c>
      <c r="G45" s="10" t="s">
        <v>1235</v>
      </c>
      <c r="H45" s="10" t="s">
        <v>1236</v>
      </c>
      <c r="I45" s="10">
        <v>30</v>
      </c>
      <c r="J45" s="10">
        <v>30</v>
      </c>
    </row>
    <row r="46" spans="1:10" ht="13.2">
      <c r="A46" s="21" t="s">
        <v>793</v>
      </c>
      <c r="B46" s="10" t="s">
        <v>794</v>
      </c>
      <c r="C46" s="10" t="s">
        <v>774</v>
      </c>
      <c r="D46" s="28" t="s">
        <v>1220</v>
      </c>
      <c r="E46" s="10" t="s">
        <v>1237</v>
      </c>
      <c r="F46" s="10" t="s">
        <v>1238</v>
      </c>
      <c r="G46" s="10" t="s">
        <v>1239</v>
      </c>
      <c r="H46" s="10" t="s">
        <v>1240</v>
      </c>
      <c r="I46" s="10">
        <v>6</v>
      </c>
      <c r="J46" s="10">
        <v>6</v>
      </c>
    </row>
    <row r="47" spans="1:10" ht="13.2">
      <c r="A47" s="21" t="s">
        <v>793</v>
      </c>
      <c r="B47" s="10" t="s">
        <v>794</v>
      </c>
      <c r="C47" s="10" t="s">
        <v>774</v>
      </c>
      <c r="D47" s="28" t="s">
        <v>1220</v>
      </c>
      <c r="E47" s="10" t="s">
        <v>1241</v>
      </c>
      <c r="F47" s="10" t="s">
        <v>1242</v>
      </c>
      <c r="G47" s="10" t="s">
        <v>1243</v>
      </c>
      <c r="H47" s="10" t="s">
        <v>1244</v>
      </c>
      <c r="I47" s="10">
        <v>250</v>
      </c>
      <c r="J47" s="10">
        <v>250</v>
      </c>
    </row>
    <row r="48" spans="1:10" ht="13.2">
      <c r="A48" s="21" t="s">
        <v>772</v>
      </c>
      <c r="B48" s="10" t="s">
        <v>808</v>
      </c>
      <c r="C48" s="10" t="s">
        <v>774</v>
      </c>
      <c r="D48" s="28" t="s">
        <v>1220</v>
      </c>
      <c r="E48" s="10" t="s">
        <v>1245</v>
      </c>
      <c r="F48" s="10" t="s">
        <v>1246</v>
      </c>
      <c r="G48" s="10" t="s">
        <v>1247</v>
      </c>
      <c r="H48" s="10" t="s">
        <v>1248</v>
      </c>
      <c r="I48" s="10">
        <v>4</v>
      </c>
      <c r="J48" s="10">
        <v>4</v>
      </c>
    </row>
    <row r="49" spans="1:10" ht="13.2">
      <c r="A49" s="21" t="s">
        <v>772</v>
      </c>
      <c r="B49" s="10" t="s">
        <v>1041</v>
      </c>
      <c r="C49" s="10" t="s">
        <v>774</v>
      </c>
      <c r="D49" s="28" t="s">
        <v>1220</v>
      </c>
      <c r="E49" s="10" t="s">
        <v>1249</v>
      </c>
      <c r="F49" s="10" t="s">
        <v>1250</v>
      </c>
      <c r="G49" s="10" t="s">
        <v>1251</v>
      </c>
      <c r="H49" s="10" t="s">
        <v>1252</v>
      </c>
      <c r="I49" s="10">
        <v>30</v>
      </c>
      <c r="J49" s="10">
        <v>30</v>
      </c>
    </row>
    <row r="50" spans="1:10" ht="13.2">
      <c r="A50" s="21" t="s">
        <v>793</v>
      </c>
      <c r="B50" s="10" t="s">
        <v>794</v>
      </c>
      <c r="C50" s="10" t="s">
        <v>774</v>
      </c>
      <c r="D50" s="28" t="s">
        <v>1220</v>
      </c>
      <c r="E50" s="10" t="s">
        <v>1253</v>
      </c>
      <c r="F50" s="10" t="s">
        <v>1254</v>
      </c>
      <c r="G50" s="10" t="s">
        <v>1255</v>
      </c>
      <c r="H50" s="10" t="s">
        <v>1256</v>
      </c>
      <c r="I50" s="10">
        <v>12</v>
      </c>
      <c r="J50" s="10">
        <v>12</v>
      </c>
    </row>
    <row r="51" spans="1:10" ht="13.2">
      <c r="A51" s="21" t="s">
        <v>772</v>
      </c>
      <c r="B51" s="10" t="s">
        <v>808</v>
      </c>
      <c r="C51" s="10" t="s">
        <v>774</v>
      </c>
      <c r="D51" s="28" t="s">
        <v>1220</v>
      </c>
      <c r="E51" s="10" t="s">
        <v>1257</v>
      </c>
      <c r="F51" s="10" t="s">
        <v>1258</v>
      </c>
      <c r="G51" s="10" t="s">
        <v>1259</v>
      </c>
      <c r="H51" s="10" t="s">
        <v>1260</v>
      </c>
      <c r="I51" s="10">
        <v>8</v>
      </c>
      <c r="J51" s="10">
        <v>8</v>
      </c>
    </row>
    <row r="52" spans="1:10" ht="13.2">
      <c r="A52" s="21" t="s">
        <v>793</v>
      </c>
      <c r="B52" s="10" t="s">
        <v>799</v>
      </c>
      <c r="C52" s="10" t="s">
        <v>774</v>
      </c>
      <c r="D52" s="28" t="s">
        <v>1220</v>
      </c>
      <c r="E52" s="10" t="s">
        <v>1261</v>
      </c>
      <c r="F52" s="10" t="s">
        <v>1262</v>
      </c>
      <c r="G52" s="10" t="s">
        <v>1263</v>
      </c>
      <c r="H52" s="10" t="s">
        <v>1264</v>
      </c>
      <c r="I52" s="23">
        <v>46181</v>
      </c>
      <c r="J52" s="10">
        <v>7</v>
      </c>
    </row>
    <row r="53" spans="1:10" ht="13.2">
      <c r="A53" s="21" t="s">
        <v>793</v>
      </c>
      <c r="B53" s="10" t="s">
        <v>794</v>
      </c>
      <c r="C53" s="10" t="s">
        <v>823</v>
      </c>
      <c r="D53" s="28" t="s">
        <v>1265</v>
      </c>
      <c r="E53" s="10" t="s">
        <v>1266</v>
      </c>
      <c r="F53" s="10" t="s">
        <v>1267</v>
      </c>
      <c r="G53" s="10" t="s">
        <v>1268</v>
      </c>
      <c r="H53" s="10" t="s">
        <v>1269</v>
      </c>
      <c r="I53" s="10">
        <v>20</v>
      </c>
      <c r="J53" s="10">
        <v>20</v>
      </c>
    </row>
    <row r="54" spans="1:10" ht="13.2">
      <c r="A54" s="21" t="s">
        <v>793</v>
      </c>
      <c r="B54" s="10" t="s">
        <v>794</v>
      </c>
      <c r="C54" s="10" t="s">
        <v>823</v>
      </c>
      <c r="D54" s="28" t="s">
        <v>1265</v>
      </c>
      <c r="E54" s="10" t="s">
        <v>1270</v>
      </c>
      <c r="F54" s="10" t="s">
        <v>1271</v>
      </c>
      <c r="G54" s="10" t="s">
        <v>1272</v>
      </c>
      <c r="H54" s="10" t="s">
        <v>1273</v>
      </c>
      <c r="I54" s="10">
        <v>8</v>
      </c>
      <c r="J54" s="10">
        <v>8</v>
      </c>
    </row>
    <row r="55" spans="1:10" ht="13.2">
      <c r="A55" s="21" t="s">
        <v>793</v>
      </c>
      <c r="B55" s="10" t="s">
        <v>794</v>
      </c>
      <c r="C55" s="10" t="s">
        <v>823</v>
      </c>
      <c r="D55" s="28" t="s">
        <v>1265</v>
      </c>
      <c r="E55" s="10" t="s">
        <v>1274</v>
      </c>
      <c r="F55" s="10" t="s">
        <v>1275</v>
      </c>
      <c r="G55" s="10" t="s">
        <v>1276</v>
      </c>
      <c r="H55" s="10" t="s">
        <v>1277</v>
      </c>
      <c r="I55" s="10">
        <v>60</v>
      </c>
      <c r="J55" s="10">
        <v>60</v>
      </c>
    </row>
    <row r="56" spans="1:10" ht="13.2">
      <c r="A56" s="21" t="s">
        <v>793</v>
      </c>
      <c r="B56" s="10" t="s">
        <v>794</v>
      </c>
      <c r="C56" s="10" t="s">
        <v>823</v>
      </c>
      <c r="D56" s="28" t="s">
        <v>1265</v>
      </c>
      <c r="E56" s="10" t="s">
        <v>1278</v>
      </c>
      <c r="F56" s="10" t="s">
        <v>1279</v>
      </c>
      <c r="G56" s="10" t="s">
        <v>1280</v>
      </c>
      <c r="H56" s="10" t="s">
        <v>1281</v>
      </c>
      <c r="I56" s="23">
        <v>46181</v>
      </c>
      <c r="J56" s="10">
        <v>7</v>
      </c>
    </row>
    <row r="57" spans="1:10" ht="13.2">
      <c r="A57" s="21" t="s">
        <v>793</v>
      </c>
      <c r="B57" s="10" t="s">
        <v>794</v>
      </c>
      <c r="C57" s="10" t="s">
        <v>823</v>
      </c>
      <c r="D57" s="28" t="s">
        <v>1265</v>
      </c>
      <c r="E57" s="10" t="s">
        <v>1282</v>
      </c>
      <c r="F57" s="10" t="s">
        <v>1283</v>
      </c>
      <c r="G57" s="10" t="s">
        <v>1284</v>
      </c>
      <c r="H57" s="10" t="s">
        <v>1285</v>
      </c>
      <c r="I57" s="10">
        <v>25</v>
      </c>
      <c r="J57" s="10">
        <v>25</v>
      </c>
    </row>
    <row r="58" spans="1:10" ht="13.2">
      <c r="A58" s="21" t="s">
        <v>793</v>
      </c>
      <c r="B58" s="10" t="s">
        <v>794</v>
      </c>
      <c r="C58" s="10" t="s">
        <v>823</v>
      </c>
      <c r="D58" s="28" t="s">
        <v>1265</v>
      </c>
      <c r="E58" s="10" t="s">
        <v>1286</v>
      </c>
      <c r="F58" s="10" t="s">
        <v>1287</v>
      </c>
      <c r="G58" s="10" t="s">
        <v>1288</v>
      </c>
      <c r="H58" s="10" t="s">
        <v>1289</v>
      </c>
      <c r="I58" s="10">
        <v>12</v>
      </c>
      <c r="J58" s="10">
        <v>12</v>
      </c>
    </row>
    <row r="59" spans="1:10" ht="13.2">
      <c r="A59" s="21" t="s">
        <v>793</v>
      </c>
      <c r="B59" s="10" t="s">
        <v>794</v>
      </c>
      <c r="C59" s="10" t="s">
        <v>823</v>
      </c>
      <c r="D59" s="28" t="s">
        <v>1265</v>
      </c>
      <c r="E59" s="10" t="s">
        <v>1290</v>
      </c>
      <c r="F59" s="10" t="s">
        <v>1291</v>
      </c>
      <c r="G59" s="10" t="s">
        <v>1292</v>
      </c>
      <c r="H59" s="10" t="s">
        <v>1293</v>
      </c>
      <c r="I59" s="10">
        <v>4</v>
      </c>
      <c r="J59" s="10">
        <v>4</v>
      </c>
    </row>
    <row r="60" spans="1:10" ht="13.2">
      <c r="A60" s="21" t="s">
        <v>793</v>
      </c>
      <c r="B60" s="10" t="s">
        <v>794</v>
      </c>
      <c r="C60" s="10" t="s">
        <v>823</v>
      </c>
      <c r="D60" s="28" t="s">
        <v>1265</v>
      </c>
      <c r="E60" s="10" t="s">
        <v>1294</v>
      </c>
      <c r="F60" s="10" t="s">
        <v>1295</v>
      </c>
      <c r="G60" s="10" t="s">
        <v>1296</v>
      </c>
      <c r="H60" s="10" t="s">
        <v>1297</v>
      </c>
      <c r="I60" s="10">
        <v>20</v>
      </c>
      <c r="J60" s="10">
        <v>20</v>
      </c>
    </row>
    <row r="61" spans="1:10" ht="13.2">
      <c r="A61" s="21" t="s">
        <v>793</v>
      </c>
      <c r="B61" s="10" t="s">
        <v>794</v>
      </c>
      <c r="C61" s="10" t="s">
        <v>823</v>
      </c>
      <c r="D61" s="28" t="s">
        <v>1265</v>
      </c>
      <c r="E61" s="10" t="s">
        <v>1298</v>
      </c>
      <c r="F61" s="10" t="s">
        <v>243</v>
      </c>
      <c r="G61" s="10" t="s">
        <v>1299</v>
      </c>
      <c r="H61" s="10" t="s">
        <v>1300</v>
      </c>
      <c r="I61" s="10">
        <v>12</v>
      </c>
      <c r="J61" s="10">
        <v>12</v>
      </c>
    </row>
    <row r="62" spans="1:10" ht="13.2">
      <c r="A62" s="21" t="s">
        <v>793</v>
      </c>
      <c r="B62" s="10" t="s">
        <v>794</v>
      </c>
      <c r="C62" s="10" t="s">
        <v>823</v>
      </c>
      <c r="D62" s="28" t="s">
        <v>1265</v>
      </c>
      <c r="E62" s="10" t="s">
        <v>1301</v>
      </c>
      <c r="F62" s="10" t="s">
        <v>1302</v>
      </c>
      <c r="G62" s="10" t="s">
        <v>1303</v>
      </c>
      <c r="H62" s="10" t="s">
        <v>1304</v>
      </c>
      <c r="I62" s="10">
        <v>12</v>
      </c>
      <c r="J62" s="10">
        <v>12</v>
      </c>
    </row>
    <row r="63" spans="1:10" ht="13.2">
      <c r="A63" s="21" t="s">
        <v>793</v>
      </c>
      <c r="B63" s="10" t="s">
        <v>794</v>
      </c>
      <c r="C63" s="10" t="s">
        <v>823</v>
      </c>
      <c r="D63" s="28" t="s">
        <v>1265</v>
      </c>
      <c r="E63" s="10" t="s">
        <v>1305</v>
      </c>
      <c r="F63" s="10" t="s">
        <v>1306</v>
      </c>
      <c r="G63" s="10" t="s">
        <v>1307</v>
      </c>
      <c r="H63" s="10" t="s">
        <v>1308</v>
      </c>
      <c r="I63" s="23">
        <v>46244</v>
      </c>
      <c r="J63" s="10">
        <v>9</v>
      </c>
    </row>
    <row r="65" spans="1:13" ht="13.2">
      <c r="A65" s="21"/>
    </row>
    <row r="66" spans="1:13" ht="13.2">
      <c r="A66" s="10" t="s">
        <v>772</v>
      </c>
      <c r="B66" s="10" t="s">
        <v>808</v>
      </c>
      <c r="C66" s="10" t="s">
        <v>1040</v>
      </c>
      <c r="D66" s="10">
        <f>COUNTIFS(A4:A63,"Meat",B4:B63,"Pork",C4:C63,"Main")</f>
        <v>6</v>
      </c>
    </row>
    <row r="67" spans="1:13" ht="13.2">
      <c r="A67" s="10">
        <f>COUNTIF(A4:A63,"Meat")</f>
        <v>37</v>
      </c>
      <c r="B67" s="10">
        <f>COUNTIFS(A4:A63,"Meat",B4:B63,"Pork")</f>
        <v>12</v>
      </c>
      <c r="C67" s="10" t="s">
        <v>774</v>
      </c>
      <c r="D67" s="10">
        <f>COUNTIFS(A4:A63,"Meat",B4:B63,"Pork",C4:C63,"Side")</f>
        <v>6</v>
      </c>
    </row>
    <row r="68" spans="1:13" ht="13.2">
      <c r="C68" s="10" t="s">
        <v>823</v>
      </c>
      <c r="D68" s="10">
        <f>COUNTIFS(A4:A63,"Meat",B4:B63,"Pork",C4:C63,"Dessert")</f>
        <v>0</v>
      </c>
    </row>
    <row r="69" spans="1:13" ht="13.2">
      <c r="B69" s="10" t="s">
        <v>780</v>
      </c>
      <c r="C69" s="10" t="s">
        <v>1040</v>
      </c>
      <c r="D69" s="10">
        <f>COUNTIFS(A4:A63,"Meat",B4:B63,"Beef",C4:C63,"Main")</f>
        <v>12</v>
      </c>
    </row>
    <row r="70" spans="1:13" ht="13.2">
      <c r="B70" s="10">
        <f>COUNTIFS(A4:A63,"Meat",B4:B63,"Beef")</f>
        <v>12</v>
      </c>
      <c r="C70" s="10" t="s">
        <v>774</v>
      </c>
      <c r="D70" s="10">
        <f>COUNTIFS(A4:A63,"Meat",B4:B63,"Beef",C4:C63,"Side")</f>
        <v>0</v>
      </c>
    </row>
    <row r="71" spans="1:13" ht="13.2">
      <c r="C71" s="10" t="s">
        <v>823</v>
      </c>
      <c r="D71" s="10">
        <f>COUNTIFS(A4:A63,"Meat",B4:B63,"Beef",C4:C63,"Dessert")</f>
        <v>0</v>
      </c>
    </row>
    <row r="72" spans="1:13" ht="13.2">
      <c r="B72" s="10" t="s">
        <v>880</v>
      </c>
      <c r="C72" s="10" t="s">
        <v>1040</v>
      </c>
      <c r="D72" s="10">
        <f>COUNTIFS(A4:A63,"Meat",B4:B63,"Poultry",C4:C63,"Main")</f>
        <v>5</v>
      </c>
    </row>
    <row r="73" spans="1:13" ht="13.2">
      <c r="B73" s="10">
        <f>COUNTIFS(A4:A63,"Meat",B4:B63,"Poultry")</f>
        <v>6</v>
      </c>
      <c r="C73" s="10" t="s">
        <v>774</v>
      </c>
      <c r="D73" s="10">
        <f>COUNTIFS(A4:A63,"Meat",B4:B63,"Poultry",C4:C63,"Side")</f>
        <v>1</v>
      </c>
    </row>
    <row r="74" spans="1:13" ht="13.2">
      <c r="C74" s="10" t="s">
        <v>823</v>
      </c>
      <c r="D74" s="10">
        <f>COUNTIFS(A4:A63,"Meat",B4:B63,"Poultry",C4:C63,"Dessert")</f>
        <v>0</v>
      </c>
    </row>
    <row r="75" spans="1:13" ht="13.2">
      <c r="B75" s="10" t="s">
        <v>1041</v>
      </c>
      <c r="C75" s="10" t="s">
        <v>1040</v>
      </c>
      <c r="D75" s="10">
        <f>COUNTIFS(A4:A63,"Meat",B4:B63,"Sea food",C4:C63,"Main")</f>
        <v>6</v>
      </c>
    </row>
    <row r="76" spans="1:13" ht="13.2">
      <c r="B76" s="10">
        <f>COUNTIFS(A4:A63,"Meat",B4:B63,"Sea food")</f>
        <v>7</v>
      </c>
      <c r="C76" s="10" t="s">
        <v>774</v>
      </c>
      <c r="D76" s="10">
        <f>COUNTIFS(A4:A63,"Meat",B4:B63,"Sea food",C4:C63,"Side")</f>
        <v>1</v>
      </c>
    </row>
    <row r="77" spans="1:13" ht="13.2">
      <c r="C77" s="10" t="s">
        <v>823</v>
      </c>
      <c r="D77" s="10">
        <f>COUNTIFS(A4:A63,"Meat",B4:B63,"Sea food",C4:C63,"Dessert")</f>
        <v>0</v>
      </c>
    </row>
    <row r="78" spans="1:13" ht="13.2">
      <c r="A78" s="10" t="s">
        <v>1042</v>
      </c>
      <c r="B78" s="10" t="s">
        <v>799</v>
      </c>
      <c r="C78" s="10" t="s">
        <v>1040</v>
      </c>
      <c r="D78" s="10">
        <f>COUNTIFS(A4:A63,"No meat",B4:B63,"Vegan",C4:C63,"Main")</f>
        <v>1</v>
      </c>
    </row>
    <row r="79" spans="1:13" ht="13.2">
      <c r="A79" s="10">
        <f>COUNTIF(A4:A63,"No meat")</f>
        <v>23</v>
      </c>
      <c r="B79" s="10">
        <f>COUNTIFS(A4:A63,"No meat",B4:B63,"Vegan")</f>
        <v>4</v>
      </c>
      <c r="C79" s="10" t="s">
        <v>774</v>
      </c>
      <c r="D79" s="10">
        <f>COUNTIFS(A4:A63,"No meat",B4:B63,"Vegan",C4:C63,"Side")</f>
        <v>3</v>
      </c>
    </row>
    <row r="80" spans="1:13" ht="13.2">
      <c r="C80" s="10" t="s">
        <v>823</v>
      </c>
      <c r="D80" s="10">
        <f>COUNTIFS(A4:A63,"No meat",B4:B63,"Vegan",C4:C63,"Dessert")</f>
        <v>0</v>
      </c>
      <c r="M80" s="10" t="s">
        <v>1309</v>
      </c>
    </row>
    <row r="81" spans="1:13" ht="13.2">
      <c r="B81" s="10" t="s">
        <v>794</v>
      </c>
      <c r="C81" s="10" t="s">
        <v>1040</v>
      </c>
      <c r="D81" s="10">
        <f>COUNTIFS(A4:A63,"No meat",B4:B63,"Vegetarian",C4:C63,"Main")</f>
        <v>1</v>
      </c>
      <c r="M81" s="10" t="s">
        <v>794</v>
      </c>
    </row>
    <row r="82" spans="1:13" ht="13.2">
      <c r="B82" s="10">
        <f>COUNTIFS(A4:A63,"No meat",B4:B63,"Vegetarian")</f>
        <v>19</v>
      </c>
      <c r="C82" s="10" t="s">
        <v>774</v>
      </c>
      <c r="D82" s="10">
        <f>COUNTIFS(A4:A63,"No meat",B4:B63,"Vegetarian",C4:C63,"Side")</f>
        <v>7</v>
      </c>
      <c r="M82" s="10" t="s">
        <v>1310</v>
      </c>
    </row>
    <row r="83" spans="1:13" ht="13.2">
      <c r="C83" s="10" t="s">
        <v>823</v>
      </c>
      <c r="D83" s="10">
        <f>COUNTIFS(A4:A63,"No meat",B4:B63,"Vegetarian",C4:C63,"Dessert")</f>
        <v>11</v>
      </c>
    </row>
    <row r="86" spans="1:13" ht="13.2">
      <c r="A86" s="10" t="s">
        <v>772</v>
      </c>
      <c r="B86" s="10" t="s">
        <v>808</v>
      </c>
      <c r="C86" s="10" t="s">
        <v>1040</v>
      </c>
      <c r="D86" s="25">
        <v>6</v>
      </c>
    </row>
    <row r="87" spans="1:13" ht="13.2">
      <c r="A87" s="10" t="s">
        <v>772</v>
      </c>
      <c r="B87" s="10" t="s">
        <v>808</v>
      </c>
      <c r="C87" s="10" t="s">
        <v>774</v>
      </c>
      <c r="D87" s="25">
        <v>6</v>
      </c>
    </row>
    <row r="88" spans="1:13" ht="13.2">
      <c r="A88" s="10" t="s">
        <v>772</v>
      </c>
      <c r="B88" s="10" t="s">
        <v>808</v>
      </c>
      <c r="C88" s="10" t="s">
        <v>823</v>
      </c>
      <c r="D88" s="25">
        <v>0</v>
      </c>
    </row>
    <row r="89" spans="1:13" ht="13.2">
      <c r="A89" s="10" t="s">
        <v>772</v>
      </c>
      <c r="B89" s="10" t="s">
        <v>780</v>
      </c>
      <c r="C89" s="10" t="s">
        <v>1040</v>
      </c>
      <c r="D89" s="25">
        <v>12</v>
      </c>
    </row>
    <row r="90" spans="1:13" ht="13.2">
      <c r="A90" s="10" t="s">
        <v>772</v>
      </c>
      <c r="B90" s="10" t="s">
        <v>780</v>
      </c>
      <c r="C90" s="10" t="s">
        <v>774</v>
      </c>
      <c r="D90" s="25">
        <v>0</v>
      </c>
    </row>
    <row r="91" spans="1:13" ht="13.2">
      <c r="A91" s="10" t="s">
        <v>772</v>
      </c>
      <c r="B91" s="10" t="s">
        <v>780</v>
      </c>
      <c r="C91" s="10" t="s">
        <v>823</v>
      </c>
      <c r="D91" s="25">
        <v>0</v>
      </c>
    </row>
    <row r="92" spans="1:13" ht="13.2">
      <c r="A92" s="10" t="s">
        <v>772</v>
      </c>
      <c r="B92" s="10" t="s">
        <v>880</v>
      </c>
      <c r="C92" s="10" t="s">
        <v>1040</v>
      </c>
      <c r="D92" s="25">
        <v>5</v>
      </c>
    </row>
    <row r="93" spans="1:13" ht="13.2">
      <c r="A93" s="10" t="s">
        <v>772</v>
      </c>
      <c r="B93" s="10" t="s">
        <v>880</v>
      </c>
      <c r="C93" s="10" t="s">
        <v>774</v>
      </c>
      <c r="D93" s="25">
        <v>1</v>
      </c>
    </row>
    <row r="94" spans="1:13" ht="13.2">
      <c r="A94" s="10" t="s">
        <v>772</v>
      </c>
      <c r="B94" s="10" t="s">
        <v>880</v>
      </c>
      <c r="C94" s="10" t="s">
        <v>823</v>
      </c>
      <c r="D94" s="25">
        <v>0</v>
      </c>
    </row>
    <row r="95" spans="1:13" ht="13.2">
      <c r="A95" s="10" t="s">
        <v>772</v>
      </c>
      <c r="B95" s="10" t="s">
        <v>1041</v>
      </c>
      <c r="C95" s="10" t="s">
        <v>1040</v>
      </c>
      <c r="D95" s="25">
        <v>6</v>
      </c>
    </row>
    <row r="96" spans="1:13" ht="13.2">
      <c r="A96" s="10" t="s">
        <v>772</v>
      </c>
      <c r="B96" s="10" t="s">
        <v>1041</v>
      </c>
      <c r="C96" s="10" t="s">
        <v>774</v>
      </c>
      <c r="D96" s="25">
        <v>1</v>
      </c>
    </row>
    <row r="97" spans="1:4" ht="13.2">
      <c r="A97" s="10" t="s">
        <v>772</v>
      </c>
      <c r="B97" s="10" t="s">
        <v>1041</v>
      </c>
      <c r="C97" s="10" t="s">
        <v>823</v>
      </c>
      <c r="D97" s="25">
        <v>0</v>
      </c>
    </row>
    <row r="98" spans="1:4" ht="13.2">
      <c r="A98" s="10" t="s">
        <v>1042</v>
      </c>
      <c r="B98" s="10" t="s">
        <v>799</v>
      </c>
      <c r="C98" s="10" t="s">
        <v>1040</v>
      </c>
      <c r="D98" s="25">
        <v>1</v>
      </c>
    </row>
    <row r="99" spans="1:4" ht="13.2">
      <c r="A99" s="10" t="s">
        <v>1042</v>
      </c>
      <c r="B99" s="10" t="s">
        <v>799</v>
      </c>
      <c r="C99" s="10" t="s">
        <v>774</v>
      </c>
      <c r="D99" s="25">
        <v>3</v>
      </c>
    </row>
    <row r="100" spans="1:4" ht="13.2">
      <c r="A100" s="10" t="s">
        <v>1042</v>
      </c>
      <c r="B100" s="10" t="s">
        <v>799</v>
      </c>
      <c r="C100" s="10" t="s">
        <v>823</v>
      </c>
      <c r="D100" s="25">
        <v>0</v>
      </c>
    </row>
    <row r="101" spans="1:4" ht="13.2">
      <c r="A101" s="10" t="s">
        <v>1042</v>
      </c>
      <c r="B101" s="10" t="s">
        <v>794</v>
      </c>
      <c r="C101" s="10" t="s">
        <v>1040</v>
      </c>
      <c r="D101" s="25">
        <v>1</v>
      </c>
    </row>
    <row r="102" spans="1:4" ht="13.2">
      <c r="A102" s="10" t="s">
        <v>1042</v>
      </c>
      <c r="B102" s="10" t="s">
        <v>794</v>
      </c>
      <c r="C102" s="10" t="s">
        <v>774</v>
      </c>
      <c r="D102" s="25">
        <v>7</v>
      </c>
    </row>
    <row r="103" spans="1:4" ht="13.2">
      <c r="A103" s="10" t="s">
        <v>1042</v>
      </c>
      <c r="B103" s="10" t="s">
        <v>794</v>
      </c>
      <c r="C103" s="10" t="s">
        <v>823</v>
      </c>
      <c r="D103" s="25">
        <v>11</v>
      </c>
    </row>
    <row r="107" spans="1:4" ht="13.2">
      <c r="A107" s="22" t="s">
        <v>1045</v>
      </c>
      <c r="B107" s="22" t="s">
        <v>1046</v>
      </c>
      <c r="C107" s="22" t="s">
        <v>1047</v>
      </c>
    </row>
    <row r="108" spans="1:4" ht="13.2">
      <c r="A108" s="10" t="s">
        <v>1048</v>
      </c>
      <c r="C108" s="10">
        <v>0</v>
      </c>
    </row>
    <row r="109" spans="1:4" ht="13.2">
      <c r="A109" s="10" t="s">
        <v>772</v>
      </c>
      <c r="B109" s="10" t="s">
        <v>1048</v>
      </c>
      <c r="C109" s="10">
        <v>0</v>
      </c>
    </row>
    <row r="110" spans="1:4" ht="13.2">
      <c r="A110" s="10" t="s">
        <v>808</v>
      </c>
      <c r="B110" s="10" t="s">
        <v>772</v>
      </c>
      <c r="C110" s="10">
        <v>0</v>
      </c>
      <c r="D110" s="25"/>
    </row>
    <row r="111" spans="1:4" ht="13.2">
      <c r="A111" s="10" t="s">
        <v>1049</v>
      </c>
      <c r="B111" s="10" t="s">
        <v>808</v>
      </c>
      <c r="C111" s="10">
        <v>6</v>
      </c>
      <c r="D111" s="25"/>
    </row>
    <row r="112" spans="1:4" ht="13.2">
      <c r="A112" s="10" t="s">
        <v>1050</v>
      </c>
      <c r="B112" s="10" t="s">
        <v>808</v>
      </c>
      <c r="C112" s="10">
        <v>6</v>
      </c>
      <c r="D112" s="25"/>
    </row>
    <row r="113" spans="1:4" ht="13.2">
      <c r="A113" s="10" t="s">
        <v>1051</v>
      </c>
      <c r="B113" s="10" t="s">
        <v>808</v>
      </c>
      <c r="C113" s="10">
        <v>0</v>
      </c>
      <c r="D113" s="25"/>
    </row>
    <row r="114" spans="1:4" ht="13.2">
      <c r="A114" s="10" t="str">
        <f>B89</f>
        <v>Beef</v>
      </c>
      <c r="B114" s="10" t="s">
        <v>772</v>
      </c>
      <c r="C114" s="10">
        <v>0</v>
      </c>
      <c r="D114" s="25"/>
    </row>
    <row r="115" spans="1:4" ht="13.2">
      <c r="A115" s="10" t="str">
        <f>A114 &amp; " "&amp;C98</f>
        <v xml:space="preserve">Beef Main </v>
      </c>
      <c r="B115" s="10" t="s">
        <v>780</v>
      </c>
      <c r="C115" s="25">
        <v>12</v>
      </c>
      <c r="D115" s="25"/>
    </row>
    <row r="116" spans="1:4" ht="13.2">
      <c r="A116" s="10" t="str">
        <f t="shared" ref="A116:A117" si="0">B89 &amp; " "&amp;C99</f>
        <v>Beef Side</v>
      </c>
      <c r="B116" s="10" t="s">
        <v>780</v>
      </c>
      <c r="C116" s="25">
        <v>0</v>
      </c>
      <c r="D116" s="25"/>
    </row>
    <row r="117" spans="1:4" ht="13.2">
      <c r="A117" s="10" t="str">
        <f t="shared" si="0"/>
        <v>Beef Dessert</v>
      </c>
      <c r="B117" s="10" t="s">
        <v>780</v>
      </c>
      <c r="C117" s="25">
        <v>0</v>
      </c>
      <c r="D117" s="25"/>
    </row>
    <row r="118" spans="1:4" ht="13.2">
      <c r="A118" s="10" t="str">
        <f>B93</f>
        <v>Poultry</v>
      </c>
      <c r="B118" s="10" t="s">
        <v>772</v>
      </c>
      <c r="C118" s="10">
        <v>0</v>
      </c>
      <c r="D118" s="25"/>
    </row>
    <row r="119" spans="1:4" ht="13.2">
      <c r="A119" s="10" t="str">
        <f t="shared" ref="A119:A121" si="1">B92 &amp; " "&amp;C66</f>
        <v xml:space="preserve">Poultry Main </v>
      </c>
      <c r="B119" s="10" t="str">
        <f>A118</f>
        <v>Poultry</v>
      </c>
      <c r="C119" s="25">
        <v>5</v>
      </c>
      <c r="D119" s="25"/>
    </row>
    <row r="120" spans="1:4" ht="13.2">
      <c r="A120" s="10" t="str">
        <f t="shared" si="1"/>
        <v>Poultry Side</v>
      </c>
      <c r="B120" s="10" t="s">
        <v>880</v>
      </c>
      <c r="C120" s="25">
        <v>1</v>
      </c>
      <c r="D120" s="25"/>
    </row>
    <row r="121" spans="1:4" ht="13.2">
      <c r="A121" s="10" t="str">
        <f t="shared" si="1"/>
        <v>Poultry Dessert</v>
      </c>
      <c r="B121" s="10" t="s">
        <v>880</v>
      </c>
      <c r="C121" s="25">
        <v>0</v>
      </c>
      <c r="D121" s="25"/>
    </row>
    <row r="122" spans="1:4" ht="13.2">
      <c r="A122" s="10" t="s">
        <v>1041</v>
      </c>
      <c r="B122" s="10" t="s">
        <v>772</v>
      </c>
      <c r="C122" s="10">
        <v>0</v>
      </c>
      <c r="D122" s="25"/>
    </row>
    <row r="123" spans="1:4" ht="13.2">
      <c r="A123" s="10" t="str">
        <f t="shared" ref="A123:A124" si="2">B96 &amp; " "&amp;C69</f>
        <v xml:space="preserve">Sea food Main </v>
      </c>
      <c r="B123" s="10" t="s">
        <v>1041</v>
      </c>
      <c r="C123" s="25">
        <v>6</v>
      </c>
      <c r="D123" s="25"/>
    </row>
    <row r="124" spans="1:4" ht="13.2">
      <c r="A124" s="10" t="str">
        <f t="shared" si="2"/>
        <v>Sea food Side</v>
      </c>
      <c r="B124" s="10" t="s">
        <v>1041</v>
      </c>
      <c r="C124" s="25">
        <v>1</v>
      </c>
      <c r="D124" s="25"/>
    </row>
    <row r="125" spans="1:4" ht="13.2">
      <c r="A125" s="10" t="str">
        <f>B97 &amp; " "&amp;C71</f>
        <v>Sea food Dessert</v>
      </c>
      <c r="B125" s="10" t="s">
        <v>1041</v>
      </c>
      <c r="C125" s="25">
        <v>0</v>
      </c>
      <c r="D125" s="25"/>
    </row>
    <row r="126" spans="1:4" ht="13.2">
      <c r="A126" s="10" t="s">
        <v>1042</v>
      </c>
      <c r="B126" s="10" t="s">
        <v>1048</v>
      </c>
      <c r="C126" s="10">
        <v>0</v>
      </c>
      <c r="D126" s="25"/>
    </row>
    <row r="127" spans="1:4" ht="13.2">
      <c r="A127" s="10" t="s">
        <v>799</v>
      </c>
      <c r="B127" s="10" t="s">
        <v>1042</v>
      </c>
      <c r="C127" s="10">
        <v>0</v>
      </c>
      <c r="D127" s="25"/>
    </row>
    <row r="128" spans="1:4" ht="13.2">
      <c r="A128" s="10" t="s">
        <v>1061</v>
      </c>
      <c r="B128" s="10" t="s">
        <v>799</v>
      </c>
      <c r="C128" s="25">
        <v>1</v>
      </c>
    </row>
    <row r="129" spans="1:3" ht="13.2">
      <c r="A129" s="10" t="s">
        <v>1062</v>
      </c>
      <c r="B129" s="10" t="s">
        <v>799</v>
      </c>
      <c r="C129" s="25">
        <v>3</v>
      </c>
    </row>
    <row r="130" spans="1:3" ht="13.2">
      <c r="A130" s="10" t="s">
        <v>1063</v>
      </c>
      <c r="B130" s="10" t="s">
        <v>799</v>
      </c>
      <c r="C130" s="25">
        <v>0</v>
      </c>
    </row>
    <row r="131" spans="1:3" ht="13.2">
      <c r="A131" s="10" t="s">
        <v>794</v>
      </c>
      <c r="B131" s="10" t="s">
        <v>1042</v>
      </c>
      <c r="C131" s="10">
        <v>0</v>
      </c>
    </row>
    <row r="132" spans="1:3" ht="13.2">
      <c r="A132" s="10" t="s">
        <v>1064</v>
      </c>
      <c r="B132" s="10" t="s">
        <v>794</v>
      </c>
      <c r="C132" s="25">
        <v>1</v>
      </c>
    </row>
    <row r="133" spans="1:3" ht="13.2">
      <c r="A133" s="10" t="s">
        <v>1065</v>
      </c>
      <c r="B133" s="10" t="s">
        <v>794</v>
      </c>
      <c r="C133" s="25">
        <v>7</v>
      </c>
    </row>
    <row r="134" spans="1:3" ht="13.2">
      <c r="A134" s="10" t="s">
        <v>1066</v>
      </c>
      <c r="B134" s="10" t="s">
        <v>794</v>
      </c>
      <c r="C134" s="25">
        <v>11</v>
      </c>
    </row>
    <row r="145" spans="1:4" ht="13.2">
      <c r="A145" s="22" t="s">
        <v>1043</v>
      </c>
      <c r="B145" s="22" t="s">
        <v>857</v>
      </c>
      <c r="C145" s="22" t="s">
        <v>774</v>
      </c>
      <c r="D145" s="22" t="s">
        <v>823</v>
      </c>
    </row>
    <row r="146" spans="1:4" ht="13.2">
      <c r="A146" s="10" t="s">
        <v>808</v>
      </c>
      <c r="B146" s="10">
        <v>6</v>
      </c>
      <c r="C146" s="10">
        <v>6</v>
      </c>
      <c r="D146" s="10">
        <v>0</v>
      </c>
    </row>
    <row r="147" spans="1:4" ht="13.2">
      <c r="A147" s="10" t="s">
        <v>780</v>
      </c>
      <c r="B147" s="10">
        <v>12</v>
      </c>
      <c r="C147" s="10">
        <v>0</v>
      </c>
      <c r="D147" s="10">
        <v>0</v>
      </c>
    </row>
    <row r="148" spans="1:4" ht="13.2">
      <c r="A148" s="10" t="s">
        <v>880</v>
      </c>
      <c r="B148" s="10">
        <v>5</v>
      </c>
      <c r="C148" s="10">
        <v>1</v>
      </c>
      <c r="D148" s="10">
        <v>0</v>
      </c>
    </row>
    <row r="149" spans="1:4" ht="13.2">
      <c r="A149" s="10" t="s">
        <v>1044</v>
      </c>
      <c r="B149" s="10">
        <v>6</v>
      </c>
      <c r="C149" s="10">
        <v>1</v>
      </c>
      <c r="D149" s="10">
        <v>0</v>
      </c>
    </row>
    <row r="150" spans="1:4" ht="13.2">
      <c r="A150" s="10" t="s">
        <v>799</v>
      </c>
      <c r="B150" s="10">
        <v>1</v>
      </c>
      <c r="C150" s="10">
        <v>3</v>
      </c>
      <c r="D150" s="10">
        <v>0</v>
      </c>
    </row>
    <row r="151" spans="1:4" ht="13.2">
      <c r="A151" s="10" t="s">
        <v>794</v>
      </c>
      <c r="B151" s="10">
        <v>1</v>
      </c>
      <c r="C151" s="10">
        <v>7</v>
      </c>
      <c r="D151" s="10">
        <v>11</v>
      </c>
    </row>
  </sheetData>
  <pageMargins left="0.511811024" right="0.511811024" top="0.78740157499999996" bottom="0.78740157499999996" header="0.31496062000000002" footer="0.3149606200000000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W167"/>
  <sheetViews>
    <sheetView topLeftCell="I183" workbookViewId="0">
      <selection activeCell="H167" sqref="H167"/>
    </sheetView>
  </sheetViews>
  <sheetFormatPr defaultColWidth="12.6640625" defaultRowHeight="15.75" customHeight="1"/>
  <sheetData>
    <row r="1" spans="1:16" ht="13.2">
      <c r="A1" s="21" t="s">
        <v>760</v>
      </c>
      <c r="B1" s="21" t="s">
        <v>761</v>
      </c>
      <c r="C1" s="21" t="s">
        <v>762</v>
      </c>
      <c r="D1" s="22" t="s">
        <v>764</v>
      </c>
      <c r="E1" s="22" t="s">
        <v>765</v>
      </c>
      <c r="F1" s="22" t="s">
        <v>766</v>
      </c>
      <c r="G1" s="22" t="s">
        <v>767</v>
      </c>
      <c r="H1" s="174" t="s">
        <v>5438</v>
      </c>
      <c r="I1" s="21" t="s">
        <v>768</v>
      </c>
      <c r="J1" s="21" t="s">
        <v>769</v>
      </c>
      <c r="K1" s="21" t="s">
        <v>1311</v>
      </c>
      <c r="L1" s="21" t="s">
        <v>1312</v>
      </c>
      <c r="M1" s="21" t="s">
        <v>1313</v>
      </c>
      <c r="N1" s="21" t="s">
        <v>1314</v>
      </c>
      <c r="O1" s="21" t="s">
        <v>1315</v>
      </c>
      <c r="P1" s="21" t="s">
        <v>5439</v>
      </c>
    </row>
    <row r="2" spans="1:16" ht="13.2">
      <c r="A2" s="21" t="s">
        <v>772</v>
      </c>
      <c r="B2" s="21" t="s">
        <v>780</v>
      </c>
      <c r="C2" s="21" t="s">
        <v>857</v>
      </c>
      <c r="D2" s="10" t="s">
        <v>891</v>
      </c>
      <c r="E2" s="10" t="s">
        <v>892</v>
      </c>
      <c r="F2" s="10" t="s">
        <v>1316</v>
      </c>
      <c r="G2" s="10" t="s">
        <v>1317</v>
      </c>
      <c r="H2" s="175">
        <v>2426.54</v>
      </c>
      <c r="I2" s="10">
        <v>4</v>
      </c>
      <c r="J2" s="10">
        <v>4</v>
      </c>
      <c r="K2" s="10" t="s">
        <v>755</v>
      </c>
      <c r="L2" s="10">
        <v>32680.860291800003</v>
      </c>
      <c r="M2" s="10">
        <v>240.66069333333331</v>
      </c>
      <c r="N2" s="10">
        <f t="shared" ref="N2:N84" si="0">SUM(L2+M2)</f>
        <v>32921.520985133335</v>
      </c>
      <c r="O2" s="10">
        <f t="shared" ref="O2:O84" si="1">N2/J2</f>
        <v>8230.3802462833337</v>
      </c>
      <c r="P2" s="175">
        <f t="shared" ref="P2:P84" si="2">100*L2/H2</f>
        <v>1346.8090487607872</v>
      </c>
    </row>
    <row r="3" spans="1:16" ht="13.2">
      <c r="A3" s="21" t="s">
        <v>772</v>
      </c>
      <c r="B3" s="21" t="s">
        <v>780</v>
      </c>
      <c r="C3" s="21" t="s">
        <v>857</v>
      </c>
      <c r="D3" s="10" t="s">
        <v>895</v>
      </c>
      <c r="E3" s="10" t="s">
        <v>896</v>
      </c>
      <c r="F3" s="10" t="s">
        <v>897</v>
      </c>
      <c r="G3" s="10" t="s">
        <v>1318</v>
      </c>
      <c r="H3" s="175">
        <v>502.10499999999996</v>
      </c>
      <c r="I3" s="10">
        <v>1</v>
      </c>
      <c r="J3" s="10">
        <v>1</v>
      </c>
      <c r="K3" s="10" t="s">
        <v>755</v>
      </c>
      <c r="L3" s="10">
        <v>445.97962534606455</v>
      </c>
      <c r="M3" s="10">
        <v>48.46208</v>
      </c>
      <c r="N3" s="10">
        <f t="shared" si="0"/>
        <v>494.44170534606457</v>
      </c>
      <c r="O3" s="10">
        <f t="shared" si="1"/>
        <v>494.44170534606457</v>
      </c>
      <c r="P3" s="175">
        <f t="shared" si="2"/>
        <v>88.821984514407262</v>
      </c>
    </row>
    <row r="4" spans="1:16" ht="13.2">
      <c r="A4" s="21" t="s">
        <v>772</v>
      </c>
      <c r="B4" s="21" t="s">
        <v>780</v>
      </c>
      <c r="C4" s="21" t="s">
        <v>857</v>
      </c>
      <c r="D4" s="10" t="s">
        <v>899</v>
      </c>
      <c r="E4" s="10" t="s">
        <v>900</v>
      </c>
      <c r="F4" s="10" t="s">
        <v>1319</v>
      </c>
      <c r="G4" s="10" t="s">
        <v>1320</v>
      </c>
      <c r="H4" s="175">
        <v>1099.1000000000001</v>
      </c>
      <c r="I4" s="10">
        <v>2</v>
      </c>
      <c r="J4" s="10">
        <v>2</v>
      </c>
      <c r="K4" s="10" t="s">
        <v>755</v>
      </c>
      <c r="L4" s="10">
        <v>3297.76622690766</v>
      </c>
      <c r="M4" s="10">
        <v>110.83073858333333</v>
      </c>
      <c r="N4" s="10">
        <f t="shared" si="0"/>
        <v>3408.5969654909932</v>
      </c>
      <c r="O4" s="10">
        <f t="shared" si="1"/>
        <v>1704.2984827454966</v>
      </c>
      <c r="P4" s="175">
        <f t="shared" si="2"/>
        <v>300.04241897076332</v>
      </c>
    </row>
    <row r="5" spans="1:16" ht="13.2">
      <c r="A5" s="21" t="s">
        <v>772</v>
      </c>
      <c r="B5" s="21" t="s">
        <v>780</v>
      </c>
      <c r="C5" s="21" t="s">
        <v>857</v>
      </c>
      <c r="D5" s="10" t="s">
        <v>903</v>
      </c>
      <c r="E5" s="10" t="s">
        <v>904</v>
      </c>
      <c r="F5" s="10" t="s">
        <v>1321</v>
      </c>
      <c r="G5" s="10" t="s">
        <v>906</v>
      </c>
      <c r="H5" s="175">
        <v>1631.61</v>
      </c>
      <c r="I5" s="10">
        <v>6</v>
      </c>
      <c r="J5" s="10">
        <v>6</v>
      </c>
      <c r="K5" s="10" t="s">
        <v>755</v>
      </c>
      <c r="L5" s="10">
        <v>4325.1196682762638</v>
      </c>
      <c r="M5" s="10">
        <v>466.67333777777776</v>
      </c>
      <c r="N5" s="10">
        <f t="shared" si="0"/>
        <v>4791.7930060540421</v>
      </c>
      <c r="O5" s="10">
        <f t="shared" si="1"/>
        <v>798.63216767567371</v>
      </c>
      <c r="P5" s="175">
        <f t="shared" si="2"/>
        <v>265.08293454172656</v>
      </c>
    </row>
    <row r="6" spans="1:16" ht="13.2">
      <c r="A6" s="21" t="s">
        <v>772</v>
      </c>
      <c r="B6" s="21" t="s">
        <v>780</v>
      </c>
      <c r="C6" s="21" t="s">
        <v>857</v>
      </c>
      <c r="D6" s="10" t="s">
        <v>907</v>
      </c>
      <c r="E6" s="10" t="s">
        <v>908</v>
      </c>
      <c r="F6" s="10" t="s">
        <v>1322</v>
      </c>
      <c r="G6" s="10" t="s">
        <v>910</v>
      </c>
      <c r="H6" s="175">
        <v>1240.615</v>
      </c>
      <c r="I6" s="23">
        <v>46181</v>
      </c>
      <c r="J6" s="10">
        <v>7</v>
      </c>
      <c r="K6" s="10" t="s">
        <v>755</v>
      </c>
      <c r="L6" s="10">
        <v>4419.7818665950417</v>
      </c>
      <c r="M6" s="10">
        <v>472.75848444444443</v>
      </c>
      <c r="N6" s="10">
        <f t="shared" si="0"/>
        <v>4892.5403510394863</v>
      </c>
      <c r="O6" s="10">
        <f t="shared" si="1"/>
        <v>698.93433586278377</v>
      </c>
      <c r="P6" s="175">
        <f t="shared" si="2"/>
        <v>356.25732935641128</v>
      </c>
    </row>
    <row r="7" spans="1:16" ht="13.2">
      <c r="A7" s="21" t="s">
        <v>772</v>
      </c>
      <c r="B7" s="21" t="s">
        <v>780</v>
      </c>
      <c r="C7" s="21" t="s">
        <v>857</v>
      </c>
      <c r="D7" s="10" t="s">
        <v>911</v>
      </c>
      <c r="E7" s="10" t="s">
        <v>912</v>
      </c>
      <c r="F7" s="10" t="s">
        <v>913</v>
      </c>
      <c r="G7" s="10" t="s">
        <v>914</v>
      </c>
      <c r="H7" s="175">
        <v>1288.4000000000001</v>
      </c>
      <c r="I7" s="10">
        <v>4</v>
      </c>
      <c r="J7" s="10">
        <v>4</v>
      </c>
      <c r="K7" s="10" t="s">
        <v>755</v>
      </c>
      <c r="L7" s="10">
        <v>25860.480224788182</v>
      </c>
      <c r="M7" s="10">
        <v>0</v>
      </c>
      <c r="N7" s="10">
        <f t="shared" si="0"/>
        <v>25860.480224788182</v>
      </c>
      <c r="O7" s="10">
        <f t="shared" si="1"/>
        <v>6465.1200561970454</v>
      </c>
      <c r="P7" s="175">
        <f t="shared" si="2"/>
        <v>2007.1779125107248</v>
      </c>
    </row>
    <row r="8" spans="1:16" ht="13.2">
      <c r="A8" s="29" t="s">
        <v>772</v>
      </c>
      <c r="B8" s="30" t="s">
        <v>780</v>
      </c>
      <c r="C8" s="30" t="s">
        <v>857</v>
      </c>
      <c r="D8" s="30" t="s">
        <v>1070</v>
      </c>
      <c r="E8" s="30" t="s">
        <v>1071</v>
      </c>
      <c r="F8" s="30" t="s">
        <v>1323</v>
      </c>
      <c r="G8" s="30" t="s">
        <v>1324</v>
      </c>
      <c r="H8" s="176">
        <v>2069.4900000000002</v>
      </c>
      <c r="I8" s="30">
        <v>6</v>
      </c>
      <c r="J8" s="30">
        <v>6</v>
      </c>
      <c r="K8" s="10" t="s">
        <v>1067</v>
      </c>
      <c r="L8" s="10">
        <v>2720.9721564375759</v>
      </c>
      <c r="M8" s="10">
        <v>166.79987746031745</v>
      </c>
      <c r="N8" s="10">
        <f t="shared" si="0"/>
        <v>2887.7720338978934</v>
      </c>
      <c r="O8" s="10">
        <f t="shared" si="1"/>
        <v>481.29533898298223</v>
      </c>
      <c r="P8" s="175">
        <f t="shared" si="2"/>
        <v>131.48032396569087</v>
      </c>
    </row>
    <row r="9" spans="1:16" ht="13.2">
      <c r="A9" s="29" t="s">
        <v>772</v>
      </c>
      <c r="B9" s="30" t="s">
        <v>780</v>
      </c>
      <c r="C9" s="30" t="s">
        <v>857</v>
      </c>
      <c r="D9" s="30" t="s">
        <v>1077</v>
      </c>
      <c r="E9" s="30" t="s">
        <v>1078</v>
      </c>
      <c r="F9" s="30" t="s">
        <v>1325</v>
      </c>
      <c r="G9" s="30" t="s">
        <v>1080</v>
      </c>
      <c r="H9" s="176">
        <v>2370.8549999999996</v>
      </c>
      <c r="I9" s="30">
        <v>6</v>
      </c>
      <c r="J9" s="30">
        <v>6</v>
      </c>
      <c r="K9" s="10" t="s">
        <v>1067</v>
      </c>
      <c r="L9" s="10">
        <v>26297.360068098409</v>
      </c>
      <c r="M9" s="10">
        <v>812.68907999999999</v>
      </c>
      <c r="N9" s="10">
        <f t="shared" si="0"/>
        <v>27110.049148098409</v>
      </c>
      <c r="O9" s="10">
        <f t="shared" si="1"/>
        <v>4518.3415246830682</v>
      </c>
      <c r="P9" s="175">
        <f t="shared" si="2"/>
        <v>1109.1930998774035</v>
      </c>
    </row>
    <row r="10" spans="1:16" ht="13.2">
      <c r="A10" s="29" t="s">
        <v>772</v>
      </c>
      <c r="B10" s="30" t="s">
        <v>780</v>
      </c>
      <c r="C10" s="30" t="s">
        <v>857</v>
      </c>
      <c r="D10" s="30" t="s">
        <v>1081</v>
      </c>
      <c r="E10" s="30" t="s">
        <v>1082</v>
      </c>
      <c r="F10" s="30" t="s">
        <v>1326</v>
      </c>
      <c r="G10" s="30" t="s">
        <v>1084</v>
      </c>
      <c r="H10" s="176">
        <v>2136.4</v>
      </c>
      <c r="I10" s="31">
        <v>46057</v>
      </c>
      <c r="J10" s="30">
        <v>3</v>
      </c>
      <c r="K10" s="10" t="s">
        <v>1067</v>
      </c>
      <c r="L10" s="10">
        <v>3258.8693646051465</v>
      </c>
      <c r="M10" s="10">
        <v>208.61117606837604</v>
      </c>
      <c r="N10" s="10">
        <f t="shared" si="0"/>
        <v>3467.4805406735227</v>
      </c>
      <c r="O10" s="10">
        <f t="shared" si="1"/>
        <v>1155.8268468911742</v>
      </c>
      <c r="P10" s="175">
        <f t="shared" si="2"/>
        <v>152.54022489258315</v>
      </c>
    </row>
    <row r="11" spans="1:16" ht="13.2">
      <c r="A11" s="29" t="s">
        <v>772</v>
      </c>
      <c r="B11" s="30" t="s">
        <v>780</v>
      </c>
      <c r="C11" s="30" t="s">
        <v>857</v>
      </c>
      <c r="D11" s="30" t="s">
        <v>1327</v>
      </c>
      <c r="E11" s="30" t="s">
        <v>1086</v>
      </c>
      <c r="F11" s="30" t="s">
        <v>1328</v>
      </c>
      <c r="G11" s="30" t="s">
        <v>1088</v>
      </c>
      <c r="H11" s="176">
        <v>2611.6849999999999</v>
      </c>
      <c r="I11" s="31">
        <v>46244</v>
      </c>
      <c r="J11" s="30">
        <v>9</v>
      </c>
      <c r="K11" s="10" t="s">
        <v>1067</v>
      </c>
      <c r="L11" s="10">
        <v>21502.426821752349</v>
      </c>
      <c r="M11" s="10">
        <v>609.39199999999994</v>
      </c>
      <c r="N11" s="10">
        <f t="shared" si="0"/>
        <v>22111.818821752349</v>
      </c>
      <c r="O11" s="10">
        <f t="shared" si="1"/>
        <v>2456.8687579724833</v>
      </c>
      <c r="P11" s="175">
        <f t="shared" si="2"/>
        <v>823.31624302901571</v>
      </c>
    </row>
    <row r="12" spans="1:16" ht="13.2">
      <c r="A12" s="29" t="s">
        <v>772</v>
      </c>
      <c r="B12" s="30" t="s">
        <v>780</v>
      </c>
      <c r="C12" s="30" t="s">
        <v>857</v>
      </c>
      <c r="D12" s="30" t="s">
        <v>1089</v>
      </c>
      <c r="E12" s="30" t="s">
        <v>1329</v>
      </c>
      <c r="F12" s="30" t="s">
        <v>1330</v>
      </c>
      <c r="G12" s="30" t="s">
        <v>1331</v>
      </c>
      <c r="H12" s="176">
        <v>3857.4</v>
      </c>
      <c r="I12" s="31">
        <v>46181</v>
      </c>
      <c r="J12" s="30">
        <v>7</v>
      </c>
      <c r="K12" s="10" t="s">
        <v>1067</v>
      </c>
      <c r="L12" s="10">
        <v>33598.448147825256</v>
      </c>
      <c r="M12" s="10">
        <v>294.77534735042735</v>
      </c>
      <c r="N12" s="10">
        <f t="shared" si="0"/>
        <v>33893.223495175684</v>
      </c>
      <c r="O12" s="10">
        <f t="shared" si="1"/>
        <v>4841.889070739383</v>
      </c>
      <c r="P12" s="175">
        <f t="shared" si="2"/>
        <v>871.0128103858882</v>
      </c>
    </row>
    <row r="13" spans="1:16" ht="13.8" thickBot="1">
      <c r="A13" s="29" t="s">
        <v>772</v>
      </c>
      <c r="B13" s="30" t="s">
        <v>780</v>
      </c>
      <c r="C13" s="30" t="s">
        <v>857</v>
      </c>
      <c r="D13" s="30" t="s">
        <v>1093</v>
      </c>
      <c r="E13" s="30" t="s">
        <v>1094</v>
      </c>
      <c r="F13" s="30" t="s">
        <v>1332</v>
      </c>
      <c r="G13" s="30" t="s">
        <v>1096</v>
      </c>
      <c r="H13" s="176">
        <v>2299.56</v>
      </c>
      <c r="I13" s="30">
        <v>6</v>
      </c>
      <c r="J13" s="30">
        <v>6</v>
      </c>
      <c r="K13" s="10" t="s">
        <v>1067</v>
      </c>
      <c r="L13" s="10">
        <v>26145.560658962673</v>
      </c>
      <c r="M13" s="10">
        <v>5.4908333333333337</v>
      </c>
      <c r="N13" s="10">
        <f t="shared" si="0"/>
        <v>26151.051492296006</v>
      </c>
      <c r="O13" s="10">
        <f t="shared" si="1"/>
        <v>4358.5085820493341</v>
      </c>
      <c r="P13" s="175">
        <f t="shared" si="2"/>
        <v>1136.9810163232391</v>
      </c>
    </row>
    <row r="14" spans="1:16" ht="13.8" thickBot="1">
      <c r="A14" s="29" t="s">
        <v>772</v>
      </c>
      <c r="B14" s="30" t="s">
        <v>780</v>
      </c>
      <c r="C14" s="30" t="s">
        <v>857</v>
      </c>
      <c r="D14" s="30" t="s">
        <v>1097</v>
      </c>
      <c r="E14" s="30" t="s">
        <v>1098</v>
      </c>
      <c r="F14" s="30" t="s">
        <v>1333</v>
      </c>
      <c r="G14" s="30" t="s">
        <v>1100</v>
      </c>
      <c r="H14" s="176">
        <v>834.76</v>
      </c>
      <c r="I14" s="30">
        <v>4</v>
      </c>
      <c r="J14" s="30">
        <v>4</v>
      </c>
      <c r="K14" s="10" t="s">
        <v>1067</v>
      </c>
      <c r="L14" s="193">
        <v>2164.8165949999998</v>
      </c>
      <c r="M14" s="193">
        <v>149.98169329999999</v>
      </c>
      <c r="N14" s="193">
        <v>2314.7982889999998</v>
      </c>
      <c r="O14" s="193">
        <v>578.69957220000003</v>
      </c>
      <c r="P14" s="193">
        <v>259.3340116</v>
      </c>
    </row>
    <row r="15" spans="1:16" ht="13.2">
      <c r="A15" s="29" t="s">
        <v>772</v>
      </c>
      <c r="B15" s="30" t="s">
        <v>780</v>
      </c>
      <c r="C15" s="30" t="s">
        <v>857</v>
      </c>
      <c r="D15" s="30" t="s">
        <v>1105</v>
      </c>
      <c r="E15" s="30" t="s">
        <v>1106</v>
      </c>
      <c r="F15" s="30" t="s">
        <v>1334</v>
      </c>
      <c r="G15" s="30" t="s">
        <v>1108</v>
      </c>
      <c r="H15" s="176">
        <v>1218.2</v>
      </c>
      <c r="I15" s="30">
        <v>4</v>
      </c>
      <c r="J15" s="30">
        <v>4</v>
      </c>
      <c r="K15" s="10" t="s">
        <v>1067</v>
      </c>
      <c r="L15" s="10">
        <v>993.74862942273114</v>
      </c>
      <c r="M15" s="10">
        <v>219.59520752136751</v>
      </c>
      <c r="N15" s="10">
        <f t="shared" si="0"/>
        <v>1213.3438369440987</v>
      </c>
      <c r="O15" s="10">
        <f t="shared" si="1"/>
        <v>303.33595923602468</v>
      </c>
      <c r="P15" s="175">
        <f t="shared" si="2"/>
        <v>81.575162487500506</v>
      </c>
    </row>
    <row r="16" spans="1:16" ht="13.2">
      <c r="A16" s="29" t="s">
        <v>772</v>
      </c>
      <c r="B16" s="30" t="s">
        <v>780</v>
      </c>
      <c r="C16" s="30" t="s">
        <v>857</v>
      </c>
      <c r="D16" s="30" t="s">
        <v>1193</v>
      </c>
      <c r="E16" s="30" t="s">
        <v>1194</v>
      </c>
      <c r="F16" s="30" t="s">
        <v>1335</v>
      </c>
      <c r="G16" s="30" t="s">
        <v>1336</v>
      </c>
      <c r="H16" s="176">
        <v>1722.3600000000001</v>
      </c>
      <c r="I16" s="31">
        <v>46118</v>
      </c>
      <c r="J16" s="30">
        <v>5</v>
      </c>
      <c r="K16" s="10" t="s">
        <v>1067</v>
      </c>
      <c r="L16" s="10">
        <v>3904.3161124295475</v>
      </c>
      <c r="M16" s="10">
        <v>215.08497777777777</v>
      </c>
      <c r="N16" s="10">
        <f t="shared" si="0"/>
        <v>4119.4010902073251</v>
      </c>
      <c r="O16" s="10">
        <f t="shared" si="1"/>
        <v>823.88021804146501</v>
      </c>
      <c r="P16" s="175">
        <f t="shared" si="2"/>
        <v>226.6840911557135</v>
      </c>
    </row>
    <row r="17" spans="1:16" ht="13.2">
      <c r="A17" s="29" t="s">
        <v>772</v>
      </c>
      <c r="B17" s="30" t="s">
        <v>780</v>
      </c>
      <c r="C17" s="30" t="s">
        <v>857</v>
      </c>
      <c r="D17" s="30" t="s">
        <v>1209</v>
      </c>
      <c r="E17" s="30" t="s">
        <v>1210</v>
      </c>
      <c r="F17" s="30" t="s">
        <v>1337</v>
      </c>
      <c r="G17" s="30" t="s">
        <v>1212</v>
      </c>
      <c r="H17" s="176">
        <v>1946.9549999999999</v>
      </c>
      <c r="I17" s="30">
        <v>8</v>
      </c>
      <c r="J17" s="30">
        <v>8</v>
      </c>
      <c r="K17" s="10" t="s">
        <v>1067</v>
      </c>
      <c r="L17" s="10">
        <v>7359.4124933994999</v>
      </c>
      <c r="M17" s="10">
        <v>900.11527999999987</v>
      </c>
      <c r="N17" s="10">
        <f t="shared" si="0"/>
        <v>8259.527773399499</v>
      </c>
      <c r="O17" s="10">
        <f t="shared" si="1"/>
        <v>1032.4409716749374</v>
      </c>
      <c r="P17" s="175">
        <f t="shared" si="2"/>
        <v>377.99602422241401</v>
      </c>
    </row>
    <row r="18" spans="1:16" ht="13.2">
      <c r="A18" s="32" t="s">
        <v>772</v>
      </c>
      <c r="B18" s="32" t="s">
        <v>780</v>
      </c>
      <c r="C18" s="32" t="s">
        <v>857</v>
      </c>
      <c r="D18" s="18" t="s">
        <v>785</v>
      </c>
      <c r="E18" s="18" t="s">
        <v>786</v>
      </c>
      <c r="F18" s="18" t="s">
        <v>1338</v>
      </c>
      <c r="G18" s="18" t="s">
        <v>788</v>
      </c>
      <c r="H18" s="177">
        <v>1289.075</v>
      </c>
      <c r="I18" s="18">
        <v>6</v>
      </c>
      <c r="J18" s="18">
        <v>6</v>
      </c>
      <c r="K18" s="10" t="s">
        <v>755</v>
      </c>
      <c r="L18" s="10">
        <v>1158.4857664345359</v>
      </c>
      <c r="M18" s="10">
        <v>275.66221521367521</v>
      </c>
      <c r="N18" s="10">
        <f t="shared" si="0"/>
        <v>1434.147981648211</v>
      </c>
      <c r="O18" s="10">
        <f t="shared" si="1"/>
        <v>239.02466360803518</v>
      </c>
      <c r="P18" s="175">
        <f t="shared" si="2"/>
        <v>89.869539509689957</v>
      </c>
    </row>
    <row r="19" spans="1:16" ht="13.2">
      <c r="A19" s="21" t="s">
        <v>772</v>
      </c>
      <c r="B19" s="21" t="s">
        <v>780</v>
      </c>
      <c r="C19" s="21" t="s">
        <v>774</v>
      </c>
      <c r="D19" s="10" t="s">
        <v>781</v>
      </c>
      <c r="E19" s="10" t="s">
        <v>782</v>
      </c>
      <c r="F19" s="10" t="s">
        <v>1339</v>
      </c>
      <c r="G19" s="10" t="s">
        <v>784</v>
      </c>
      <c r="H19" s="175">
        <v>1928.2099999999998</v>
      </c>
      <c r="I19" s="10">
        <v>12</v>
      </c>
      <c r="J19" s="10">
        <v>12</v>
      </c>
      <c r="K19" s="10" t="s">
        <v>755</v>
      </c>
      <c r="L19" s="10">
        <v>9106.1221258163041</v>
      </c>
      <c r="M19" s="10">
        <v>168.31217469989201</v>
      </c>
      <c r="N19" s="10">
        <f t="shared" si="0"/>
        <v>9274.4343005161954</v>
      </c>
      <c r="O19" s="10">
        <f t="shared" si="1"/>
        <v>772.86952504301632</v>
      </c>
      <c r="P19" s="175">
        <f t="shared" si="2"/>
        <v>472.25780002262746</v>
      </c>
    </row>
    <row r="20" spans="1:16" ht="13.2">
      <c r="A20" s="21" t="s">
        <v>772</v>
      </c>
      <c r="B20" s="21" t="s">
        <v>780</v>
      </c>
      <c r="C20" s="21" t="s">
        <v>774</v>
      </c>
      <c r="D20" s="10" t="s">
        <v>789</v>
      </c>
      <c r="E20" s="10" t="s">
        <v>790</v>
      </c>
      <c r="F20" s="10" t="s">
        <v>1340</v>
      </c>
      <c r="G20" s="10" t="s">
        <v>792</v>
      </c>
      <c r="H20" s="175">
        <v>909.15999999999985</v>
      </c>
      <c r="I20" s="10">
        <v>6</v>
      </c>
      <c r="J20" s="10">
        <v>6</v>
      </c>
      <c r="K20" s="10" t="s">
        <v>755</v>
      </c>
      <c r="L20" s="10">
        <v>9296.6573131330479</v>
      </c>
      <c r="M20" s="10">
        <v>157.2402024949082</v>
      </c>
      <c r="N20" s="10">
        <f t="shared" si="0"/>
        <v>9453.8975156279557</v>
      </c>
      <c r="O20" s="10">
        <f t="shared" si="1"/>
        <v>1575.6495859379927</v>
      </c>
      <c r="P20" s="175">
        <f t="shared" si="2"/>
        <v>1022.5545902957729</v>
      </c>
    </row>
    <row r="21" spans="1:16" ht="13.2">
      <c r="A21" s="33" t="s">
        <v>772</v>
      </c>
      <c r="B21" s="33" t="s">
        <v>780</v>
      </c>
      <c r="C21" s="33" t="s">
        <v>774</v>
      </c>
      <c r="D21" s="34" t="s">
        <v>1229</v>
      </c>
      <c r="E21" s="34" t="s">
        <v>1341</v>
      </c>
      <c r="F21" s="34" t="s">
        <v>1342</v>
      </c>
      <c r="G21" s="34" t="s">
        <v>1343</v>
      </c>
      <c r="H21" s="178">
        <v>2365.67</v>
      </c>
      <c r="I21" s="35">
        <v>25</v>
      </c>
      <c r="J21" s="35">
        <v>25</v>
      </c>
      <c r="K21" s="10" t="s">
        <v>1067</v>
      </c>
      <c r="L21" s="36">
        <v>12166.438500360737</v>
      </c>
      <c r="M21" s="10">
        <v>491.87633521057444</v>
      </c>
      <c r="N21" s="10">
        <f t="shared" si="0"/>
        <v>12658.314835571311</v>
      </c>
      <c r="O21" s="10">
        <f t="shared" si="1"/>
        <v>506.33259342285243</v>
      </c>
      <c r="P21" s="175">
        <f t="shared" si="2"/>
        <v>514.29144810395098</v>
      </c>
    </row>
    <row r="22" spans="1:16" ht="13.2">
      <c r="A22" s="21" t="s">
        <v>772</v>
      </c>
      <c r="B22" s="21" t="s">
        <v>808</v>
      </c>
      <c r="C22" s="21" t="s">
        <v>857</v>
      </c>
      <c r="D22" s="10" t="s">
        <v>915</v>
      </c>
      <c r="E22" s="10" t="s">
        <v>916</v>
      </c>
      <c r="F22" s="10" t="s">
        <v>917</v>
      </c>
      <c r="G22" s="10" t="s">
        <v>1344</v>
      </c>
      <c r="H22" s="175">
        <v>122.07</v>
      </c>
      <c r="I22" s="10">
        <v>1</v>
      </c>
      <c r="J22" s="10">
        <v>1</v>
      </c>
      <c r="K22" s="10" t="s">
        <v>755</v>
      </c>
      <c r="L22" s="10">
        <v>566.13961275533393</v>
      </c>
      <c r="M22" s="10">
        <v>82.234058461538467</v>
      </c>
      <c r="N22" s="10">
        <f t="shared" si="0"/>
        <v>648.37367121687237</v>
      </c>
      <c r="O22" s="10">
        <f t="shared" si="1"/>
        <v>648.37367121687237</v>
      </c>
      <c r="P22" s="175">
        <f t="shared" si="2"/>
        <v>463.78275805303019</v>
      </c>
    </row>
    <row r="23" spans="1:16" ht="13.2">
      <c r="A23" s="21" t="s">
        <v>772</v>
      </c>
      <c r="B23" s="21" t="s">
        <v>808</v>
      </c>
      <c r="C23" s="21" t="s">
        <v>857</v>
      </c>
      <c r="D23" s="10" t="s">
        <v>919</v>
      </c>
      <c r="E23" s="10" t="s">
        <v>920</v>
      </c>
      <c r="F23" s="10" t="s">
        <v>1345</v>
      </c>
      <c r="G23" s="10" t="s">
        <v>922</v>
      </c>
      <c r="H23" s="175">
        <v>3514.4650000000001</v>
      </c>
      <c r="I23" s="10">
        <v>12</v>
      </c>
      <c r="J23" s="10">
        <v>12</v>
      </c>
      <c r="K23" s="10" t="s">
        <v>755</v>
      </c>
      <c r="L23" s="10">
        <v>8791.2761938597432</v>
      </c>
      <c r="M23" s="10">
        <v>1470.6921733333334</v>
      </c>
      <c r="N23" s="10">
        <f t="shared" si="0"/>
        <v>10261.968367193076</v>
      </c>
      <c r="O23" s="10">
        <f t="shared" si="1"/>
        <v>855.16403059942297</v>
      </c>
      <c r="P23" s="175">
        <f t="shared" si="2"/>
        <v>250.14550419081547</v>
      </c>
    </row>
    <row r="24" spans="1:16" ht="13.2">
      <c r="A24" s="29" t="s">
        <v>772</v>
      </c>
      <c r="B24" s="30" t="s">
        <v>808</v>
      </c>
      <c r="C24" s="30" t="s">
        <v>857</v>
      </c>
      <c r="D24" s="30" t="s">
        <v>1128</v>
      </c>
      <c r="E24" s="30" t="s">
        <v>1129</v>
      </c>
      <c r="F24" s="30" t="s">
        <v>1346</v>
      </c>
      <c r="G24" s="30" t="s">
        <v>1131</v>
      </c>
      <c r="H24" s="176">
        <v>1235.0700000000002</v>
      </c>
      <c r="I24" s="31">
        <v>46118</v>
      </c>
      <c r="J24" s="30">
        <v>5</v>
      </c>
      <c r="K24" s="10" t="s">
        <v>1067</v>
      </c>
      <c r="L24" s="10">
        <v>3322.5526558424103</v>
      </c>
      <c r="M24" s="10">
        <v>229.11490156288156</v>
      </c>
      <c r="N24" s="10">
        <f t="shared" si="0"/>
        <v>3551.667557405292</v>
      </c>
      <c r="O24" s="10">
        <f t="shared" si="1"/>
        <v>710.33351148105839</v>
      </c>
      <c r="P24" s="175">
        <f t="shared" si="2"/>
        <v>269.01735576464569</v>
      </c>
    </row>
    <row r="25" spans="1:16" ht="13.2">
      <c r="A25" s="29" t="s">
        <v>772</v>
      </c>
      <c r="B25" s="30" t="s">
        <v>808</v>
      </c>
      <c r="C25" s="30" t="s">
        <v>857</v>
      </c>
      <c r="D25" s="30" t="s">
        <v>1132</v>
      </c>
      <c r="E25" s="30" t="s">
        <v>1133</v>
      </c>
      <c r="F25" s="30" t="s">
        <v>1347</v>
      </c>
      <c r="G25" s="30" t="s">
        <v>1135</v>
      </c>
      <c r="H25" s="176">
        <v>2707.4825000000001</v>
      </c>
      <c r="I25" s="31">
        <v>46181</v>
      </c>
      <c r="J25" s="30">
        <v>7</v>
      </c>
      <c r="K25" s="10" t="s">
        <v>1067</v>
      </c>
      <c r="L25" s="10">
        <v>8433.9871789653353</v>
      </c>
      <c r="M25" s="10">
        <v>259.94072253968255</v>
      </c>
      <c r="N25" s="10">
        <f t="shared" si="0"/>
        <v>8693.9279015050179</v>
      </c>
      <c r="O25" s="10">
        <f t="shared" si="1"/>
        <v>1241.9897002150026</v>
      </c>
      <c r="P25" s="175">
        <f t="shared" si="2"/>
        <v>311.5066183794479</v>
      </c>
    </row>
    <row r="26" spans="1:16" ht="13.2">
      <c r="A26" s="29" t="s">
        <v>772</v>
      </c>
      <c r="B26" s="30" t="s">
        <v>808</v>
      </c>
      <c r="C26" s="30" t="s">
        <v>857</v>
      </c>
      <c r="D26" s="30" t="s">
        <v>1136</v>
      </c>
      <c r="E26" s="30" t="s">
        <v>1137</v>
      </c>
      <c r="F26" s="30" t="s">
        <v>1348</v>
      </c>
      <c r="G26" s="30" t="s">
        <v>1349</v>
      </c>
      <c r="H26" s="176">
        <v>4495.38</v>
      </c>
      <c r="I26" s="31">
        <v>46307</v>
      </c>
      <c r="J26" s="30">
        <v>11</v>
      </c>
      <c r="K26" s="10" t="s">
        <v>1067</v>
      </c>
      <c r="L26" s="10">
        <v>7410.6707551054906</v>
      </c>
      <c r="M26" s="10">
        <v>830.72843111111104</v>
      </c>
      <c r="N26" s="10">
        <f t="shared" si="0"/>
        <v>8241.3991862166022</v>
      </c>
      <c r="O26" s="10">
        <f t="shared" si="1"/>
        <v>749.21810783787294</v>
      </c>
      <c r="P26" s="175">
        <f t="shared" si="2"/>
        <v>164.85081917669896</v>
      </c>
    </row>
    <row r="27" spans="1:16" ht="13.2">
      <c r="A27" s="29" t="s">
        <v>772</v>
      </c>
      <c r="B27" s="30" t="s">
        <v>808</v>
      </c>
      <c r="C27" s="30" t="s">
        <v>857</v>
      </c>
      <c r="D27" s="30" t="s">
        <v>1201</v>
      </c>
      <c r="E27" s="30" t="s">
        <v>1202</v>
      </c>
      <c r="F27" s="30" t="s">
        <v>1350</v>
      </c>
      <c r="G27" s="30" t="s">
        <v>1351</v>
      </c>
      <c r="H27" s="176">
        <v>5328.91</v>
      </c>
      <c r="I27" s="30">
        <v>4</v>
      </c>
      <c r="J27" s="30">
        <v>4</v>
      </c>
      <c r="K27" s="10" t="s">
        <v>1067</v>
      </c>
      <c r="L27" s="10">
        <v>10238.669081709813</v>
      </c>
      <c r="M27" s="10">
        <v>529.08196727406653</v>
      </c>
      <c r="N27" s="10">
        <f t="shared" si="0"/>
        <v>10767.751048983881</v>
      </c>
      <c r="O27" s="10">
        <f t="shared" si="1"/>
        <v>2691.9377622459701</v>
      </c>
      <c r="P27" s="175">
        <f t="shared" si="2"/>
        <v>192.13439674736134</v>
      </c>
    </row>
    <row r="28" spans="1:16" ht="13.2">
      <c r="A28" s="21" t="s">
        <v>772</v>
      </c>
      <c r="B28" s="21" t="s">
        <v>808</v>
      </c>
      <c r="C28" s="21" t="s">
        <v>774</v>
      </c>
      <c r="D28" s="10" t="s">
        <v>720</v>
      </c>
      <c r="E28" s="10" t="s">
        <v>809</v>
      </c>
      <c r="F28" s="10" t="s">
        <v>1352</v>
      </c>
      <c r="G28" s="10" t="s">
        <v>811</v>
      </c>
      <c r="H28" s="175">
        <v>942.20499999999993</v>
      </c>
      <c r="I28" s="10">
        <v>6</v>
      </c>
      <c r="J28" s="10">
        <v>6</v>
      </c>
      <c r="K28" s="10" t="s">
        <v>755</v>
      </c>
      <c r="L28" s="10">
        <v>3573.0289588896321</v>
      </c>
      <c r="M28" s="10">
        <v>60.619579999999999</v>
      </c>
      <c r="N28" s="10">
        <f t="shared" si="0"/>
        <v>3633.6485388896322</v>
      </c>
      <c r="O28" s="10">
        <f t="shared" si="1"/>
        <v>605.60808981493869</v>
      </c>
      <c r="P28" s="175">
        <f t="shared" si="2"/>
        <v>379.21991062344523</v>
      </c>
    </row>
    <row r="29" spans="1:16" ht="13.2">
      <c r="A29" s="21" t="s">
        <v>772</v>
      </c>
      <c r="B29" s="21" t="s">
        <v>808</v>
      </c>
      <c r="C29" s="21" t="s">
        <v>774</v>
      </c>
      <c r="D29" s="10" t="s">
        <v>812</v>
      </c>
      <c r="E29" s="10" t="s">
        <v>227</v>
      </c>
      <c r="F29" s="10" t="s">
        <v>1353</v>
      </c>
      <c r="G29" s="10" t="s">
        <v>814</v>
      </c>
      <c r="H29" s="175">
        <v>3358.64</v>
      </c>
      <c r="I29" s="10">
        <v>6</v>
      </c>
      <c r="J29" s="10">
        <v>6</v>
      </c>
      <c r="K29" s="10" t="s">
        <v>755</v>
      </c>
      <c r="L29" s="10">
        <v>3698.1522028343079</v>
      </c>
      <c r="M29" s="10">
        <v>197.32663714285715</v>
      </c>
      <c r="N29" s="10">
        <f t="shared" si="0"/>
        <v>3895.4788399771651</v>
      </c>
      <c r="O29" s="10">
        <f t="shared" si="1"/>
        <v>649.24647332952748</v>
      </c>
      <c r="P29" s="175">
        <f t="shared" si="2"/>
        <v>110.10862143112413</v>
      </c>
    </row>
    <row r="30" spans="1:16" ht="13.2">
      <c r="A30" s="29" t="s">
        <v>772</v>
      </c>
      <c r="B30" s="30" t="s">
        <v>808</v>
      </c>
      <c r="C30" s="30" t="s">
        <v>774</v>
      </c>
      <c r="D30" s="30" t="s">
        <v>1140</v>
      </c>
      <c r="E30" s="30" t="s">
        <v>1141</v>
      </c>
      <c r="F30" s="30" t="s">
        <v>1354</v>
      </c>
      <c r="G30" s="30" t="s">
        <v>1143</v>
      </c>
      <c r="H30" s="176">
        <v>2551.36</v>
      </c>
      <c r="I30" s="31">
        <v>46181</v>
      </c>
      <c r="J30" s="30">
        <v>7</v>
      </c>
      <c r="K30" s="10" t="s">
        <v>1067</v>
      </c>
      <c r="L30" s="10">
        <v>5790.3724347257139</v>
      </c>
      <c r="M30" s="10">
        <v>317.59403746031745</v>
      </c>
      <c r="N30" s="10">
        <f t="shared" si="0"/>
        <v>6107.9664721860318</v>
      </c>
      <c r="O30" s="10">
        <f t="shared" si="1"/>
        <v>872.56663888371884</v>
      </c>
      <c r="P30" s="175">
        <f t="shared" si="2"/>
        <v>226.95238753941871</v>
      </c>
    </row>
    <row r="31" spans="1:16" ht="13.2">
      <c r="A31" s="29" t="s">
        <v>772</v>
      </c>
      <c r="B31" s="30" t="s">
        <v>808</v>
      </c>
      <c r="C31" s="30" t="s">
        <v>774</v>
      </c>
      <c r="D31" s="30" t="s">
        <v>1225</v>
      </c>
      <c r="E31" s="30" t="s">
        <v>1226</v>
      </c>
      <c r="F31" s="30" t="s">
        <v>1355</v>
      </c>
      <c r="G31" s="30" t="s">
        <v>1356</v>
      </c>
      <c r="H31" s="176">
        <v>1640.77</v>
      </c>
      <c r="I31" s="30">
        <v>25</v>
      </c>
      <c r="J31" s="30">
        <v>25</v>
      </c>
      <c r="K31" s="10" t="s">
        <v>1067</v>
      </c>
      <c r="L31" s="10">
        <v>4527.9831974686158</v>
      </c>
      <c r="M31" s="10">
        <v>185.33737108359037</v>
      </c>
      <c r="N31" s="10">
        <f t="shared" si="0"/>
        <v>4713.3205685522062</v>
      </c>
      <c r="O31" s="10">
        <f t="shared" si="1"/>
        <v>188.53282274208826</v>
      </c>
      <c r="P31" s="175">
        <f t="shared" si="2"/>
        <v>275.96696657475553</v>
      </c>
    </row>
    <row r="32" spans="1:16" ht="13.2">
      <c r="A32" s="29" t="s">
        <v>772</v>
      </c>
      <c r="B32" s="30" t="s">
        <v>808</v>
      </c>
      <c r="C32" s="30" t="s">
        <v>774</v>
      </c>
      <c r="D32" s="30" t="s">
        <v>1233</v>
      </c>
      <c r="E32" s="30" t="s">
        <v>1234</v>
      </c>
      <c r="F32" s="30" t="s">
        <v>1357</v>
      </c>
      <c r="G32" s="30" t="s">
        <v>1236</v>
      </c>
      <c r="H32" s="176">
        <v>2138.1949999999997</v>
      </c>
      <c r="I32" s="30">
        <v>30</v>
      </c>
      <c r="J32" s="30">
        <v>30</v>
      </c>
      <c r="K32" s="10" t="s">
        <v>1067</v>
      </c>
      <c r="L32" s="10">
        <v>16649.257332459689</v>
      </c>
      <c r="M32" s="10">
        <v>171.67357108359039</v>
      </c>
      <c r="N32" s="10">
        <f t="shared" si="0"/>
        <v>16820.930903543278</v>
      </c>
      <c r="O32" s="10">
        <f t="shared" si="1"/>
        <v>560.69769678477599</v>
      </c>
      <c r="P32" s="175">
        <f t="shared" si="2"/>
        <v>778.65944558188994</v>
      </c>
    </row>
    <row r="33" spans="1:16" ht="13.2">
      <c r="A33" s="29" t="s">
        <v>772</v>
      </c>
      <c r="B33" s="30" t="s">
        <v>808</v>
      </c>
      <c r="C33" s="30" t="s">
        <v>774</v>
      </c>
      <c r="D33" s="30" t="s">
        <v>1245</v>
      </c>
      <c r="E33" s="30" t="s">
        <v>1246</v>
      </c>
      <c r="F33" s="30" t="s">
        <v>1247</v>
      </c>
      <c r="G33" s="30" t="s">
        <v>1248</v>
      </c>
      <c r="H33" s="176">
        <v>454</v>
      </c>
      <c r="I33" s="30">
        <v>4</v>
      </c>
      <c r="J33" s="30">
        <v>4</v>
      </c>
      <c r="K33" s="10" t="s">
        <v>1067</v>
      </c>
      <c r="L33" s="10">
        <v>1570.9853207498782</v>
      </c>
      <c r="M33" s="10">
        <v>150.86261521057452</v>
      </c>
      <c r="N33" s="10">
        <f t="shared" si="0"/>
        <v>1721.8479359604526</v>
      </c>
      <c r="O33" s="10">
        <f t="shared" si="1"/>
        <v>430.46198399011314</v>
      </c>
      <c r="P33" s="175">
        <f t="shared" si="2"/>
        <v>346.03200897574413</v>
      </c>
    </row>
    <row r="34" spans="1:16" ht="13.2">
      <c r="A34" s="29" t="s">
        <v>772</v>
      </c>
      <c r="B34" s="30" t="s">
        <v>808</v>
      </c>
      <c r="C34" s="30" t="s">
        <v>774</v>
      </c>
      <c r="D34" s="30" t="s">
        <v>1257</v>
      </c>
      <c r="E34" s="30" t="s">
        <v>1258</v>
      </c>
      <c r="F34" s="30" t="s">
        <v>1358</v>
      </c>
      <c r="G34" s="30" t="s">
        <v>1260</v>
      </c>
      <c r="H34" s="176">
        <v>1188.71</v>
      </c>
      <c r="I34" s="30">
        <v>8</v>
      </c>
      <c r="J34" s="30">
        <v>8</v>
      </c>
      <c r="K34" s="10" t="s">
        <v>1067</v>
      </c>
      <c r="L34" s="10">
        <v>7234.2419500000005</v>
      </c>
      <c r="M34" s="10">
        <v>246.91684273504271</v>
      </c>
      <c r="N34" s="10">
        <f t="shared" si="0"/>
        <v>7481.1587927350429</v>
      </c>
      <c r="O34" s="10">
        <f t="shared" si="1"/>
        <v>935.14484909188036</v>
      </c>
      <c r="P34" s="175">
        <f t="shared" si="2"/>
        <v>608.5792119188028</v>
      </c>
    </row>
    <row r="35" spans="1:16" ht="13.2">
      <c r="A35" s="21" t="s">
        <v>772</v>
      </c>
      <c r="B35" s="21" t="s">
        <v>880</v>
      </c>
      <c r="C35" s="21" t="s">
        <v>857</v>
      </c>
      <c r="D35" s="10" t="s">
        <v>882</v>
      </c>
      <c r="E35" s="10" t="s">
        <v>883</v>
      </c>
      <c r="F35" s="10" t="s">
        <v>1359</v>
      </c>
      <c r="G35" s="24" t="s">
        <v>885</v>
      </c>
      <c r="H35" s="175">
        <v>3591.04</v>
      </c>
      <c r="I35" s="10">
        <v>6</v>
      </c>
      <c r="J35" s="10">
        <v>6</v>
      </c>
      <c r="K35" s="10" t="s">
        <v>755</v>
      </c>
      <c r="L35" s="10">
        <v>7026.1540689503126</v>
      </c>
      <c r="M35" s="10">
        <v>256.05303999999995</v>
      </c>
      <c r="N35" s="10">
        <f t="shared" si="0"/>
        <v>7282.2071089503124</v>
      </c>
      <c r="O35" s="10">
        <f t="shared" si="1"/>
        <v>1213.701184825052</v>
      </c>
      <c r="P35" s="175">
        <f t="shared" si="2"/>
        <v>195.65791717581291</v>
      </c>
    </row>
    <row r="36" spans="1:16" ht="13.2">
      <c r="A36" s="21" t="s">
        <v>772</v>
      </c>
      <c r="B36" s="21" t="s">
        <v>880</v>
      </c>
      <c r="C36" s="21" t="s">
        <v>857</v>
      </c>
      <c r="D36" s="10" t="s">
        <v>887</v>
      </c>
      <c r="E36" s="10" t="s">
        <v>888</v>
      </c>
      <c r="F36" s="10" t="s">
        <v>1360</v>
      </c>
      <c r="G36" s="10" t="s">
        <v>890</v>
      </c>
      <c r="H36" s="175">
        <v>2766.69</v>
      </c>
      <c r="I36" s="10">
        <v>6</v>
      </c>
      <c r="J36" s="10">
        <v>6</v>
      </c>
      <c r="K36" s="10" t="s">
        <v>755</v>
      </c>
      <c r="L36" s="10">
        <v>3718.3243290835926</v>
      </c>
      <c r="M36" s="10">
        <v>489.63968632478623</v>
      </c>
      <c r="N36" s="10">
        <f t="shared" si="0"/>
        <v>4207.9640154083791</v>
      </c>
      <c r="O36" s="10">
        <f t="shared" si="1"/>
        <v>701.32733590139651</v>
      </c>
      <c r="P36" s="175">
        <f t="shared" si="2"/>
        <v>134.39613144528633</v>
      </c>
    </row>
    <row r="37" spans="1:16" ht="13.2">
      <c r="A37" s="29" t="s">
        <v>772</v>
      </c>
      <c r="B37" s="30" t="s">
        <v>880</v>
      </c>
      <c r="C37" s="30" t="s">
        <v>857</v>
      </c>
      <c r="D37" s="30" t="s">
        <v>1109</v>
      </c>
      <c r="E37" s="30" t="s">
        <v>1110</v>
      </c>
      <c r="F37" s="30" t="s">
        <v>1361</v>
      </c>
      <c r="G37" s="30" t="s">
        <v>1112</v>
      </c>
      <c r="H37" s="176">
        <v>2183.21</v>
      </c>
      <c r="I37" s="30">
        <v>4</v>
      </c>
      <c r="J37" s="30">
        <v>4</v>
      </c>
      <c r="K37" s="10" t="s">
        <v>1067</v>
      </c>
      <c r="L37" s="10">
        <v>2973.7815835726733</v>
      </c>
      <c r="M37" s="10">
        <v>227.70724888888887</v>
      </c>
      <c r="N37" s="10">
        <f t="shared" si="0"/>
        <v>3201.4888324615622</v>
      </c>
      <c r="O37" s="10">
        <f t="shared" si="1"/>
        <v>800.37220811539055</v>
      </c>
      <c r="P37" s="175">
        <f t="shared" si="2"/>
        <v>136.21143103836431</v>
      </c>
    </row>
    <row r="38" spans="1:16" ht="13.2">
      <c r="A38" s="29" t="s">
        <v>772</v>
      </c>
      <c r="B38" s="30" t="s">
        <v>880</v>
      </c>
      <c r="C38" s="30" t="s">
        <v>857</v>
      </c>
      <c r="D38" s="30" t="s">
        <v>1113</v>
      </c>
      <c r="E38" s="30" t="s">
        <v>1114</v>
      </c>
      <c r="F38" s="30" t="s">
        <v>1362</v>
      </c>
      <c r="G38" s="30" t="s">
        <v>1116</v>
      </c>
      <c r="H38" s="176">
        <v>2779.7949999999996</v>
      </c>
      <c r="I38" s="31">
        <v>46181</v>
      </c>
      <c r="J38" s="30">
        <v>7</v>
      </c>
      <c r="K38" s="10" t="s">
        <v>1067</v>
      </c>
      <c r="L38" s="10">
        <v>3710.1950259750183</v>
      </c>
      <c r="M38" s="10">
        <v>431.69706793650789</v>
      </c>
      <c r="N38" s="10">
        <f t="shared" si="0"/>
        <v>4141.892093911526</v>
      </c>
      <c r="O38" s="10">
        <f t="shared" si="1"/>
        <v>591.69887055878939</v>
      </c>
      <c r="P38" s="175">
        <f t="shared" si="2"/>
        <v>133.47009495214644</v>
      </c>
    </row>
    <row r="39" spans="1:16" ht="13.2">
      <c r="A39" s="29" t="s">
        <v>772</v>
      </c>
      <c r="B39" s="30" t="s">
        <v>880</v>
      </c>
      <c r="C39" s="30" t="s">
        <v>857</v>
      </c>
      <c r="D39" s="30" t="s">
        <v>1117</v>
      </c>
      <c r="E39" s="30" t="s">
        <v>247</v>
      </c>
      <c r="F39" s="30" t="s">
        <v>1363</v>
      </c>
      <c r="G39" s="30" t="s">
        <v>1119</v>
      </c>
      <c r="H39" s="176">
        <v>1687.6849999999999</v>
      </c>
      <c r="I39" s="31">
        <v>46118</v>
      </c>
      <c r="J39" s="30">
        <v>5</v>
      </c>
      <c r="K39" s="10" t="s">
        <v>1067</v>
      </c>
      <c r="L39" s="10">
        <v>2971.5370248229015</v>
      </c>
      <c r="M39" s="10">
        <v>94.518359999999987</v>
      </c>
      <c r="N39" s="10">
        <f t="shared" si="0"/>
        <v>3066.0553848229015</v>
      </c>
      <c r="O39" s="10">
        <f t="shared" si="1"/>
        <v>613.21107696458034</v>
      </c>
      <c r="P39" s="175">
        <f t="shared" si="2"/>
        <v>176.07178026840919</v>
      </c>
    </row>
    <row r="40" spans="1:16" ht="13.2">
      <c r="A40" s="29" t="s">
        <v>772</v>
      </c>
      <c r="B40" s="30" t="s">
        <v>880</v>
      </c>
      <c r="C40" s="30" t="s">
        <v>857</v>
      </c>
      <c r="D40" s="30" t="s">
        <v>1120</v>
      </c>
      <c r="E40" s="30" t="s">
        <v>1121</v>
      </c>
      <c r="F40" s="30" t="s">
        <v>1364</v>
      </c>
      <c r="G40" s="30" t="s">
        <v>1123</v>
      </c>
      <c r="H40" s="176">
        <v>1316.81</v>
      </c>
      <c r="I40" s="31">
        <v>46057</v>
      </c>
      <c r="J40" s="30">
        <v>3</v>
      </c>
      <c r="K40" s="10" t="s">
        <v>1067</v>
      </c>
      <c r="L40" s="10">
        <v>2914.2290491044519</v>
      </c>
      <c r="M40" s="10">
        <v>305.2783789010989</v>
      </c>
      <c r="N40" s="10">
        <f t="shared" si="0"/>
        <v>3219.5074280055505</v>
      </c>
      <c r="O40" s="10">
        <f t="shared" si="1"/>
        <v>1073.1691426685168</v>
      </c>
      <c r="P40" s="175">
        <f t="shared" si="2"/>
        <v>221.30975988217375</v>
      </c>
    </row>
    <row r="41" spans="1:16" ht="13.2">
      <c r="A41" s="29" t="s">
        <v>772</v>
      </c>
      <c r="B41" s="30" t="s">
        <v>880</v>
      </c>
      <c r="C41" s="30" t="s">
        <v>857</v>
      </c>
      <c r="D41" s="30" t="s">
        <v>1124</v>
      </c>
      <c r="E41" s="30" t="s">
        <v>1125</v>
      </c>
      <c r="F41" s="30" t="s">
        <v>1365</v>
      </c>
      <c r="G41" s="30" t="s">
        <v>1127</v>
      </c>
      <c r="H41" s="176">
        <v>1832.09</v>
      </c>
      <c r="I41" s="30">
        <v>4</v>
      </c>
      <c r="J41" s="30">
        <v>4</v>
      </c>
      <c r="K41" s="10" t="s">
        <v>1067</v>
      </c>
      <c r="L41" s="10">
        <v>3491.4933269721496</v>
      </c>
      <c r="M41" s="10">
        <v>229.93541128205126</v>
      </c>
      <c r="N41" s="10">
        <f t="shared" si="0"/>
        <v>3721.4287382542007</v>
      </c>
      <c r="O41" s="10">
        <f t="shared" si="1"/>
        <v>930.35718456355016</v>
      </c>
      <c r="P41" s="175">
        <f t="shared" si="2"/>
        <v>190.57433461086245</v>
      </c>
    </row>
    <row r="42" spans="1:16" ht="13.2">
      <c r="A42" s="21" t="s">
        <v>772</v>
      </c>
      <c r="B42" s="21" t="s">
        <v>880</v>
      </c>
      <c r="C42" s="21" t="s">
        <v>774</v>
      </c>
      <c r="D42" s="10" t="s">
        <v>934</v>
      </c>
      <c r="E42" s="10" t="s">
        <v>935</v>
      </c>
      <c r="F42" s="10" t="s">
        <v>1366</v>
      </c>
      <c r="G42" s="10" t="s">
        <v>937</v>
      </c>
      <c r="H42" s="175">
        <v>1635</v>
      </c>
      <c r="I42" s="10">
        <v>6</v>
      </c>
      <c r="J42" s="10">
        <v>6</v>
      </c>
      <c r="K42" s="10" t="s">
        <v>755</v>
      </c>
      <c r="L42" s="10">
        <v>498.49000000000007</v>
      </c>
      <c r="M42" s="10">
        <v>87.456443479821928</v>
      </c>
      <c r="N42" s="10">
        <f t="shared" si="0"/>
        <v>585.94644347982194</v>
      </c>
      <c r="O42" s="10">
        <f t="shared" si="1"/>
        <v>97.657740579970323</v>
      </c>
      <c r="P42" s="175">
        <f t="shared" si="2"/>
        <v>30.488685015290525</v>
      </c>
    </row>
    <row r="43" spans="1:16" ht="13.2">
      <c r="A43" s="29" t="s">
        <v>772</v>
      </c>
      <c r="B43" s="30" t="s">
        <v>880</v>
      </c>
      <c r="C43" s="30" t="s">
        <v>774</v>
      </c>
      <c r="D43" s="30" t="s">
        <v>1221</v>
      </c>
      <c r="E43" s="30" t="s">
        <v>1222</v>
      </c>
      <c r="F43" s="30" t="s">
        <v>1367</v>
      </c>
      <c r="G43" s="30" t="s">
        <v>1224</v>
      </c>
      <c r="H43" s="176">
        <v>1887.9100000000003</v>
      </c>
      <c r="I43" s="30">
        <v>8</v>
      </c>
      <c r="J43" s="30">
        <v>8</v>
      </c>
      <c r="K43" s="10" t="s">
        <v>1067</v>
      </c>
      <c r="L43" s="10">
        <v>2538.9061802445144</v>
      </c>
      <c r="M43" s="10">
        <v>495.33657890109885</v>
      </c>
      <c r="N43" s="10">
        <f t="shared" si="0"/>
        <v>3034.2427591456135</v>
      </c>
      <c r="O43" s="10">
        <f t="shared" si="1"/>
        <v>379.28034489320169</v>
      </c>
      <c r="P43" s="175">
        <f t="shared" si="2"/>
        <v>134.48237364305047</v>
      </c>
    </row>
    <row r="44" spans="1:16" ht="13.2">
      <c r="A44" s="29" t="s">
        <v>772</v>
      </c>
      <c r="B44" s="29" t="s">
        <v>773</v>
      </c>
      <c r="C44" s="30" t="s">
        <v>857</v>
      </c>
      <c r="D44" s="30" t="s">
        <v>1147</v>
      </c>
      <c r="E44" s="30" t="s">
        <v>1148</v>
      </c>
      <c r="F44" s="30" t="s">
        <v>1368</v>
      </c>
      <c r="G44" s="30" t="s">
        <v>1150</v>
      </c>
      <c r="H44" s="176">
        <v>1828.96</v>
      </c>
      <c r="I44" s="30">
        <v>4</v>
      </c>
      <c r="J44" s="30">
        <v>4</v>
      </c>
      <c r="K44" s="10" t="s">
        <v>1067</v>
      </c>
      <c r="L44" s="10">
        <v>5264.2530011749968</v>
      </c>
      <c r="M44" s="10">
        <v>39.944159999999997</v>
      </c>
      <c r="N44" s="10">
        <f>SUM(L44+M44)</f>
        <v>5304.1971611749968</v>
      </c>
      <c r="O44" s="10">
        <f t="shared" si="1"/>
        <v>1326.0492902937492</v>
      </c>
      <c r="P44" s="175">
        <f t="shared" si="2"/>
        <v>287.82767262132558</v>
      </c>
    </row>
    <row r="45" spans="1:16" ht="13.2">
      <c r="A45" s="29" t="s">
        <v>772</v>
      </c>
      <c r="B45" s="29" t="s">
        <v>773</v>
      </c>
      <c r="C45" s="30" t="s">
        <v>857</v>
      </c>
      <c r="D45" s="30" t="s">
        <v>1152</v>
      </c>
      <c r="E45" s="30" t="s">
        <v>1369</v>
      </c>
      <c r="F45" s="30" t="s">
        <v>1370</v>
      </c>
      <c r="G45" s="30" t="s">
        <v>1371</v>
      </c>
      <c r="H45" s="176">
        <v>2319.7250000000004</v>
      </c>
      <c r="I45" s="31">
        <v>46118</v>
      </c>
      <c r="J45" s="30">
        <v>5</v>
      </c>
      <c r="K45" s="10" t="s">
        <v>1067</v>
      </c>
      <c r="L45" s="10">
        <v>5735.8681039047351</v>
      </c>
      <c r="M45" s="10">
        <v>277.68935159951161</v>
      </c>
      <c r="N45" s="10">
        <f t="shared" si="0"/>
        <v>6013.5574555042467</v>
      </c>
      <c r="O45" s="10">
        <f t="shared" si="1"/>
        <v>1202.7114911008493</v>
      </c>
      <c r="P45" s="175">
        <f t="shared" si="2"/>
        <v>247.26500356312638</v>
      </c>
    </row>
    <row r="46" spans="1:16" ht="13.2">
      <c r="A46" s="29" t="s">
        <v>772</v>
      </c>
      <c r="B46" s="29" t="s">
        <v>773</v>
      </c>
      <c r="C46" s="30" t="s">
        <v>857</v>
      </c>
      <c r="D46" s="30" t="s">
        <v>1155</v>
      </c>
      <c r="E46" s="30" t="s">
        <v>1156</v>
      </c>
      <c r="F46" s="30" t="s">
        <v>1157</v>
      </c>
      <c r="G46" s="30" t="s">
        <v>1158</v>
      </c>
      <c r="H46" s="176">
        <v>574.13</v>
      </c>
      <c r="I46" s="30">
        <v>4</v>
      </c>
      <c r="J46" s="30">
        <v>4</v>
      </c>
      <c r="K46" s="10" t="s">
        <v>1067</v>
      </c>
      <c r="L46" s="10">
        <v>1516.1664217380037</v>
      </c>
      <c r="M46" s="10">
        <v>29.898502857142859</v>
      </c>
      <c r="N46" s="10">
        <f t="shared" si="0"/>
        <v>1546.0649245951465</v>
      </c>
      <c r="O46" s="10">
        <f t="shared" si="1"/>
        <v>386.51623114878663</v>
      </c>
      <c r="P46" s="175">
        <f t="shared" si="2"/>
        <v>264.08068237820765</v>
      </c>
    </row>
    <row r="47" spans="1:16" ht="13.2">
      <c r="A47" s="29" t="s">
        <v>772</v>
      </c>
      <c r="B47" s="29" t="s">
        <v>773</v>
      </c>
      <c r="C47" s="30" t="s">
        <v>857</v>
      </c>
      <c r="D47" s="30" t="s">
        <v>1159</v>
      </c>
      <c r="E47" s="30" t="s">
        <v>1160</v>
      </c>
      <c r="F47" s="30" t="s">
        <v>1161</v>
      </c>
      <c r="G47" s="30" t="s">
        <v>1162</v>
      </c>
      <c r="H47" s="176">
        <v>1872.34</v>
      </c>
      <c r="I47" s="31">
        <v>46181</v>
      </c>
      <c r="J47" s="30">
        <v>7</v>
      </c>
      <c r="K47" s="10" t="s">
        <v>1067</v>
      </c>
      <c r="L47" s="10">
        <v>4782.118587306355</v>
      </c>
      <c r="M47" s="10">
        <v>235.094856996337</v>
      </c>
      <c r="N47" s="10">
        <f t="shared" si="0"/>
        <v>5017.2134443026916</v>
      </c>
      <c r="O47" s="10">
        <f t="shared" si="1"/>
        <v>716.74477775752734</v>
      </c>
      <c r="P47" s="175">
        <f t="shared" si="2"/>
        <v>255.40866441492224</v>
      </c>
    </row>
    <row r="48" spans="1:16" ht="13.2">
      <c r="A48" s="29" t="s">
        <v>772</v>
      </c>
      <c r="B48" s="29" t="s">
        <v>773</v>
      </c>
      <c r="C48" s="30" t="s">
        <v>857</v>
      </c>
      <c r="D48" s="30" t="s">
        <v>740</v>
      </c>
      <c r="E48" s="30" t="s">
        <v>1213</v>
      </c>
      <c r="F48" s="30" t="s">
        <v>1372</v>
      </c>
      <c r="G48" s="30" t="s">
        <v>1215</v>
      </c>
      <c r="H48" s="176">
        <v>2020.04</v>
      </c>
      <c r="I48" s="31">
        <v>46181</v>
      </c>
      <c r="J48" s="30">
        <v>7</v>
      </c>
      <c r="K48" s="10" t="s">
        <v>1067</v>
      </c>
      <c r="L48" s="10">
        <v>4451.5471982283507</v>
      </c>
      <c r="M48" s="10">
        <v>149.88402603174603</v>
      </c>
      <c r="N48" s="10">
        <f t="shared" si="0"/>
        <v>4601.4312242600963</v>
      </c>
      <c r="O48" s="10">
        <f t="shared" si="1"/>
        <v>657.34731775144235</v>
      </c>
      <c r="P48" s="175">
        <f t="shared" si="2"/>
        <v>220.3692599269495</v>
      </c>
    </row>
    <row r="49" spans="1:16" ht="13.2">
      <c r="A49" s="21" t="s">
        <v>772</v>
      </c>
      <c r="B49" s="21" t="s">
        <v>773</v>
      </c>
      <c r="C49" s="21" t="s">
        <v>857</v>
      </c>
      <c r="D49" s="10" t="s">
        <v>742</v>
      </c>
      <c r="E49" s="10" t="s">
        <v>858</v>
      </c>
      <c r="F49" s="10" t="s">
        <v>1373</v>
      </c>
      <c r="G49" s="10" t="s">
        <v>1374</v>
      </c>
      <c r="H49" s="175">
        <v>1839.24</v>
      </c>
      <c r="I49" s="23">
        <v>46181</v>
      </c>
      <c r="J49" s="10">
        <v>7</v>
      </c>
      <c r="K49" s="10" t="s">
        <v>755</v>
      </c>
      <c r="L49" s="37">
        <v>1786.6355862528105</v>
      </c>
      <c r="M49" s="10">
        <v>330.739226031746</v>
      </c>
      <c r="N49" s="10">
        <f t="shared" si="0"/>
        <v>2117.3748122845564</v>
      </c>
      <c r="O49" s="10">
        <f t="shared" si="1"/>
        <v>302.48211604065091</v>
      </c>
      <c r="P49" s="175">
        <f t="shared" si="2"/>
        <v>97.139883117636117</v>
      </c>
    </row>
    <row r="50" spans="1:16" ht="13.2">
      <c r="A50" s="21" t="s">
        <v>772</v>
      </c>
      <c r="B50" s="21" t="s">
        <v>773</v>
      </c>
      <c r="C50" s="21" t="s">
        <v>857</v>
      </c>
      <c r="D50" s="10" t="s">
        <v>861</v>
      </c>
      <c r="E50" s="10" t="s">
        <v>299</v>
      </c>
      <c r="F50" s="10" t="s">
        <v>1375</v>
      </c>
      <c r="G50" s="24" t="s">
        <v>1376</v>
      </c>
      <c r="H50" s="175">
        <v>2667.79</v>
      </c>
      <c r="I50" s="10">
        <v>6</v>
      </c>
      <c r="J50" s="10">
        <v>6</v>
      </c>
      <c r="K50" s="10" t="s">
        <v>755</v>
      </c>
      <c r="L50" s="10">
        <v>3953.2936935453613</v>
      </c>
      <c r="M50" s="10">
        <v>351.8870977777778</v>
      </c>
      <c r="N50" s="10">
        <f t="shared" si="0"/>
        <v>4305.1807913231387</v>
      </c>
      <c r="O50" s="10">
        <f t="shared" si="1"/>
        <v>717.53013188718978</v>
      </c>
      <c r="P50" s="175">
        <f t="shared" si="2"/>
        <v>148.18609011748904</v>
      </c>
    </row>
    <row r="51" spans="1:16" ht="13.2">
      <c r="A51" s="21" t="s">
        <v>772</v>
      </c>
      <c r="B51" s="21" t="s">
        <v>773</v>
      </c>
      <c r="C51" s="21" t="s">
        <v>857</v>
      </c>
      <c r="D51" s="10" t="s">
        <v>868</v>
      </c>
      <c r="E51" s="10" t="s">
        <v>869</v>
      </c>
      <c r="F51" s="10" t="s">
        <v>1377</v>
      </c>
      <c r="G51" s="10" t="s">
        <v>871</v>
      </c>
      <c r="H51" s="175">
        <v>2005.3882500000002</v>
      </c>
      <c r="I51" s="10">
        <v>6</v>
      </c>
      <c r="J51" s="10">
        <v>6</v>
      </c>
      <c r="K51" s="10" t="s">
        <v>755</v>
      </c>
      <c r="L51" s="10">
        <v>3884.3794499366295</v>
      </c>
      <c r="M51" s="10">
        <v>71.261533333333333</v>
      </c>
      <c r="N51" s="10">
        <f t="shared" si="0"/>
        <v>3955.6409832699628</v>
      </c>
      <c r="O51" s="10">
        <f t="shared" si="1"/>
        <v>659.27349721166047</v>
      </c>
      <c r="P51" s="175">
        <f t="shared" si="2"/>
        <v>193.69712822126235</v>
      </c>
    </row>
    <row r="52" spans="1:16" ht="13.2">
      <c r="A52" s="21" t="s">
        <v>772</v>
      </c>
      <c r="B52" s="21" t="s">
        <v>773</v>
      </c>
      <c r="C52" s="21" t="s">
        <v>857</v>
      </c>
      <c r="D52" s="10" t="s">
        <v>872</v>
      </c>
      <c r="E52" s="10" t="s">
        <v>873</v>
      </c>
      <c r="F52" s="10" t="s">
        <v>1378</v>
      </c>
      <c r="G52" s="10" t="s">
        <v>875</v>
      </c>
      <c r="H52" s="175">
        <v>2596.1</v>
      </c>
      <c r="I52" s="10">
        <v>6</v>
      </c>
      <c r="J52" s="10">
        <v>6</v>
      </c>
      <c r="K52" s="10" t="s">
        <v>755</v>
      </c>
      <c r="L52" s="10">
        <v>7530.0875157406872</v>
      </c>
      <c r="M52" s="10">
        <v>462.00219179487175</v>
      </c>
      <c r="N52" s="10">
        <f t="shared" si="0"/>
        <v>7992.0897075355588</v>
      </c>
      <c r="O52" s="10">
        <f t="shared" si="1"/>
        <v>1332.0149512559265</v>
      </c>
      <c r="P52" s="175">
        <f t="shared" si="2"/>
        <v>290.05383135243972</v>
      </c>
    </row>
    <row r="53" spans="1:16" ht="13.2">
      <c r="A53" s="21" t="s">
        <v>772</v>
      </c>
      <c r="B53" s="21" t="s">
        <v>773</v>
      </c>
      <c r="C53" s="21" t="s">
        <v>857</v>
      </c>
      <c r="D53" s="10" t="s">
        <v>876</v>
      </c>
      <c r="E53" s="10" t="s">
        <v>877</v>
      </c>
      <c r="F53" s="10" t="s">
        <v>1379</v>
      </c>
      <c r="G53" s="10" t="s">
        <v>879</v>
      </c>
      <c r="H53" s="175">
        <v>3425.3724999999999</v>
      </c>
      <c r="I53" s="23">
        <v>46181</v>
      </c>
      <c r="J53" s="10">
        <v>7</v>
      </c>
      <c r="K53" s="10" t="s">
        <v>755</v>
      </c>
      <c r="L53" s="10">
        <v>5491.9526753498776</v>
      </c>
      <c r="M53" s="10">
        <v>421.55593523809523</v>
      </c>
      <c r="N53" s="10">
        <f t="shared" si="0"/>
        <v>5913.5086105879727</v>
      </c>
      <c r="O53" s="10">
        <f t="shared" si="1"/>
        <v>844.78694436971034</v>
      </c>
      <c r="P53" s="175">
        <f t="shared" si="2"/>
        <v>160.33154570341992</v>
      </c>
    </row>
    <row r="54" spans="1:16" ht="13.2">
      <c r="A54" s="29" t="s">
        <v>772</v>
      </c>
      <c r="B54" s="29" t="s">
        <v>773</v>
      </c>
      <c r="C54" s="30" t="s">
        <v>774</v>
      </c>
      <c r="D54" s="30" t="s">
        <v>1249</v>
      </c>
      <c r="E54" s="30" t="s">
        <v>1250</v>
      </c>
      <c r="F54" s="30" t="s">
        <v>1380</v>
      </c>
      <c r="G54" s="30" t="s">
        <v>1252</v>
      </c>
      <c r="H54" s="176">
        <v>1495.5449999999998</v>
      </c>
      <c r="I54" s="30">
        <v>30</v>
      </c>
      <c r="J54" s="30">
        <v>30</v>
      </c>
      <c r="K54" s="10" t="s">
        <v>1067</v>
      </c>
      <c r="L54" s="10">
        <v>3355.0109129702328</v>
      </c>
      <c r="M54" s="10">
        <v>268.44545076613008</v>
      </c>
      <c r="N54" s="10">
        <f t="shared" si="0"/>
        <v>3623.4563637363626</v>
      </c>
      <c r="O54" s="10">
        <f t="shared" si="1"/>
        <v>120.78187879121209</v>
      </c>
      <c r="P54" s="175">
        <f t="shared" si="2"/>
        <v>224.33366518361086</v>
      </c>
    </row>
    <row r="55" spans="1:16" ht="13.2">
      <c r="A55" s="21" t="s">
        <v>772</v>
      </c>
      <c r="B55" s="21" t="s">
        <v>773</v>
      </c>
      <c r="C55" s="21" t="s">
        <v>774</v>
      </c>
      <c r="D55" s="10" t="s">
        <v>776</v>
      </c>
      <c r="E55" s="10" t="s">
        <v>777</v>
      </c>
      <c r="F55" s="10" t="s">
        <v>1381</v>
      </c>
      <c r="G55" s="10" t="s">
        <v>779</v>
      </c>
      <c r="H55" s="175">
        <v>1115.3600000000001</v>
      </c>
      <c r="I55" s="10" t="s">
        <v>1382</v>
      </c>
      <c r="J55" s="10">
        <v>25</v>
      </c>
      <c r="K55" s="10" t="s">
        <v>755</v>
      </c>
      <c r="L55" s="10">
        <v>3279.9716847637951</v>
      </c>
      <c r="M55" s="10">
        <v>199.40234064880246</v>
      </c>
      <c r="N55" s="10">
        <f t="shared" si="0"/>
        <v>3479.3740254125978</v>
      </c>
      <c r="O55" s="10">
        <f t="shared" si="1"/>
        <v>139.17496101650391</v>
      </c>
      <c r="P55" s="175">
        <f t="shared" si="2"/>
        <v>294.07291679491777</v>
      </c>
    </row>
    <row r="56" spans="1:16" ht="13.2">
      <c r="A56" s="21" t="s">
        <v>772</v>
      </c>
      <c r="B56" s="21" t="s">
        <v>773</v>
      </c>
      <c r="C56" s="21" t="s">
        <v>774</v>
      </c>
      <c r="D56" s="10" t="s">
        <v>804</v>
      </c>
      <c r="E56" s="10" t="s">
        <v>805</v>
      </c>
      <c r="F56" s="10" t="s">
        <v>1383</v>
      </c>
      <c r="G56" s="10" t="s">
        <v>807</v>
      </c>
      <c r="H56" s="175">
        <v>1256.1100000000001</v>
      </c>
      <c r="I56" s="10">
        <v>20</v>
      </c>
      <c r="J56" s="10">
        <v>20</v>
      </c>
      <c r="K56" s="10" t="s">
        <v>755</v>
      </c>
      <c r="L56" s="10">
        <v>1019.6787815920245</v>
      </c>
      <c r="M56" s="10">
        <v>210.24880985515171</v>
      </c>
      <c r="N56" s="10">
        <f t="shared" si="0"/>
        <v>1229.9275914471762</v>
      </c>
      <c r="O56" s="10">
        <f t="shared" si="1"/>
        <v>61.496379572358805</v>
      </c>
      <c r="P56" s="175">
        <f t="shared" si="2"/>
        <v>81.177506873762994</v>
      </c>
    </row>
    <row r="57" spans="1:16" ht="13.2">
      <c r="A57" s="21" t="s">
        <v>772</v>
      </c>
      <c r="B57" s="21" t="s">
        <v>773</v>
      </c>
      <c r="C57" s="21" t="s">
        <v>774</v>
      </c>
      <c r="D57" s="10" t="s">
        <v>853</v>
      </c>
      <c r="E57" s="10" t="s">
        <v>854</v>
      </c>
      <c r="F57" s="10" t="s">
        <v>1384</v>
      </c>
      <c r="G57" s="10" t="s">
        <v>856</v>
      </c>
      <c r="H57" s="175">
        <v>1087.2950000000001</v>
      </c>
      <c r="I57" s="10">
        <v>8</v>
      </c>
      <c r="J57" s="10">
        <v>8</v>
      </c>
      <c r="K57" s="10" t="s">
        <v>755</v>
      </c>
      <c r="L57" s="10">
        <v>2621.5785879242735</v>
      </c>
      <c r="M57" s="10">
        <v>121.36910524725275</v>
      </c>
      <c r="N57" s="10">
        <f t="shared" si="0"/>
        <v>2742.9476931715262</v>
      </c>
      <c r="O57" s="10">
        <f t="shared" si="1"/>
        <v>342.86846164644078</v>
      </c>
      <c r="P57" s="175">
        <f t="shared" si="2"/>
        <v>241.11014838882485</v>
      </c>
    </row>
    <row r="58" spans="1:16" ht="13.2">
      <c r="A58" s="21" t="s">
        <v>772</v>
      </c>
      <c r="B58" s="21" t="s">
        <v>773</v>
      </c>
      <c r="C58" s="21" t="s">
        <v>774</v>
      </c>
      <c r="D58" s="10" t="s">
        <v>864</v>
      </c>
      <c r="E58" s="10" t="s">
        <v>865</v>
      </c>
      <c r="F58" s="10" t="s">
        <v>1385</v>
      </c>
      <c r="G58" s="10" t="s">
        <v>1386</v>
      </c>
      <c r="H58" s="175">
        <v>2239.73</v>
      </c>
      <c r="I58" s="10">
        <v>8</v>
      </c>
      <c r="J58" s="10">
        <v>8</v>
      </c>
      <c r="K58" s="10" t="s">
        <v>755</v>
      </c>
      <c r="L58" s="10">
        <v>6235.2408705953285</v>
      </c>
      <c r="M58" s="10">
        <v>130.66679999999999</v>
      </c>
      <c r="N58" s="10">
        <f t="shared" si="0"/>
        <v>6365.9076705953285</v>
      </c>
      <c r="O58" s="10">
        <f t="shared" si="1"/>
        <v>795.73845882441606</v>
      </c>
      <c r="P58" s="175">
        <f t="shared" si="2"/>
        <v>278.3925236789849</v>
      </c>
    </row>
    <row r="59" spans="1:16" ht="13.2">
      <c r="A59" s="29" t="s">
        <v>793</v>
      </c>
      <c r="B59" s="30" t="s">
        <v>799</v>
      </c>
      <c r="C59" s="30" t="s">
        <v>857</v>
      </c>
      <c r="D59" s="30" t="s">
        <v>1163</v>
      </c>
      <c r="E59" s="30" t="s">
        <v>1164</v>
      </c>
      <c r="F59" s="30" t="s">
        <v>1387</v>
      </c>
      <c r="G59" s="30" t="s">
        <v>1388</v>
      </c>
      <c r="H59" s="176">
        <v>2103.02</v>
      </c>
      <c r="I59" s="31">
        <v>46118</v>
      </c>
      <c r="J59" s="30">
        <v>5</v>
      </c>
      <c r="K59" s="10" t="s">
        <v>1067</v>
      </c>
      <c r="L59" s="10">
        <v>2806.9386290778261</v>
      </c>
      <c r="M59" s="10">
        <v>65.642535238095235</v>
      </c>
      <c r="N59" s="10">
        <f t="shared" si="0"/>
        <v>2872.5811643159213</v>
      </c>
      <c r="O59" s="10">
        <f t="shared" si="1"/>
        <v>574.51623286318431</v>
      </c>
      <c r="P59" s="175">
        <f t="shared" si="2"/>
        <v>133.47179908311981</v>
      </c>
    </row>
    <row r="60" spans="1:16" ht="13.2">
      <c r="A60" s="21" t="s">
        <v>793</v>
      </c>
      <c r="B60" s="21" t="s">
        <v>799</v>
      </c>
      <c r="C60" s="21" t="s">
        <v>774</v>
      </c>
      <c r="D60" s="10" t="s">
        <v>800</v>
      </c>
      <c r="E60" s="10" t="s">
        <v>801</v>
      </c>
      <c r="F60" s="10" t="s">
        <v>802</v>
      </c>
      <c r="G60" s="10" t="s">
        <v>803</v>
      </c>
      <c r="H60" s="175">
        <v>735</v>
      </c>
      <c r="I60" s="10">
        <v>6</v>
      </c>
      <c r="J60" s="10">
        <v>6</v>
      </c>
      <c r="K60" s="10" t="s">
        <v>755</v>
      </c>
      <c r="L60" s="10">
        <v>341.4</v>
      </c>
      <c r="M60" s="10">
        <v>9.6232000000000006</v>
      </c>
      <c r="N60" s="10">
        <f t="shared" si="0"/>
        <v>351.02319999999997</v>
      </c>
      <c r="O60" s="10">
        <f t="shared" si="1"/>
        <v>58.50386666666666</v>
      </c>
      <c r="P60" s="175">
        <f t="shared" si="2"/>
        <v>46.448979591836732</v>
      </c>
    </row>
    <row r="61" spans="1:16" ht="13.2">
      <c r="A61" s="21" t="s">
        <v>793</v>
      </c>
      <c r="B61" s="21" t="s">
        <v>799</v>
      </c>
      <c r="C61" s="21" t="s">
        <v>774</v>
      </c>
      <c r="D61" s="10" t="s">
        <v>815</v>
      </c>
      <c r="E61" s="10" t="s">
        <v>816</v>
      </c>
      <c r="F61" s="10" t="s">
        <v>817</v>
      </c>
      <c r="G61" s="10" t="s">
        <v>818</v>
      </c>
      <c r="H61" s="175">
        <v>790.95999999999992</v>
      </c>
      <c r="I61" s="10">
        <v>6</v>
      </c>
      <c r="J61" s="10">
        <v>6</v>
      </c>
      <c r="K61" s="10" t="s">
        <v>755</v>
      </c>
      <c r="L61" s="10">
        <v>51.212699304223008</v>
      </c>
      <c r="M61" s="10">
        <v>288.2756424949082</v>
      </c>
      <c r="N61" s="10">
        <f t="shared" si="0"/>
        <v>339.48834179913121</v>
      </c>
      <c r="O61" s="10">
        <f t="shared" si="1"/>
        <v>56.581390299855201</v>
      </c>
      <c r="P61" s="175">
        <f t="shared" si="2"/>
        <v>6.4747521118922586</v>
      </c>
    </row>
    <row r="62" spans="1:16" ht="13.2">
      <c r="A62" s="32" t="s">
        <v>793</v>
      </c>
      <c r="B62" s="32" t="s">
        <v>799</v>
      </c>
      <c r="C62" s="32" t="s">
        <v>774</v>
      </c>
      <c r="D62" s="18" t="s">
        <v>924</v>
      </c>
      <c r="E62" s="18" t="s">
        <v>925</v>
      </c>
      <c r="F62" s="18" t="s">
        <v>926</v>
      </c>
      <c r="G62" s="18" t="s">
        <v>927</v>
      </c>
      <c r="H62" s="177">
        <v>1045.2049999999999</v>
      </c>
      <c r="I62" s="18">
        <v>6</v>
      </c>
      <c r="J62" s="18">
        <v>6</v>
      </c>
      <c r="K62" s="10" t="s">
        <v>755</v>
      </c>
      <c r="L62" s="10">
        <v>1120.6829914332152</v>
      </c>
      <c r="M62" s="10">
        <v>124.60708</v>
      </c>
      <c r="N62" s="10">
        <f t="shared" si="0"/>
        <v>1245.2900714332152</v>
      </c>
      <c r="O62" s="10">
        <f t="shared" si="1"/>
        <v>207.54834523886919</v>
      </c>
      <c r="P62" s="175">
        <f t="shared" si="2"/>
        <v>107.22135766985571</v>
      </c>
    </row>
    <row r="63" spans="1:16" ht="13.2">
      <c r="A63" s="21" t="s">
        <v>793</v>
      </c>
      <c r="B63" s="21" t="s">
        <v>799</v>
      </c>
      <c r="C63" s="21" t="s">
        <v>774</v>
      </c>
      <c r="D63" s="10" t="s">
        <v>722</v>
      </c>
      <c r="E63" s="10" t="s">
        <v>928</v>
      </c>
      <c r="F63" s="10" t="s">
        <v>929</v>
      </c>
      <c r="G63" s="10" t="s">
        <v>930</v>
      </c>
      <c r="H63" s="175">
        <v>910.61</v>
      </c>
      <c r="I63" s="10">
        <v>6</v>
      </c>
      <c r="J63" s="10">
        <v>6</v>
      </c>
      <c r="K63" s="10" t="s">
        <v>755</v>
      </c>
      <c r="L63" s="10">
        <v>352.54987953116495</v>
      </c>
      <c r="M63" s="10">
        <v>16.629483333333333</v>
      </c>
      <c r="N63" s="10">
        <f t="shared" si="0"/>
        <v>369.17936286449827</v>
      </c>
      <c r="O63" s="10">
        <f t="shared" si="1"/>
        <v>61.529893810749712</v>
      </c>
      <c r="P63" s="175">
        <f t="shared" si="2"/>
        <v>38.715792658895126</v>
      </c>
    </row>
    <row r="64" spans="1:16" ht="13.2">
      <c r="A64" s="21" t="s">
        <v>793</v>
      </c>
      <c r="B64" s="21" t="s">
        <v>799</v>
      </c>
      <c r="C64" s="21" t="s">
        <v>774</v>
      </c>
      <c r="D64" s="10" t="s">
        <v>719</v>
      </c>
      <c r="E64" s="10" t="s">
        <v>931</v>
      </c>
      <c r="F64" s="10" t="s">
        <v>932</v>
      </c>
      <c r="G64" s="10" t="s">
        <v>933</v>
      </c>
      <c r="H64" s="175">
        <v>1482.0650000000001</v>
      </c>
      <c r="I64" s="10">
        <v>6</v>
      </c>
      <c r="J64" s="10">
        <v>6</v>
      </c>
      <c r="K64" s="10" t="s">
        <v>755</v>
      </c>
      <c r="L64" s="10">
        <v>569.91497499725824</v>
      </c>
      <c r="M64" s="10">
        <v>363.96617333333336</v>
      </c>
      <c r="N64" s="10">
        <f t="shared" si="0"/>
        <v>933.8811483305916</v>
      </c>
      <c r="O64" s="10">
        <f t="shared" si="1"/>
        <v>155.64685805509859</v>
      </c>
      <c r="P64" s="175">
        <f t="shared" si="2"/>
        <v>38.454114697888301</v>
      </c>
    </row>
    <row r="65" spans="1:16" ht="13.2">
      <c r="A65" s="21" t="s">
        <v>793</v>
      </c>
      <c r="B65" s="21" t="s">
        <v>799</v>
      </c>
      <c r="C65" s="21" t="s">
        <v>774</v>
      </c>
      <c r="D65" s="10" t="s">
        <v>942</v>
      </c>
      <c r="E65" s="10" t="s">
        <v>943</v>
      </c>
      <c r="F65" s="10" t="s">
        <v>1389</v>
      </c>
      <c r="G65" s="10" t="s">
        <v>1390</v>
      </c>
      <c r="H65" s="175">
        <v>558.73</v>
      </c>
      <c r="I65" s="10">
        <v>6</v>
      </c>
      <c r="J65" s="10">
        <v>6</v>
      </c>
      <c r="K65" s="10" t="s">
        <v>755</v>
      </c>
      <c r="L65" s="10">
        <v>179.1304125516414</v>
      </c>
      <c r="M65" s="10">
        <v>29.893280000000001</v>
      </c>
      <c r="N65" s="10">
        <f t="shared" si="0"/>
        <v>209.0236925516414</v>
      </c>
      <c r="O65" s="10">
        <f t="shared" si="1"/>
        <v>34.837282091940232</v>
      </c>
      <c r="P65" s="175">
        <f t="shared" si="2"/>
        <v>32.060281809038599</v>
      </c>
    </row>
    <row r="66" spans="1:16" ht="13.2">
      <c r="A66" s="21" t="s">
        <v>793</v>
      </c>
      <c r="B66" s="21" t="s">
        <v>799</v>
      </c>
      <c r="C66" s="21" t="s">
        <v>774</v>
      </c>
      <c r="D66" s="10" t="s">
        <v>946</v>
      </c>
      <c r="E66" s="10" t="s">
        <v>947</v>
      </c>
      <c r="F66" s="10" t="s">
        <v>1391</v>
      </c>
      <c r="G66" s="10" t="s">
        <v>949</v>
      </c>
      <c r="H66" s="175">
        <v>560</v>
      </c>
      <c r="I66" s="10">
        <v>6</v>
      </c>
      <c r="J66" s="10">
        <v>6</v>
      </c>
      <c r="K66" s="10" t="s">
        <v>755</v>
      </c>
      <c r="L66" s="10">
        <v>89.429198193550022</v>
      </c>
      <c r="M66" s="10">
        <v>81.665900000000008</v>
      </c>
      <c r="N66" s="10">
        <f t="shared" si="0"/>
        <v>171.09509819355003</v>
      </c>
      <c r="O66" s="10">
        <f t="shared" si="1"/>
        <v>28.515849698925006</v>
      </c>
      <c r="P66" s="175">
        <f t="shared" si="2"/>
        <v>15.969499677419646</v>
      </c>
    </row>
    <row r="67" spans="1:16" ht="13.2">
      <c r="A67" s="21" t="s">
        <v>793</v>
      </c>
      <c r="B67" s="21" t="s">
        <v>799</v>
      </c>
      <c r="C67" s="21" t="s">
        <v>774</v>
      </c>
      <c r="D67" s="10" t="s">
        <v>962</v>
      </c>
      <c r="E67" s="10" t="s">
        <v>963</v>
      </c>
      <c r="F67" s="10" t="s">
        <v>1392</v>
      </c>
      <c r="G67" s="10" t="s">
        <v>965</v>
      </c>
      <c r="H67" s="175">
        <v>785.42499999999995</v>
      </c>
      <c r="I67" s="10">
        <v>6</v>
      </c>
      <c r="J67" s="10">
        <v>6</v>
      </c>
      <c r="K67" s="10" t="s">
        <v>755</v>
      </c>
      <c r="L67" s="10">
        <v>485.73980687645076</v>
      </c>
      <c r="M67" s="10">
        <v>0</v>
      </c>
      <c r="N67" s="10">
        <f t="shared" si="0"/>
        <v>485.73980687645076</v>
      </c>
      <c r="O67" s="10">
        <f t="shared" si="1"/>
        <v>80.956634479408464</v>
      </c>
      <c r="P67" s="175">
        <f t="shared" si="2"/>
        <v>61.844199876048101</v>
      </c>
    </row>
    <row r="68" spans="1:16" ht="13.2">
      <c r="A68" s="21" t="s">
        <v>793</v>
      </c>
      <c r="B68" s="21" t="s">
        <v>799</v>
      </c>
      <c r="C68" s="21" t="s">
        <v>774</v>
      </c>
      <c r="D68" s="10" t="s">
        <v>966</v>
      </c>
      <c r="E68" s="10" t="s">
        <v>967</v>
      </c>
      <c r="F68" s="10" t="s">
        <v>1393</v>
      </c>
      <c r="G68" s="10" t="s">
        <v>969</v>
      </c>
      <c r="H68" s="175">
        <v>672.42</v>
      </c>
      <c r="I68" s="23">
        <v>46024</v>
      </c>
      <c r="J68" s="10">
        <v>1.5</v>
      </c>
      <c r="K68" s="10" t="s">
        <v>755</v>
      </c>
      <c r="L68" s="10">
        <v>821.48849836030013</v>
      </c>
      <c r="M68" s="10">
        <v>0</v>
      </c>
      <c r="N68" s="10">
        <f t="shared" si="0"/>
        <v>821.48849836030013</v>
      </c>
      <c r="O68" s="10">
        <f t="shared" si="1"/>
        <v>547.65899890686671</v>
      </c>
      <c r="P68" s="175">
        <f t="shared" si="2"/>
        <v>122.16895665808575</v>
      </c>
    </row>
    <row r="69" spans="1:16" ht="13.2">
      <c r="A69" s="29" t="s">
        <v>793</v>
      </c>
      <c r="B69" s="30" t="s">
        <v>799</v>
      </c>
      <c r="C69" s="30" t="s">
        <v>1179</v>
      </c>
      <c r="D69" s="30" t="s">
        <v>1180</v>
      </c>
      <c r="E69" s="30" t="s">
        <v>1181</v>
      </c>
      <c r="F69" s="30" t="s">
        <v>1182</v>
      </c>
      <c r="G69" s="30" t="s">
        <v>1183</v>
      </c>
      <c r="H69" s="176">
        <v>1229.9549999999999</v>
      </c>
      <c r="I69" s="30">
        <v>6</v>
      </c>
      <c r="J69" s="30">
        <v>6</v>
      </c>
      <c r="K69" s="10" t="s">
        <v>1067</v>
      </c>
      <c r="L69" s="10">
        <v>486.69371055531491</v>
      </c>
      <c r="M69" s="10">
        <v>61.173902857142849</v>
      </c>
      <c r="N69" s="10">
        <f t="shared" si="0"/>
        <v>547.86761341245779</v>
      </c>
      <c r="O69" s="10">
        <f t="shared" si="1"/>
        <v>91.311268902076293</v>
      </c>
      <c r="P69" s="175">
        <f t="shared" si="2"/>
        <v>39.570042038555471</v>
      </c>
    </row>
    <row r="70" spans="1:16" ht="13.2">
      <c r="A70" s="29" t="s">
        <v>793</v>
      </c>
      <c r="B70" s="30" t="s">
        <v>799</v>
      </c>
      <c r="C70" s="30" t="s">
        <v>774</v>
      </c>
      <c r="D70" s="30" t="s">
        <v>1216</v>
      </c>
      <c r="E70" s="30" t="s">
        <v>1217</v>
      </c>
      <c r="F70" s="30" t="s">
        <v>1394</v>
      </c>
      <c r="G70" s="30" t="s">
        <v>1219</v>
      </c>
      <c r="H70" s="176">
        <v>3288.66</v>
      </c>
      <c r="I70" s="31">
        <v>46118</v>
      </c>
      <c r="J70" s="30">
        <v>5</v>
      </c>
      <c r="K70" s="10" t="s">
        <v>1067</v>
      </c>
      <c r="L70" s="10">
        <v>960.4055320897761</v>
      </c>
      <c r="M70" s="10">
        <v>285.86306761904763</v>
      </c>
      <c r="N70" s="10">
        <f t="shared" si="0"/>
        <v>1246.2685997088238</v>
      </c>
      <c r="O70" s="10">
        <f t="shared" si="1"/>
        <v>249.25371994176476</v>
      </c>
      <c r="P70" s="175">
        <f t="shared" si="2"/>
        <v>29.203551966143539</v>
      </c>
    </row>
    <row r="71" spans="1:16" ht="13.2">
      <c r="A71" s="29" t="s">
        <v>793</v>
      </c>
      <c r="B71" s="30" t="s">
        <v>799</v>
      </c>
      <c r="C71" s="30" t="s">
        <v>774</v>
      </c>
      <c r="D71" s="30" t="s">
        <v>1261</v>
      </c>
      <c r="E71" s="30" t="s">
        <v>1262</v>
      </c>
      <c r="F71" s="30" t="s">
        <v>1263</v>
      </c>
      <c r="G71" s="30" t="s">
        <v>1264</v>
      </c>
      <c r="H71" s="176">
        <v>558.54</v>
      </c>
      <c r="I71" s="31">
        <v>46181</v>
      </c>
      <c r="J71" s="30">
        <v>7</v>
      </c>
      <c r="K71" s="10" t="s">
        <v>1067</v>
      </c>
      <c r="L71" s="10">
        <v>487.40829930238726</v>
      </c>
      <c r="M71" s="10">
        <v>0</v>
      </c>
      <c r="N71" s="10">
        <f t="shared" si="0"/>
        <v>487.40829930238726</v>
      </c>
      <c r="O71" s="10">
        <f t="shared" si="1"/>
        <v>69.629757043198182</v>
      </c>
      <c r="P71" s="175">
        <f t="shared" si="2"/>
        <v>87.264707863785461</v>
      </c>
    </row>
    <row r="72" spans="1:16" ht="13.2">
      <c r="A72" s="29" t="s">
        <v>793</v>
      </c>
      <c r="B72" s="30" t="s">
        <v>794</v>
      </c>
      <c r="C72" s="30" t="s">
        <v>857</v>
      </c>
      <c r="D72" s="30" t="s">
        <v>1184</v>
      </c>
      <c r="E72" s="30" t="s">
        <v>1185</v>
      </c>
      <c r="F72" s="30" t="s">
        <v>1395</v>
      </c>
      <c r="G72" s="30" t="s">
        <v>1187</v>
      </c>
      <c r="H72" s="176">
        <v>266.66499999999996</v>
      </c>
      <c r="I72" s="30">
        <v>4</v>
      </c>
      <c r="J72" s="30">
        <v>4</v>
      </c>
      <c r="K72" s="10" t="s">
        <v>1067</v>
      </c>
      <c r="L72" s="10">
        <v>1036.9849910402106</v>
      </c>
      <c r="M72" s="10">
        <v>202.52405846153846</v>
      </c>
      <c r="N72" s="10">
        <f t="shared" si="0"/>
        <v>1239.5090495017491</v>
      </c>
      <c r="O72" s="10">
        <f t="shared" si="1"/>
        <v>309.87726237543728</v>
      </c>
      <c r="P72" s="175">
        <f t="shared" si="2"/>
        <v>388.87180208884206</v>
      </c>
    </row>
    <row r="73" spans="1:16" ht="13.2">
      <c r="A73" s="21" t="s">
        <v>793</v>
      </c>
      <c r="B73" s="21" t="s">
        <v>794</v>
      </c>
      <c r="C73" s="21" t="s">
        <v>774</v>
      </c>
      <c r="D73" s="10" t="s">
        <v>795</v>
      </c>
      <c r="E73" s="10" t="s">
        <v>796</v>
      </c>
      <c r="F73" s="10" t="s">
        <v>1396</v>
      </c>
      <c r="G73" s="10" t="s">
        <v>798</v>
      </c>
      <c r="H73" s="175">
        <v>634.6099999999999</v>
      </c>
      <c r="I73" s="10">
        <v>6</v>
      </c>
      <c r="J73" s="10">
        <v>6</v>
      </c>
      <c r="K73" s="10" t="s">
        <v>755</v>
      </c>
      <c r="L73" s="10">
        <v>297.67809999999997</v>
      </c>
      <c r="M73" s="10">
        <v>108.43204249490822</v>
      </c>
      <c r="N73" s="10">
        <f t="shared" si="0"/>
        <v>406.11014249490819</v>
      </c>
      <c r="O73" s="10">
        <f t="shared" si="1"/>
        <v>67.68502374915137</v>
      </c>
      <c r="P73" s="175">
        <f t="shared" si="2"/>
        <v>46.90725012212225</v>
      </c>
    </row>
    <row r="74" spans="1:16" ht="13.2">
      <c r="A74" s="21" t="s">
        <v>793</v>
      </c>
      <c r="B74" s="21" t="s">
        <v>794</v>
      </c>
      <c r="C74" s="21" t="s">
        <v>774</v>
      </c>
      <c r="D74" s="10" t="s">
        <v>938</v>
      </c>
      <c r="E74" s="10" t="s">
        <v>939</v>
      </c>
      <c r="F74" s="10" t="s">
        <v>940</v>
      </c>
      <c r="G74" s="10" t="s">
        <v>941</v>
      </c>
      <c r="H74" s="175">
        <v>1292.55</v>
      </c>
      <c r="I74" s="10">
        <v>6</v>
      </c>
      <c r="J74" s="10">
        <v>6</v>
      </c>
      <c r="K74" s="10" t="s">
        <v>755</v>
      </c>
      <c r="L74" s="10">
        <v>1960.5882000000001</v>
      </c>
      <c r="M74" s="10">
        <v>34.263336507936508</v>
      </c>
      <c r="N74" s="10">
        <f t="shared" si="0"/>
        <v>1994.8515365079365</v>
      </c>
      <c r="O74" s="10">
        <f t="shared" si="1"/>
        <v>332.47525608465611</v>
      </c>
      <c r="P74" s="175">
        <f t="shared" si="2"/>
        <v>151.68374144133691</v>
      </c>
    </row>
    <row r="75" spans="1:16" ht="13.2">
      <c r="A75" s="21" t="s">
        <v>793</v>
      </c>
      <c r="B75" s="21" t="s">
        <v>794</v>
      </c>
      <c r="C75" s="21" t="s">
        <v>774</v>
      </c>
      <c r="D75" s="18" t="s">
        <v>950</v>
      </c>
      <c r="E75" s="10" t="s">
        <v>951</v>
      </c>
      <c r="F75" s="10" t="s">
        <v>952</v>
      </c>
      <c r="G75" s="10" t="s">
        <v>953</v>
      </c>
      <c r="H75" s="175">
        <v>811.1099999999999</v>
      </c>
      <c r="I75" s="10">
        <v>6</v>
      </c>
      <c r="J75" s="10">
        <v>6</v>
      </c>
      <c r="K75" s="10" t="s">
        <v>755</v>
      </c>
      <c r="L75" s="10">
        <v>734.42276980454903</v>
      </c>
      <c r="M75" s="10">
        <v>61.182159999999996</v>
      </c>
      <c r="N75" s="10">
        <f t="shared" si="0"/>
        <v>795.60492980454899</v>
      </c>
      <c r="O75" s="10">
        <f t="shared" si="1"/>
        <v>132.60082163409149</v>
      </c>
      <c r="P75" s="175">
        <f t="shared" si="2"/>
        <v>90.545397024392386</v>
      </c>
    </row>
    <row r="76" spans="1:16" ht="13.2">
      <c r="A76" s="21" t="s">
        <v>793</v>
      </c>
      <c r="B76" s="21" t="s">
        <v>794</v>
      </c>
      <c r="C76" s="21" t="s">
        <v>774</v>
      </c>
      <c r="D76" s="18" t="s">
        <v>954</v>
      </c>
      <c r="E76" s="10" t="s">
        <v>955</v>
      </c>
      <c r="F76" s="10" t="s">
        <v>956</v>
      </c>
      <c r="G76" s="10" t="s">
        <v>957</v>
      </c>
      <c r="H76" s="175">
        <v>784.51</v>
      </c>
      <c r="I76" s="10">
        <v>6</v>
      </c>
      <c r="J76" s="10">
        <v>6</v>
      </c>
      <c r="K76" s="10" t="s">
        <v>755</v>
      </c>
      <c r="L76" s="10">
        <v>752.47492729958276</v>
      </c>
      <c r="M76" s="10">
        <v>53.964759999999998</v>
      </c>
      <c r="N76" s="10">
        <f t="shared" si="0"/>
        <v>806.43968729958272</v>
      </c>
      <c r="O76" s="10">
        <f t="shared" si="1"/>
        <v>134.40661454993045</v>
      </c>
      <c r="P76" s="175">
        <f t="shared" si="2"/>
        <v>95.91655011403077</v>
      </c>
    </row>
    <row r="77" spans="1:16" ht="13.2">
      <c r="A77" s="21" t="s">
        <v>793</v>
      </c>
      <c r="B77" s="21" t="s">
        <v>794</v>
      </c>
      <c r="C77" s="21" t="s">
        <v>774</v>
      </c>
      <c r="D77" s="10" t="s">
        <v>958</v>
      </c>
      <c r="E77" s="10" t="s">
        <v>959</v>
      </c>
      <c r="F77" s="10" t="s">
        <v>960</v>
      </c>
      <c r="G77" s="10" t="s">
        <v>961</v>
      </c>
      <c r="H77" s="175">
        <v>366.47500000000002</v>
      </c>
      <c r="I77" s="10">
        <v>6</v>
      </c>
      <c r="J77" s="10">
        <v>6</v>
      </c>
      <c r="K77" s="10" t="s">
        <v>755</v>
      </c>
      <c r="L77" s="10">
        <v>234.08160781534667</v>
      </c>
      <c r="M77" s="10">
        <v>53.619759999999992</v>
      </c>
      <c r="N77" s="10">
        <f t="shared" si="0"/>
        <v>287.70136781534666</v>
      </c>
      <c r="O77" s="10">
        <f t="shared" si="1"/>
        <v>47.950227969224443</v>
      </c>
      <c r="P77" s="175">
        <f t="shared" si="2"/>
        <v>63.873827086526141</v>
      </c>
    </row>
    <row r="78" spans="1:16" ht="13.2">
      <c r="A78" s="21" t="s">
        <v>793</v>
      </c>
      <c r="B78" s="21" t="s">
        <v>794</v>
      </c>
      <c r="C78" s="21" t="s">
        <v>774</v>
      </c>
      <c r="D78" s="10" t="s">
        <v>1017</v>
      </c>
      <c r="E78" s="10" t="s">
        <v>1018</v>
      </c>
      <c r="F78" s="10" t="s">
        <v>1397</v>
      </c>
      <c r="G78" s="10" t="s">
        <v>1398</v>
      </c>
      <c r="H78" s="175">
        <v>983.76</v>
      </c>
      <c r="I78" s="10">
        <v>24</v>
      </c>
      <c r="J78" s="10">
        <v>24</v>
      </c>
      <c r="K78" s="10" t="s">
        <v>755</v>
      </c>
      <c r="L78" s="10">
        <v>1578.2876988709688</v>
      </c>
      <c r="M78" s="10">
        <v>129.79116632478633</v>
      </c>
      <c r="N78" s="10">
        <f t="shared" si="0"/>
        <v>1708.078865195755</v>
      </c>
      <c r="O78" s="10">
        <f t="shared" si="1"/>
        <v>71.169952716489789</v>
      </c>
      <c r="P78" s="175">
        <f t="shared" si="2"/>
        <v>160.43422164663829</v>
      </c>
    </row>
    <row r="79" spans="1:16" ht="13.2">
      <c r="A79" s="21" t="s">
        <v>793</v>
      </c>
      <c r="B79" s="21" t="s">
        <v>794</v>
      </c>
      <c r="C79" s="21" t="s">
        <v>774</v>
      </c>
      <c r="D79" s="10" t="s">
        <v>1021</v>
      </c>
      <c r="E79" s="10" t="s">
        <v>462</v>
      </c>
      <c r="F79" s="10" t="s">
        <v>1399</v>
      </c>
      <c r="G79" s="10" t="s">
        <v>1023</v>
      </c>
      <c r="H79" s="175">
        <v>1732.35</v>
      </c>
      <c r="I79" s="10">
        <v>24</v>
      </c>
      <c r="J79" s="10">
        <v>24</v>
      </c>
      <c r="K79" s="10" t="s">
        <v>755</v>
      </c>
      <c r="L79" s="37">
        <v>5538.6373605935569</v>
      </c>
      <c r="M79" s="37">
        <v>147.75734417582419</v>
      </c>
      <c r="N79" s="10">
        <f t="shared" si="0"/>
        <v>5686.394704769381</v>
      </c>
      <c r="O79" s="10">
        <f t="shared" si="1"/>
        <v>236.93311269872422</v>
      </c>
      <c r="P79" s="175">
        <f t="shared" si="2"/>
        <v>319.71814936898187</v>
      </c>
    </row>
    <row r="80" spans="1:16" ht="13.2">
      <c r="A80" s="29" t="s">
        <v>793</v>
      </c>
      <c r="B80" s="30" t="s">
        <v>794</v>
      </c>
      <c r="C80" s="30" t="s">
        <v>774</v>
      </c>
      <c r="D80" s="30" t="s">
        <v>1167</v>
      </c>
      <c r="E80" s="30" t="s">
        <v>1168</v>
      </c>
      <c r="F80" s="30" t="s">
        <v>1169</v>
      </c>
      <c r="G80" s="30" t="s">
        <v>1170</v>
      </c>
      <c r="H80" s="176">
        <v>981.02500000000009</v>
      </c>
      <c r="I80" s="30">
        <v>8</v>
      </c>
      <c r="J80" s="30">
        <v>8</v>
      </c>
      <c r="K80" s="10" t="s">
        <v>1067</v>
      </c>
      <c r="L80" s="10">
        <v>351.24095</v>
      </c>
      <c r="M80" s="10">
        <v>483.56410752136759</v>
      </c>
      <c r="N80" s="10">
        <f t="shared" si="0"/>
        <v>834.80505752136764</v>
      </c>
      <c r="O80" s="10">
        <f t="shared" si="1"/>
        <v>104.35063219017096</v>
      </c>
      <c r="P80" s="175">
        <f t="shared" si="2"/>
        <v>35.803465762850081</v>
      </c>
    </row>
    <row r="81" spans="1:16" ht="13.2">
      <c r="A81" s="29" t="s">
        <v>793</v>
      </c>
      <c r="B81" s="30" t="s">
        <v>794</v>
      </c>
      <c r="C81" s="30" t="s">
        <v>774</v>
      </c>
      <c r="D81" s="30" t="s">
        <v>1171</v>
      </c>
      <c r="E81" s="30" t="s">
        <v>1172</v>
      </c>
      <c r="F81" s="30" t="s">
        <v>1400</v>
      </c>
      <c r="G81" s="30" t="s">
        <v>1174</v>
      </c>
      <c r="H81" s="176">
        <v>1091.17</v>
      </c>
      <c r="I81" s="31">
        <v>46181</v>
      </c>
      <c r="J81" s="30">
        <v>7</v>
      </c>
      <c r="K81" s="10" t="s">
        <v>1067</v>
      </c>
      <c r="L81" s="10">
        <v>290.90353689180608</v>
      </c>
      <c r="M81" s="10">
        <v>68.391031111111104</v>
      </c>
      <c r="N81" s="10">
        <f t="shared" si="0"/>
        <v>359.29456800291717</v>
      </c>
      <c r="O81" s="10">
        <f t="shared" si="1"/>
        <v>51.327795428988168</v>
      </c>
      <c r="P81" s="175">
        <f t="shared" si="2"/>
        <v>26.659781417359902</v>
      </c>
    </row>
    <row r="82" spans="1:16" ht="13.2">
      <c r="A82" s="29" t="s">
        <v>793</v>
      </c>
      <c r="B82" s="30" t="s">
        <v>794</v>
      </c>
      <c r="C82" s="30" t="s">
        <v>774</v>
      </c>
      <c r="D82" s="30" t="s">
        <v>1175</v>
      </c>
      <c r="E82" s="30" t="s">
        <v>1176</v>
      </c>
      <c r="F82" s="30" t="s">
        <v>1177</v>
      </c>
      <c r="G82" s="30" t="s">
        <v>1178</v>
      </c>
      <c r="H82" s="176">
        <v>1118</v>
      </c>
      <c r="I82" s="31">
        <v>46181</v>
      </c>
      <c r="J82" s="30">
        <v>7</v>
      </c>
      <c r="K82" s="10" t="s">
        <v>1067</v>
      </c>
      <c r="L82" s="10">
        <v>124.33199999999999</v>
      </c>
      <c r="M82" s="10">
        <v>101.72283333333333</v>
      </c>
      <c r="N82" s="10">
        <f t="shared" si="0"/>
        <v>226.05483333333331</v>
      </c>
      <c r="O82" s="10">
        <f t="shared" si="1"/>
        <v>32.293547619047615</v>
      </c>
      <c r="P82" s="175">
        <f t="shared" si="2"/>
        <v>11.120930232558139</v>
      </c>
    </row>
    <row r="83" spans="1:16" ht="13.2">
      <c r="A83" s="29" t="s">
        <v>793</v>
      </c>
      <c r="B83" s="30" t="s">
        <v>794</v>
      </c>
      <c r="C83" s="30" t="s">
        <v>774</v>
      </c>
      <c r="D83" s="30" t="s">
        <v>1237</v>
      </c>
      <c r="E83" s="30" t="s">
        <v>1238</v>
      </c>
      <c r="F83" s="30" t="s">
        <v>1401</v>
      </c>
      <c r="G83" s="30" t="s">
        <v>1240</v>
      </c>
      <c r="H83" s="176">
        <v>2220.25</v>
      </c>
      <c r="I83" s="30">
        <v>6</v>
      </c>
      <c r="J83" s="30">
        <v>6</v>
      </c>
      <c r="K83" s="10" t="s">
        <v>1067</v>
      </c>
      <c r="L83" s="10">
        <v>6423.0199999178894</v>
      </c>
      <c r="M83" s="10">
        <v>223.68265485171162</v>
      </c>
      <c r="N83" s="10">
        <f t="shared" si="0"/>
        <v>6646.7026547696014</v>
      </c>
      <c r="O83" s="10">
        <f t="shared" si="1"/>
        <v>1107.7837757949335</v>
      </c>
      <c r="P83" s="175">
        <f t="shared" si="2"/>
        <v>289.29264722071343</v>
      </c>
    </row>
    <row r="84" spans="1:16" ht="13.2">
      <c r="A84" s="29" t="s">
        <v>793</v>
      </c>
      <c r="B84" s="30" t="s">
        <v>794</v>
      </c>
      <c r="C84" s="30" t="s">
        <v>774</v>
      </c>
      <c r="D84" s="30" t="s">
        <v>1241</v>
      </c>
      <c r="E84" s="30" t="s">
        <v>1242</v>
      </c>
      <c r="F84" s="30" t="s">
        <v>1402</v>
      </c>
      <c r="G84" s="30" t="s">
        <v>1244</v>
      </c>
      <c r="H84" s="176">
        <v>753.04</v>
      </c>
      <c r="I84" s="30">
        <v>250</v>
      </c>
      <c r="J84" s="30">
        <v>250</v>
      </c>
      <c r="K84" s="10" t="s">
        <v>1067</v>
      </c>
      <c r="L84" s="10">
        <v>1366.3448776483892</v>
      </c>
      <c r="M84" s="10">
        <v>107.28771704517705</v>
      </c>
      <c r="N84" s="10">
        <f t="shared" si="0"/>
        <v>1473.6325946935663</v>
      </c>
      <c r="O84" s="10">
        <f t="shared" si="1"/>
        <v>5.8945303787742649</v>
      </c>
      <c r="P84" s="175">
        <f t="shared" si="2"/>
        <v>181.44386455545379</v>
      </c>
    </row>
    <row r="85" spans="1:16" ht="13.2">
      <c r="A85" s="18"/>
      <c r="B85" s="18"/>
      <c r="C85" s="18"/>
      <c r="D85" s="18"/>
      <c r="E85" s="18"/>
      <c r="F85" s="18"/>
      <c r="G85" s="18"/>
      <c r="H85" s="18"/>
      <c r="I85" s="18"/>
    </row>
    <row r="86" spans="1:16" ht="13.2">
      <c r="A86" s="18"/>
      <c r="B86" s="18"/>
      <c r="C86" s="18"/>
      <c r="D86" s="18"/>
      <c r="E86" s="18"/>
      <c r="F86" s="18"/>
      <c r="G86" s="18"/>
      <c r="H86" s="18"/>
      <c r="I86" s="18"/>
    </row>
    <row r="87" spans="1:16" ht="13.2">
      <c r="A87" s="18"/>
      <c r="B87" s="18"/>
      <c r="C87" s="18"/>
      <c r="D87" s="18"/>
      <c r="E87" s="18"/>
      <c r="F87" s="18"/>
      <c r="G87" s="18"/>
      <c r="H87" s="18"/>
      <c r="I87" s="18"/>
    </row>
    <row r="88" spans="1:16" ht="13.2">
      <c r="A88" s="18" t="s">
        <v>5437</v>
      </c>
      <c r="B88" s="18"/>
      <c r="C88" s="18"/>
      <c r="D88" s="18"/>
      <c r="E88" s="18"/>
      <c r="F88" s="18"/>
      <c r="G88" s="18"/>
      <c r="H88" s="18"/>
      <c r="I88" s="18"/>
    </row>
    <row r="89" spans="1:16" ht="13.2">
      <c r="A89" s="32"/>
      <c r="B89" s="18"/>
      <c r="C89" s="18"/>
      <c r="D89" s="18"/>
      <c r="E89" s="18"/>
      <c r="F89" s="18"/>
      <c r="G89" s="18"/>
      <c r="H89" s="18"/>
      <c r="I89" s="18"/>
    </row>
    <row r="90" spans="1:16" ht="13.2">
      <c r="A90" s="10" t="s">
        <v>772</v>
      </c>
      <c r="B90" s="10" t="s">
        <v>808</v>
      </c>
      <c r="C90" s="10" t="s">
        <v>1040</v>
      </c>
      <c r="D90" s="10">
        <f>COUNTIFS(A2:A84,"Meat",B2:B84,"Pork",C2:C84,"Main")</f>
        <v>6</v>
      </c>
    </row>
    <row r="91" spans="1:16" ht="13.2">
      <c r="A91" s="10">
        <f>COUNTIF(A2:A84,"Meat")</f>
        <v>57</v>
      </c>
      <c r="B91" s="10">
        <f>COUNTIFS(A2:A84,"Meat",B2:B84,"Pork")</f>
        <v>13</v>
      </c>
      <c r="C91" s="10" t="s">
        <v>774</v>
      </c>
      <c r="D91" s="10">
        <f>COUNTIFS(A2:A84,"Meat",B2:B84,"Pork",C2:C84,"Side")</f>
        <v>7</v>
      </c>
    </row>
    <row r="92" spans="1:16" ht="13.2">
      <c r="B92" s="10" t="s">
        <v>780</v>
      </c>
      <c r="C92" s="10" t="s">
        <v>1040</v>
      </c>
      <c r="D92" s="10">
        <f>COUNTIFS(A2:A84,"Meat",B2:B84,"Beef",C2:C84,"Main")</f>
        <v>17</v>
      </c>
    </row>
    <row r="93" spans="1:16" ht="13.2">
      <c r="B93" s="10">
        <f>COUNTIFS(A2:A84,"Meat",B2:B84,"Beef")</f>
        <v>20</v>
      </c>
      <c r="C93" s="10" t="s">
        <v>774</v>
      </c>
      <c r="D93" s="10">
        <f>COUNTIFS(A2:A84,"Meat",B2:B84,"Beef",C2:C84,"Side")</f>
        <v>3</v>
      </c>
    </row>
    <row r="94" spans="1:16" ht="13.2">
      <c r="B94" s="10" t="s">
        <v>880</v>
      </c>
      <c r="C94" s="10" t="s">
        <v>1040</v>
      </c>
      <c r="D94" s="10">
        <f>COUNTIFS(A2:A84,"Meat",B2:B84,"Poultry",C2:C84,"Main")</f>
        <v>7</v>
      </c>
    </row>
    <row r="95" spans="1:16" ht="13.2">
      <c r="B95" s="10">
        <f>COUNTIFS(A2:A84,"Meat",B2:B84,"Poultry")</f>
        <v>9</v>
      </c>
      <c r="C95" s="10" t="s">
        <v>774</v>
      </c>
      <c r="D95" s="10">
        <f>COUNTIFS(A2:A84,"Meat",B2:B84,"Poultry",C2:C84,"Side")</f>
        <v>2</v>
      </c>
    </row>
    <row r="96" spans="1:16" ht="13.2">
      <c r="B96" s="10" t="s">
        <v>1041</v>
      </c>
      <c r="C96" s="10" t="s">
        <v>1040</v>
      </c>
      <c r="D96" s="10">
        <f>COUNTIFS(A2:A84,"Meat",B2:B84,"Sea food ",C2:C84,"Main")</f>
        <v>10</v>
      </c>
    </row>
    <row r="97" spans="1:4" ht="13.2">
      <c r="B97" s="10">
        <f>COUNTIFS(A2:A84,"Meat",B2:B84,"Sea food ")</f>
        <v>15</v>
      </c>
      <c r="C97" s="10" t="s">
        <v>774</v>
      </c>
      <c r="D97" s="10">
        <f>COUNTIFS(A2:A84,"Meat",B2:B84,"Sea food ",C2:C84,"Side")</f>
        <v>5</v>
      </c>
    </row>
    <row r="98" spans="1:4" ht="13.2">
      <c r="A98" s="10" t="s">
        <v>1042</v>
      </c>
      <c r="B98" s="10" t="s">
        <v>799</v>
      </c>
      <c r="C98" s="10" t="s">
        <v>1040</v>
      </c>
      <c r="D98" s="10">
        <f>COUNTIFS(A2:A84,"No meat",B2:B84,"Vegan",C2:C84,"Main")</f>
        <v>1</v>
      </c>
    </row>
    <row r="99" spans="1:4" ht="13.2">
      <c r="A99" s="10">
        <f>COUNTIF(A2:A84,"No meat")</f>
        <v>26</v>
      </c>
      <c r="B99" s="10">
        <f>COUNTIFS(A2:A84,"No meat",B2:B84,"Vegan")</f>
        <v>13</v>
      </c>
      <c r="C99" s="10" t="s">
        <v>774</v>
      </c>
      <c r="D99" s="10">
        <f>COUNTIFS(A2:A84,"No meat",B2:B84,"Vegan",C2:C84,"Side")</f>
        <v>12</v>
      </c>
    </row>
    <row r="100" spans="1:4" ht="13.2">
      <c r="B100" s="10" t="s">
        <v>794</v>
      </c>
      <c r="C100" s="10" t="s">
        <v>1040</v>
      </c>
      <c r="D100" s="10">
        <f>COUNTIFS(A2:A84,"No meat",B2:B84,"Vegetarian",C2:C84,"Main")</f>
        <v>1</v>
      </c>
    </row>
    <row r="101" spans="1:4" ht="13.2">
      <c r="B101" s="10">
        <f>COUNTIFS(A2:A84,"No meat",B2:B84,"Vegetarian")</f>
        <v>13</v>
      </c>
      <c r="C101" s="10" t="s">
        <v>774</v>
      </c>
      <c r="D101" s="10">
        <f>COUNTIFS(A2:A84,"No meat",B2:B84,"Vegetarian",C2:C84,"Side")</f>
        <v>12</v>
      </c>
    </row>
    <row r="106" spans="1:4" ht="13.2">
      <c r="A106" s="22" t="s">
        <v>1043</v>
      </c>
      <c r="B106" s="22" t="s">
        <v>857</v>
      </c>
      <c r="C106" s="22" t="s">
        <v>774</v>
      </c>
    </row>
    <row r="107" spans="1:4" ht="13.2">
      <c r="A107" s="10" t="s">
        <v>808</v>
      </c>
      <c r="B107" s="10">
        <v>6</v>
      </c>
      <c r="C107" s="10">
        <v>8</v>
      </c>
    </row>
    <row r="108" spans="1:4" ht="13.2">
      <c r="A108" s="10" t="s">
        <v>780</v>
      </c>
      <c r="B108" s="10">
        <v>16</v>
      </c>
      <c r="C108" s="10">
        <v>3</v>
      </c>
    </row>
    <row r="109" spans="1:4" ht="13.2">
      <c r="A109" s="10" t="s">
        <v>880</v>
      </c>
      <c r="B109" s="10">
        <v>7</v>
      </c>
      <c r="C109" s="10">
        <v>2</v>
      </c>
    </row>
    <row r="110" spans="1:4" ht="13.2">
      <c r="A110" s="10" t="s">
        <v>1044</v>
      </c>
      <c r="B110" s="10">
        <v>11</v>
      </c>
      <c r="C110" s="10">
        <v>5</v>
      </c>
    </row>
    <row r="111" spans="1:4" ht="13.2">
      <c r="A111" s="10" t="s">
        <v>799</v>
      </c>
      <c r="B111" s="10">
        <v>1</v>
      </c>
      <c r="C111" s="10">
        <v>12</v>
      </c>
    </row>
    <row r="112" spans="1:4" ht="13.2">
      <c r="A112" s="10" t="s">
        <v>794</v>
      </c>
      <c r="B112" s="10">
        <v>1</v>
      </c>
      <c r="C112" s="10">
        <v>12</v>
      </c>
    </row>
    <row r="113" spans="1:9" ht="13.2">
      <c r="C113" s="10" t="s">
        <v>639</v>
      </c>
    </row>
    <row r="114" spans="1:9" ht="13.2">
      <c r="A114" s="32" t="s">
        <v>1045</v>
      </c>
      <c r="B114" s="18" t="s">
        <v>1046</v>
      </c>
      <c r="C114" s="18" t="s">
        <v>1047</v>
      </c>
      <c r="D114" s="18"/>
      <c r="E114" s="18"/>
      <c r="F114" s="18"/>
      <c r="G114" s="18"/>
      <c r="H114" s="18"/>
      <c r="I114" s="18"/>
    </row>
    <row r="115" spans="1:9" ht="13.2">
      <c r="A115" s="32" t="s">
        <v>1048</v>
      </c>
      <c r="B115" s="18"/>
      <c r="C115" s="18">
        <v>0</v>
      </c>
      <c r="D115" s="18"/>
      <c r="E115" s="18"/>
      <c r="F115" s="18"/>
      <c r="G115" s="18"/>
      <c r="H115" s="18"/>
      <c r="I115" s="18"/>
    </row>
    <row r="116" spans="1:9" ht="13.2">
      <c r="A116" s="32" t="s">
        <v>772</v>
      </c>
      <c r="B116" s="18" t="s">
        <v>1048</v>
      </c>
      <c r="C116" s="18">
        <v>0</v>
      </c>
      <c r="D116" s="18"/>
      <c r="E116" s="18"/>
      <c r="F116" s="18"/>
      <c r="G116" s="18"/>
      <c r="H116" s="18"/>
      <c r="I116" s="18"/>
    </row>
    <row r="117" spans="1:9" ht="13.2">
      <c r="A117" s="32" t="s">
        <v>808</v>
      </c>
      <c r="B117" s="18" t="s">
        <v>772</v>
      </c>
      <c r="C117" s="18">
        <v>0</v>
      </c>
      <c r="D117" s="18"/>
      <c r="E117" s="18"/>
      <c r="F117" s="18"/>
      <c r="G117" s="18"/>
      <c r="H117" s="38"/>
      <c r="I117" s="18"/>
    </row>
    <row r="118" spans="1:9" ht="13.2">
      <c r="A118" s="32" t="s">
        <v>1049</v>
      </c>
      <c r="B118" s="18" t="s">
        <v>808</v>
      </c>
      <c r="C118" s="18">
        <v>6</v>
      </c>
      <c r="D118" s="18"/>
      <c r="E118" s="18"/>
      <c r="F118" s="18"/>
      <c r="G118" s="18"/>
      <c r="H118" s="18"/>
      <c r="I118" s="18"/>
    </row>
    <row r="119" spans="1:9" ht="13.2">
      <c r="A119" s="32" t="s">
        <v>1050</v>
      </c>
      <c r="B119" s="18" t="s">
        <v>808</v>
      </c>
      <c r="C119" s="18">
        <v>8</v>
      </c>
      <c r="D119" s="18"/>
      <c r="E119" s="18"/>
      <c r="F119" s="18"/>
      <c r="G119" s="18"/>
      <c r="H119" s="18"/>
      <c r="I119" s="18"/>
    </row>
    <row r="120" spans="1:9" ht="13.2">
      <c r="A120" s="32" t="s">
        <v>780</v>
      </c>
      <c r="B120" s="18" t="s">
        <v>772</v>
      </c>
      <c r="C120" s="18">
        <v>0</v>
      </c>
      <c r="D120" s="18"/>
      <c r="E120" s="18"/>
      <c r="F120" s="18"/>
      <c r="G120" s="18"/>
      <c r="H120" s="18"/>
      <c r="I120" s="18"/>
    </row>
    <row r="121" spans="1:9" ht="13.2">
      <c r="A121" s="32" t="s">
        <v>1052</v>
      </c>
      <c r="B121" s="18" t="s">
        <v>780</v>
      </c>
      <c r="C121" s="39">
        <v>16</v>
      </c>
      <c r="D121" s="18"/>
      <c r="E121" s="18"/>
      <c r="F121" s="18"/>
      <c r="G121" s="18"/>
      <c r="H121" s="18"/>
      <c r="I121" s="18"/>
    </row>
    <row r="122" spans="1:9" ht="13.2">
      <c r="A122" s="32" t="s">
        <v>1053</v>
      </c>
      <c r="B122" s="18" t="s">
        <v>780</v>
      </c>
      <c r="C122" s="39">
        <v>3</v>
      </c>
      <c r="D122" s="18"/>
      <c r="E122" s="18"/>
      <c r="F122" s="18"/>
      <c r="G122" s="18"/>
      <c r="H122" s="18"/>
      <c r="I122" s="18"/>
    </row>
    <row r="123" spans="1:9" ht="13.2">
      <c r="A123" s="18" t="s">
        <v>880</v>
      </c>
      <c r="B123" s="18" t="s">
        <v>772</v>
      </c>
      <c r="C123" s="18">
        <v>0</v>
      </c>
      <c r="D123" s="18"/>
      <c r="E123" s="18"/>
      <c r="F123" s="18"/>
      <c r="G123" s="18"/>
      <c r="H123" s="18"/>
      <c r="I123" s="18"/>
    </row>
    <row r="124" spans="1:9" ht="13.2">
      <c r="A124" s="18" t="s">
        <v>1055</v>
      </c>
      <c r="B124" s="18" t="s">
        <v>880</v>
      </c>
      <c r="C124" s="39">
        <v>7</v>
      </c>
      <c r="D124" s="18"/>
      <c r="E124" s="18"/>
      <c r="F124" s="18"/>
      <c r="G124" s="18"/>
      <c r="H124" s="38"/>
      <c r="I124" s="18"/>
    </row>
    <row r="125" spans="1:9" ht="13.2">
      <c r="A125" s="10" t="s">
        <v>1056</v>
      </c>
      <c r="B125" s="10" t="s">
        <v>880</v>
      </c>
      <c r="C125" s="25">
        <v>2</v>
      </c>
    </row>
    <row r="126" spans="1:9" ht="13.2">
      <c r="A126" s="10" t="s">
        <v>1041</v>
      </c>
      <c r="B126" s="10" t="s">
        <v>772</v>
      </c>
      <c r="C126" s="10">
        <v>0</v>
      </c>
    </row>
    <row r="127" spans="1:9" ht="13.2">
      <c r="A127" s="10" t="s">
        <v>1058</v>
      </c>
      <c r="B127" s="10" t="s">
        <v>1041</v>
      </c>
      <c r="C127" s="25">
        <v>10</v>
      </c>
    </row>
    <row r="128" spans="1:9" ht="13.2">
      <c r="A128" s="10" t="s">
        <v>1059</v>
      </c>
      <c r="B128" s="10" t="s">
        <v>1041</v>
      </c>
      <c r="C128" s="25">
        <v>5</v>
      </c>
    </row>
    <row r="129" spans="1:23" ht="13.2">
      <c r="A129" s="10" t="s">
        <v>1042</v>
      </c>
      <c r="B129" s="10" t="s">
        <v>1048</v>
      </c>
      <c r="C129" s="10">
        <v>0</v>
      </c>
    </row>
    <row r="130" spans="1:23" ht="13.2">
      <c r="A130" s="10" t="s">
        <v>799</v>
      </c>
      <c r="B130" s="10" t="s">
        <v>1042</v>
      </c>
      <c r="C130" s="10">
        <v>0</v>
      </c>
    </row>
    <row r="131" spans="1:23" ht="13.2">
      <c r="A131" s="10" t="s">
        <v>1061</v>
      </c>
      <c r="B131" s="10" t="s">
        <v>799</v>
      </c>
      <c r="C131" s="25">
        <v>1</v>
      </c>
    </row>
    <row r="132" spans="1:23" ht="13.2">
      <c r="A132" s="10" t="s">
        <v>1062</v>
      </c>
      <c r="B132" s="10" t="s">
        <v>799</v>
      </c>
      <c r="C132" s="25">
        <v>12</v>
      </c>
    </row>
    <row r="133" spans="1:23" ht="13.2">
      <c r="A133" s="10" t="s">
        <v>794</v>
      </c>
      <c r="B133" s="10" t="s">
        <v>1042</v>
      </c>
      <c r="C133" s="10">
        <v>0</v>
      </c>
    </row>
    <row r="134" spans="1:23" ht="13.2">
      <c r="A134" s="10" t="s">
        <v>1064</v>
      </c>
      <c r="B134" s="10" t="s">
        <v>794</v>
      </c>
      <c r="C134" s="25">
        <v>1</v>
      </c>
    </row>
    <row r="135" spans="1:23" ht="13.2">
      <c r="A135" s="10" t="s">
        <v>1065</v>
      </c>
      <c r="B135" s="10" t="s">
        <v>794</v>
      </c>
      <c r="C135" s="25">
        <v>12</v>
      </c>
    </row>
    <row r="136" spans="1:23" ht="15.75" customHeight="1" thickBot="1"/>
    <row r="137" spans="1:23" ht="13.8" thickBot="1">
      <c r="C137" s="25"/>
      <c r="F137" s="193">
        <v>2164.8165949999998</v>
      </c>
      <c r="G137" s="193">
        <v>149.98169329999999</v>
      </c>
      <c r="H137" s="193">
        <v>2314.7982889999998</v>
      </c>
      <c r="I137" s="193">
        <v>578.69957220000003</v>
      </c>
      <c r="J137" s="193">
        <v>259.3340116</v>
      </c>
    </row>
    <row r="138" spans="1:23" ht="15.75" customHeight="1">
      <c r="F138">
        <v>2286.6864375118016</v>
      </c>
      <c r="G138">
        <v>149.981693333333</v>
      </c>
      <c r="H138">
        <v>2436.6681308451348</v>
      </c>
      <c r="I138">
        <v>609.1670327112837</v>
      </c>
      <c r="J138">
        <v>273.93339852314455</v>
      </c>
    </row>
    <row r="141" spans="1:23" ht="13.2">
      <c r="C141" s="25"/>
    </row>
    <row r="142" spans="1:23" ht="13.2">
      <c r="B142" s="184" t="s">
        <v>1403</v>
      </c>
      <c r="C142" s="180"/>
      <c r="D142" s="180"/>
      <c r="E142" s="180"/>
      <c r="F142" s="180"/>
      <c r="G142" s="180"/>
      <c r="J142" s="184" t="s">
        <v>1404</v>
      </c>
      <c r="K142" s="180"/>
      <c r="L142" s="180"/>
      <c r="M142" s="180"/>
      <c r="N142" s="180"/>
      <c r="O142" s="180"/>
      <c r="Q142" s="10"/>
      <c r="R142" s="179" t="s">
        <v>5440</v>
      </c>
      <c r="S142" s="179"/>
      <c r="T142" s="179"/>
      <c r="U142" s="179"/>
      <c r="V142" s="179"/>
      <c r="W142" s="179"/>
    </row>
    <row r="143" spans="1:23" ht="13.2">
      <c r="B143" s="10" t="s">
        <v>772</v>
      </c>
      <c r="C143" s="10" t="s">
        <v>808</v>
      </c>
      <c r="D143" s="10" t="s">
        <v>880</v>
      </c>
      <c r="E143" s="10" t="s">
        <v>1041</v>
      </c>
      <c r="F143" s="10" t="s">
        <v>799</v>
      </c>
      <c r="G143" s="10" t="s">
        <v>794</v>
      </c>
      <c r="J143" s="10" t="s">
        <v>772</v>
      </c>
      <c r="K143" s="10" t="s">
        <v>808</v>
      </c>
      <c r="L143" s="10" t="s">
        <v>880</v>
      </c>
      <c r="M143" s="10" t="s">
        <v>1041</v>
      </c>
      <c r="N143" s="10" t="s">
        <v>799</v>
      </c>
      <c r="O143" s="10" t="s">
        <v>794</v>
      </c>
      <c r="R143" s="10" t="s">
        <v>772</v>
      </c>
      <c r="S143" s="10" t="s">
        <v>808</v>
      </c>
      <c r="T143" s="10" t="s">
        <v>880</v>
      </c>
      <c r="U143" s="10" t="s">
        <v>1041</v>
      </c>
      <c r="V143" s="10" t="s">
        <v>799</v>
      </c>
      <c r="W143" s="10" t="s">
        <v>794</v>
      </c>
    </row>
    <row r="144" spans="1:23" ht="13.2">
      <c r="B144" s="10">
        <v>33893.223495175684</v>
      </c>
      <c r="C144" s="10">
        <v>16820.930903543278</v>
      </c>
      <c r="D144" s="10">
        <v>7282.2071089503124</v>
      </c>
      <c r="E144" s="10">
        <v>7992.0897075355588</v>
      </c>
      <c r="F144" s="10">
        <v>2872.5811643159213</v>
      </c>
      <c r="G144" s="10">
        <v>6646.7026547696014</v>
      </c>
      <c r="J144" s="10">
        <v>8230.3802462833337</v>
      </c>
      <c r="K144" s="10">
        <v>2691.9377622459701</v>
      </c>
      <c r="L144" s="10">
        <v>1213.701184825052</v>
      </c>
      <c r="M144" s="10">
        <v>1332.0149512559265</v>
      </c>
      <c r="N144" s="10">
        <v>574.51623286318431</v>
      </c>
      <c r="O144" s="10">
        <v>1107.7837757949335</v>
      </c>
      <c r="R144">
        <v>2007.1779125107248</v>
      </c>
      <c r="S144">
        <v>778.65944558188994</v>
      </c>
      <c r="T144">
        <v>221.30975988217375</v>
      </c>
      <c r="U144">
        <v>294.07291679491777</v>
      </c>
      <c r="V144">
        <v>133.47179908311981</v>
      </c>
      <c r="W144">
        <v>388.87180208884206</v>
      </c>
    </row>
    <row r="145" spans="2:23" ht="13.2">
      <c r="B145" s="10">
        <v>32921.520985133335</v>
      </c>
      <c r="C145" s="10">
        <v>10767.751048983881</v>
      </c>
      <c r="D145" s="10">
        <v>4207.9640154083791</v>
      </c>
      <c r="E145" s="10">
        <v>6365.9076705953285</v>
      </c>
      <c r="F145" s="10">
        <v>1246.2685997088238</v>
      </c>
      <c r="G145" s="10">
        <v>5686.394704769381</v>
      </c>
      <c r="J145" s="10">
        <v>6465.1200561970454</v>
      </c>
      <c r="K145" s="10">
        <v>1241.9897002150026</v>
      </c>
      <c r="L145" s="10">
        <v>1073.1691426685168</v>
      </c>
      <c r="M145" s="10">
        <v>1326.0492902937492</v>
      </c>
      <c r="N145" s="10">
        <v>547.65899890686671</v>
      </c>
      <c r="O145" s="10">
        <v>332.47525608465611</v>
      </c>
      <c r="R145">
        <v>1346.8090487607872</v>
      </c>
      <c r="S145">
        <v>608.5792119188028</v>
      </c>
      <c r="T145">
        <v>195.65791717581291</v>
      </c>
      <c r="U145">
        <v>290.05383135243972</v>
      </c>
      <c r="V145">
        <v>122.16895665808575</v>
      </c>
      <c r="W145">
        <v>319.71814936898187</v>
      </c>
    </row>
    <row r="146" spans="2:23" ht="13.2">
      <c r="B146" s="10">
        <v>27110.049148098409</v>
      </c>
      <c r="C146" s="10">
        <v>10261.968367193076</v>
      </c>
      <c r="D146" s="10">
        <v>4141.892093911526</v>
      </c>
      <c r="E146" s="10">
        <v>6013.5574555042467</v>
      </c>
      <c r="F146" s="10">
        <v>1245.2900714332152</v>
      </c>
      <c r="G146" s="10">
        <v>1994.8515365079365</v>
      </c>
      <c r="J146" s="10">
        <v>4841.889070739383</v>
      </c>
      <c r="K146" s="10">
        <v>935.14484909188036</v>
      </c>
      <c r="L146" s="10">
        <v>930.35718456355016</v>
      </c>
      <c r="M146" s="10">
        <v>1202.7114911008493</v>
      </c>
      <c r="N146" s="10">
        <v>249.25371994176476</v>
      </c>
      <c r="O146" s="10">
        <v>309.87726237543728</v>
      </c>
      <c r="R146">
        <v>1136.9810163232391</v>
      </c>
      <c r="S146">
        <v>463.78275805303019</v>
      </c>
      <c r="T146">
        <v>190.57433461086245</v>
      </c>
      <c r="U146">
        <v>287.82767262132558</v>
      </c>
      <c r="V146">
        <v>107.22135766985571</v>
      </c>
      <c r="W146">
        <v>289.29264722071343</v>
      </c>
    </row>
    <row r="147" spans="2:23" ht="13.2">
      <c r="B147" s="10">
        <v>26151.051492296006</v>
      </c>
      <c r="C147" s="10">
        <v>8693.9279015050179</v>
      </c>
      <c r="D147" s="10">
        <v>3721.4287382542007</v>
      </c>
      <c r="E147" s="10">
        <v>5913.5086105879727</v>
      </c>
      <c r="F147" s="10">
        <v>933.8811483305916</v>
      </c>
      <c r="G147" s="10">
        <v>1708.078865195755</v>
      </c>
      <c r="J147" s="10">
        <v>4518.3415246830682</v>
      </c>
      <c r="K147" s="10">
        <v>872.56663888371884</v>
      </c>
      <c r="L147" s="10">
        <v>800.37220811539055</v>
      </c>
      <c r="M147" s="10">
        <v>844.78694436971034</v>
      </c>
      <c r="N147" s="10">
        <v>207.54834523886919</v>
      </c>
      <c r="O147" s="10">
        <v>236.93311269872422</v>
      </c>
      <c r="R147">
        <v>1109.1930998774035</v>
      </c>
      <c r="S147">
        <v>379.21991062344523</v>
      </c>
      <c r="T147">
        <v>176.07178026840919</v>
      </c>
      <c r="U147">
        <v>278.3925236789849</v>
      </c>
      <c r="V147">
        <v>87.264707863785461</v>
      </c>
      <c r="W147">
        <v>181.44386455545379</v>
      </c>
    </row>
    <row r="148" spans="2:23" ht="13.2">
      <c r="B148" s="10">
        <v>25860.480224788182</v>
      </c>
      <c r="C148" s="10">
        <v>8241.3991862166022</v>
      </c>
      <c r="D148" s="10">
        <v>3219.5074280055505</v>
      </c>
      <c r="E148" s="10">
        <v>5304.1971611749968</v>
      </c>
      <c r="F148" s="10">
        <v>821.48849836030013</v>
      </c>
      <c r="G148" s="10">
        <v>1473.6325946935663</v>
      </c>
      <c r="J148" s="10">
        <v>4358.5085820493341</v>
      </c>
      <c r="K148" s="10">
        <v>855.16403059942297</v>
      </c>
      <c r="L148" s="10">
        <v>701.32733590139651</v>
      </c>
      <c r="M148" s="10">
        <v>795.73845882441606</v>
      </c>
      <c r="N148" s="10">
        <v>155.64685805509859</v>
      </c>
      <c r="O148" s="10">
        <v>134.40661454993045</v>
      </c>
      <c r="R148">
        <v>1022.5545902957729</v>
      </c>
      <c r="S148">
        <v>346.03200897574413</v>
      </c>
      <c r="T148">
        <v>136.21143103836431</v>
      </c>
      <c r="U148">
        <v>264.08068237820765</v>
      </c>
      <c r="V148">
        <v>61.844199876048101</v>
      </c>
      <c r="W148">
        <v>160.43422164663829</v>
      </c>
    </row>
    <row r="149" spans="2:23" ht="13.2">
      <c r="B149" s="10">
        <v>22111.818821752349</v>
      </c>
      <c r="C149" s="10">
        <v>7481.1587927350429</v>
      </c>
      <c r="D149" s="10">
        <v>3201.4888324615622</v>
      </c>
      <c r="E149" s="10">
        <v>5017.2134443026916</v>
      </c>
      <c r="F149" s="10">
        <v>547.86761341245779</v>
      </c>
      <c r="G149" s="10">
        <v>1239.5090495017491</v>
      </c>
      <c r="J149" s="10">
        <v>2456.8687579724833</v>
      </c>
      <c r="K149" s="10">
        <v>749.21810783787294</v>
      </c>
      <c r="L149" s="10">
        <v>613.21107696458034</v>
      </c>
      <c r="M149" s="10">
        <v>717.53013188718978</v>
      </c>
      <c r="N149" s="10">
        <v>91.311268902076293</v>
      </c>
      <c r="O149" s="10">
        <v>132.60082163409149</v>
      </c>
      <c r="R149">
        <v>871.0128103858882</v>
      </c>
      <c r="S149">
        <v>311.5066183794479</v>
      </c>
      <c r="T149">
        <v>134.48237364305047</v>
      </c>
      <c r="U149">
        <v>255.40866441492224</v>
      </c>
      <c r="V149">
        <v>46.448979591836732</v>
      </c>
      <c r="W149">
        <v>151.68374144133691</v>
      </c>
    </row>
    <row r="150" spans="2:23" ht="13.2">
      <c r="B150" s="10">
        <v>12658.314835571311</v>
      </c>
      <c r="C150" s="10">
        <v>6107.9664721860318</v>
      </c>
      <c r="D150" s="10">
        <v>3066.0553848229015</v>
      </c>
      <c r="E150" s="10">
        <v>4601.4312242600963</v>
      </c>
      <c r="F150" s="10">
        <v>487.40829930238726</v>
      </c>
      <c r="G150" s="10">
        <v>834.80505752136764</v>
      </c>
      <c r="J150" s="10">
        <v>1704.2984827454966</v>
      </c>
      <c r="K150" s="10">
        <v>710.33351148105839</v>
      </c>
      <c r="L150" s="10">
        <v>591.69887055878939</v>
      </c>
      <c r="M150" s="10">
        <v>716.74477775752734</v>
      </c>
      <c r="N150" s="10">
        <v>80.956634479408464</v>
      </c>
      <c r="O150" s="10">
        <v>104.35063219017096</v>
      </c>
      <c r="R150">
        <v>823.31624302901571</v>
      </c>
      <c r="S150">
        <v>275.96696657475553</v>
      </c>
      <c r="T150">
        <v>134.39613144528633</v>
      </c>
      <c r="U150">
        <v>247.26500356312638</v>
      </c>
      <c r="V150">
        <v>39.570042038555471</v>
      </c>
      <c r="W150">
        <v>95.91655011403077</v>
      </c>
    </row>
    <row r="151" spans="2:23" ht="13.2">
      <c r="B151" s="10">
        <v>9453.8975156279557</v>
      </c>
      <c r="C151" s="10">
        <v>4713.3205685522062</v>
      </c>
      <c r="D151" s="10">
        <v>3034.2427591456135</v>
      </c>
      <c r="E151" s="10">
        <v>4305.1807913231387</v>
      </c>
      <c r="F151" s="10">
        <v>485.73980687645076</v>
      </c>
      <c r="G151" s="10">
        <v>806.43968729958272</v>
      </c>
      <c r="J151" s="10">
        <v>1575.6495859379927</v>
      </c>
      <c r="K151" s="10">
        <v>649.24647332952748</v>
      </c>
      <c r="L151" s="10">
        <v>379.28034489320169</v>
      </c>
      <c r="M151" s="10">
        <v>659.27349721166047</v>
      </c>
      <c r="N151" s="10">
        <v>69.629757043198182</v>
      </c>
      <c r="O151" s="10">
        <v>71.169952716489789</v>
      </c>
      <c r="R151">
        <v>514.29144810395098</v>
      </c>
      <c r="S151">
        <v>269.01735576464569</v>
      </c>
      <c r="T151">
        <v>133.47009495214644</v>
      </c>
      <c r="U151">
        <v>241.11014838882485</v>
      </c>
      <c r="V151">
        <v>38.715792658895126</v>
      </c>
      <c r="W151">
        <v>90.545397024392386</v>
      </c>
    </row>
    <row r="152" spans="2:23" ht="13.2">
      <c r="B152" s="10">
        <v>9274.4343005161954</v>
      </c>
      <c r="C152" s="10">
        <v>3895.4788399771651</v>
      </c>
      <c r="D152" s="10">
        <v>585.94644347982194</v>
      </c>
      <c r="E152" s="10">
        <v>3955.6409832699628</v>
      </c>
      <c r="F152" s="10">
        <v>369.17936286449827</v>
      </c>
      <c r="G152" s="10">
        <v>795.60492980454899</v>
      </c>
      <c r="J152" s="10">
        <v>1155.8268468911742</v>
      </c>
      <c r="K152" s="10">
        <v>648.37367121687237</v>
      </c>
      <c r="L152" s="10">
        <v>97.657740579970323</v>
      </c>
      <c r="M152" s="10">
        <v>657.34731775144235</v>
      </c>
      <c r="N152" s="10">
        <v>61.529893810749712</v>
      </c>
      <c r="O152" s="10">
        <v>67.68502374915137</v>
      </c>
      <c r="R152">
        <v>472.25780002262746</v>
      </c>
      <c r="S152">
        <v>250.14550419081547</v>
      </c>
      <c r="T152">
        <v>30.488685015290525</v>
      </c>
      <c r="U152">
        <v>224.33366518361086</v>
      </c>
      <c r="V152">
        <v>38.454114697888301</v>
      </c>
      <c r="W152">
        <v>63.873827086526141</v>
      </c>
    </row>
    <row r="153" spans="2:23" ht="13.2">
      <c r="B153" s="10">
        <v>8259.527773399499</v>
      </c>
      <c r="C153" s="10">
        <v>3633.6485388896322</v>
      </c>
      <c r="E153" s="10">
        <v>3623.4563637363626</v>
      </c>
      <c r="F153" s="10">
        <v>351.02319999999997</v>
      </c>
      <c r="G153" s="10">
        <v>406.11014249490819</v>
      </c>
      <c r="J153" s="10">
        <v>1032.4409716749374</v>
      </c>
      <c r="K153" s="10">
        <v>605.60808981493869</v>
      </c>
      <c r="M153" s="10">
        <v>386.51623114878663</v>
      </c>
      <c r="N153" s="10">
        <v>58.50386666666666</v>
      </c>
      <c r="O153" s="10">
        <v>51.327795428988168</v>
      </c>
      <c r="R153">
        <v>377.99602422241401</v>
      </c>
      <c r="S153">
        <v>226.95238753941871</v>
      </c>
      <c r="U153">
        <v>220.3692599269495</v>
      </c>
      <c r="V153">
        <v>32.060281809038599</v>
      </c>
      <c r="W153">
        <v>46.90725012212225</v>
      </c>
    </row>
    <row r="154" spans="2:23" ht="13.2">
      <c r="B154" s="10">
        <v>4892.5403510394863</v>
      </c>
      <c r="C154" s="10">
        <v>3551.667557405292</v>
      </c>
      <c r="E154" s="10">
        <v>3479.3740254125978</v>
      </c>
      <c r="F154" s="10">
        <v>339.48834179913121</v>
      </c>
      <c r="G154" s="10">
        <v>359.29456800291717</v>
      </c>
      <c r="J154" s="10">
        <v>823.88021804146501</v>
      </c>
      <c r="K154" s="10">
        <v>560.69769678477599</v>
      </c>
      <c r="M154" s="10">
        <v>342.86846164644078</v>
      </c>
      <c r="N154" s="10">
        <v>56.581390299855201</v>
      </c>
      <c r="O154" s="10">
        <v>47.950227969224443</v>
      </c>
      <c r="R154">
        <v>356.25732935641128</v>
      </c>
      <c r="S154">
        <v>192.13439674736134</v>
      </c>
      <c r="U154">
        <v>193.69712822126235</v>
      </c>
      <c r="V154">
        <v>29.203551966143539</v>
      </c>
      <c r="W154">
        <v>35.803465762850081</v>
      </c>
    </row>
    <row r="155" spans="2:23" ht="13.2">
      <c r="B155" s="10">
        <v>4791.7930060540421</v>
      </c>
      <c r="C155" s="10">
        <v>1721.8479359604526</v>
      </c>
      <c r="E155" s="10">
        <v>2742.9476931715262</v>
      </c>
      <c r="F155" s="10">
        <v>209.0236925516414</v>
      </c>
      <c r="G155" s="10">
        <v>287.70136781534666</v>
      </c>
      <c r="J155" s="10">
        <v>798.63216767567371</v>
      </c>
      <c r="K155" s="10">
        <v>430.46198399011314</v>
      </c>
      <c r="M155" s="10">
        <v>302.48211604065091</v>
      </c>
      <c r="N155" s="10">
        <v>34.837282091940232</v>
      </c>
      <c r="O155" s="10">
        <v>32.293547619047615</v>
      </c>
      <c r="R155">
        <v>300.04241897076332</v>
      </c>
      <c r="S155">
        <v>164.85081917669896</v>
      </c>
      <c r="U155">
        <v>160.33154570341992</v>
      </c>
      <c r="V155">
        <v>15.969499677419646</v>
      </c>
      <c r="W155">
        <v>26.659781417359902</v>
      </c>
    </row>
    <row r="156" spans="2:23" ht="13.8" thickBot="1">
      <c r="B156" s="10">
        <v>4119.4010902073251</v>
      </c>
      <c r="C156" s="10">
        <v>648.37367121687237</v>
      </c>
      <c r="E156" s="10">
        <v>2117.3748122845564</v>
      </c>
      <c r="F156" s="10">
        <v>171.09509819355003</v>
      </c>
      <c r="G156" s="10">
        <v>226.05483333333331</v>
      </c>
      <c r="J156" s="10">
        <v>772.86952504301632</v>
      </c>
      <c r="K156" s="10">
        <v>188.53282274208826</v>
      </c>
      <c r="M156" s="10">
        <v>139.17496101650391</v>
      </c>
      <c r="N156" s="10">
        <v>28.515849698925006</v>
      </c>
      <c r="O156" s="10">
        <v>5.8945303787742649</v>
      </c>
      <c r="R156">
        <v>265.08293454172656</v>
      </c>
      <c r="S156">
        <v>110.10862143112413</v>
      </c>
      <c r="U156">
        <v>148.18609011748904</v>
      </c>
      <c r="V156">
        <v>6.4747521118922586</v>
      </c>
      <c r="W156">
        <v>11.120930232558139</v>
      </c>
    </row>
    <row r="157" spans="2:23" ht="13.8" thickBot="1">
      <c r="B157" s="10">
        <v>3467.4805406735227</v>
      </c>
      <c r="E157" s="10">
        <v>1546.0649245951465</v>
      </c>
      <c r="J157" s="10">
        <v>698.93433586278377</v>
      </c>
      <c r="M157" s="10">
        <v>120.78187879121209</v>
      </c>
      <c r="R157" s="193">
        <v>259.3340116</v>
      </c>
      <c r="U157">
        <v>97.139883117636117</v>
      </c>
    </row>
    <row r="158" spans="2:23" ht="13.8" thickBot="1">
      <c r="B158" s="10">
        <v>3408.5969654909932</v>
      </c>
      <c r="E158" s="10">
        <v>1229.9275914471762</v>
      </c>
      <c r="J158" s="193">
        <v>578.69957220000003</v>
      </c>
      <c r="M158" s="10">
        <v>61.496379572358805</v>
      </c>
      <c r="R158">
        <v>226.6840911557135</v>
      </c>
      <c r="U158">
        <v>81.177506873762994</v>
      </c>
    </row>
    <row r="159" spans="2:23" ht="13.8" thickBot="1">
      <c r="B159" s="10">
        <v>2887.7720338978934</v>
      </c>
      <c r="J159" s="10">
        <v>506.33259342285243</v>
      </c>
      <c r="R159">
        <v>152.54022489258315</v>
      </c>
    </row>
    <row r="160" spans="2:23" ht="13.8" thickBot="1">
      <c r="B160" s="193">
        <v>2314.7982889999998</v>
      </c>
      <c r="J160" s="10">
        <v>494.44170534606457</v>
      </c>
      <c r="R160">
        <v>131.48032396569087</v>
      </c>
    </row>
    <row r="161" spans="1:23" ht="13.2">
      <c r="B161" s="10">
        <v>1434.147981648211</v>
      </c>
      <c r="J161" s="10">
        <v>481.29533898298223</v>
      </c>
      <c r="R161">
        <v>89.869539509689957</v>
      </c>
    </row>
    <row r="162" spans="1:23" ht="13.2">
      <c r="B162" s="10">
        <v>1213.3438369440987</v>
      </c>
      <c r="J162" s="10">
        <v>303.33595923602468</v>
      </c>
      <c r="R162">
        <v>88.821984514407262</v>
      </c>
    </row>
    <row r="163" spans="1:23" ht="13.2">
      <c r="B163" s="10">
        <v>494.44170534606457</v>
      </c>
      <c r="J163" s="10">
        <v>239.02466360803518</v>
      </c>
      <c r="R163">
        <v>81.575162487500506</v>
      </c>
    </row>
    <row r="164" spans="1:23" ht="13.2">
      <c r="B164" s="10" t="s">
        <v>772</v>
      </c>
      <c r="C164" s="10" t="s">
        <v>808</v>
      </c>
      <c r="D164" s="10" t="s">
        <v>880</v>
      </c>
      <c r="E164" s="10" t="s">
        <v>1041</v>
      </c>
      <c r="F164" s="10" t="s">
        <v>799</v>
      </c>
      <c r="G164" s="10" t="s">
        <v>794</v>
      </c>
      <c r="J164" s="10" t="s">
        <v>772</v>
      </c>
      <c r="K164" s="10" t="s">
        <v>808</v>
      </c>
      <c r="L164" s="10" t="s">
        <v>880</v>
      </c>
      <c r="M164" s="10" t="s">
        <v>1041</v>
      </c>
      <c r="N164" s="10" t="s">
        <v>799</v>
      </c>
      <c r="O164" s="10" t="s">
        <v>794</v>
      </c>
      <c r="R164" s="10" t="s">
        <v>772</v>
      </c>
      <c r="S164" s="10" t="s">
        <v>808</v>
      </c>
      <c r="T164" s="10" t="s">
        <v>880</v>
      </c>
      <c r="U164" s="10" t="s">
        <v>1041</v>
      </c>
      <c r="V164" s="10" t="s">
        <v>799</v>
      </c>
      <c r="W164" s="10" t="s">
        <v>794</v>
      </c>
    </row>
    <row r="165" spans="1:23" ht="13.2">
      <c r="A165" s="10" t="s">
        <v>1405</v>
      </c>
      <c r="B165" s="10">
        <f>AVERAGE(B144:B163)</f>
        <v>11835.931719633028</v>
      </c>
      <c r="C165" s="10">
        <f>AVERAGE(C144:C156)</f>
        <v>6656.8799834126585</v>
      </c>
      <c r="D165" s="10">
        <f>AVERAGE(D144:D152)</f>
        <v>3606.7480893822076</v>
      </c>
      <c r="E165" s="10">
        <f>AVERAGE(E144:E158)</f>
        <v>4280.5248306134245</v>
      </c>
      <c r="F165" s="10">
        <f t="shared" ref="F165:G165" si="3">AVERAGE(F144:F156)</f>
        <v>775.41037670376693</v>
      </c>
      <c r="G165" s="10">
        <f t="shared" si="3"/>
        <v>1728.0907685930763</v>
      </c>
      <c r="H165" s="10"/>
      <c r="I165" s="10" t="s">
        <v>1405</v>
      </c>
      <c r="J165" s="10">
        <f>AVERAGE(J144:J163)</f>
        <v>2101.838510229657</v>
      </c>
      <c r="K165" s="10">
        <f>AVERAGE(K144:K156)</f>
        <v>856.86733371024945</v>
      </c>
      <c r="L165" s="10">
        <f>AVERAGE(L144:L152)</f>
        <v>711.1972321189387</v>
      </c>
      <c r="M165" s="10">
        <f>AVERAGE(M144:M158)</f>
        <v>640.36779257789499</v>
      </c>
      <c r="N165" s="10">
        <f t="shared" ref="N165:O165" si="4">AVERAGE(N144:N156)</f>
        <v>170.4992383075849</v>
      </c>
      <c r="O165" s="10">
        <f t="shared" si="4"/>
        <v>202.67296562997078</v>
      </c>
      <c r="P165" s="10"/>
      <c r="Q165" s="10" t="s">
        <v>1405</v>
      </c>
      <c r="R165" s="10">
        <f>AVERAGE(R144:R163)</f>
        <v>581.66390072631543</v>
      </c>
      <c r="S165" s="10">
        <f>AVERAGE(S144:S156)</f>
        <v>336.68892345824463</v>
      </c>
      <c r="T165" s="10">
        <f>AVERAGE(T144:T152)</f>
        <v>150.29583422571071</v>
      </c>
      <c r="U165" s="10">
        <f>AVERAGE(U144:U158)</f>
        <v>218.89643482245864</v>
      </c>
      <c r="V165" s="10">
        <f t="shared" ref="V165" si="5">AVERAGE(V144:V156)</f>
        <v>58.374464284812646</v>
      </c>
      <c r="W165" s="10">
        <f>AVERAGE(W144:W156)</f>
        <v>143.25166369860042</v>
      </c>
    </row>
    <row r="166" spans="1:23" ht="13.2">
      <c r="A166" s="10" t="s">
        <v>1406</v>
      </c>
      <c r="B166" s="10">
        <f t="shared" ref="B166:G166" si="6">MIN(B144:B163)</f>
        <v>494.44170534606457</v>
      </c>
      <c r="C166" s="10">
        <f t="shared" si="6"/>
        <v>648.37367121687237</v>
      </c>
      <c r="D166" s="10">
        <f t="shared" si="6"/>
        <v>585.94644347982194</v>
      </c>
      <c r="E166" s="10">
        <f t="shared" si="6"/>
        <v>1229.9275914471762</v>
      </c>
      <c r="F166" s="10">
        <f t="shared" si="6"/>
        <v>171.09509819355003</v>
      </c>
      <c r="G166" s="10">
        <f t="shared" si="6"/>
        <v>226.05483333333331</v>
      </c>
      <c r="H166" s="10"/>
      <c r="I166" s="10" t="s">
        <v>1406</v>
      </c>
      <c r="J166" s="10">
        <f t="shared" ref="J166:O166" si="7">MIN(J144:J163)</f>
        <v>239.02466360803518</v>
      </c>
      <c r="K166" s="10">
        <f t="shared" si="7"/>
        <v>188.53282274208826</v>
      </c>
      <c r="L166" s="10">
        <f t="shared" si="7"/>
        <v>97.657740579970323</v>
      </c>
      <c r="M166" s="10">
        <f t="shared" si="7"/>
        <v>61.496379572358805</v>
      </c>
      <c r="N166" s="10">
        <f t="shared" si="7"/>
        <v>28.515849698925006</v>
      </c>
      <c r="O166" s="10">
        <f t="shared" si="7"/>
        <v>5.8945303787742649</v>
      </c>
      <c r="P166" s="10"/>
      <c r="Q166" s="10" t="s">
        <v>1406</v>
      </c>
      <c r="R166" s="10">
        <f t="shared" ref="R166:W166" si="8">MIN(R144:R163)</f>
        <v>81.575162487500506</v>
      </c>
      <c r="S166" s="10">
        <f t="shared" si="8"/>
        <v>110.10862143112413</v>
      </c>
      <c r="T166" s="10">
        <f t="shared" si="8"/>
        <v>30.488685015290525</v>
      </c>
      <c r="U166" s="10">
        <f t="shared" si="8"/>
        <v>81.177506873762994</v>
      </c>
      <c r="V166" s="10">
        <f t="shared" si="8"/>
        <v>6.4747521118922586</v>
      </c>
      <c r="W166" s="10">
        <f t="shared" si="8"/>
        <v>11.120930232558139</v>
      </c>
    </row>
    <row r="167" spans="1:23" ht="13.2">
      <c r="A167" s="10" t="s">
        <v>1407</v>
      </c>
      <c r="B167" s="10">
        <f t="shared" ref="B167:G167" si="9">MAX(B144:B163)</f>
        <v>33893.223495175684</v>
      </c>
      <c r="C167" s="10">
        <f t="shared" si="9"/>
        <v>16820.930903543278</v>
      </c>
      <c r="D167" s="10">
        <f t="shared" si="9"/>
        <v>7282.2071089503124</v>
      </c>
      <c r="E167" s="10">
        <f>MAX(E144:E163)</f>
        <v>7992.0897075355588</v>
      </c>
      <c r="F167" s="10">
        <f t="shared" si="9"/>
        <v>2872.5811643159213</v>
      </c>
      <c r="G167" s="10">
        <f t="shared" si="9"/>
        <v>6646.7026547696014</v>
      </c>
      <c r="H167" s="10"/>
      <c r="I167" s="10" t="s">
        <v>1407</v>
      </c>
      <c r="J167" s="10">
        <f t="shared" ref="J167:O167" si="10">MAX(J144:J163)</f>
        <v>8230.3802462833337</v>
      </c>
      <c r="K167" s="10">
        <f t="shared" si="10"/>
        <v>2691.9377622459701</v>
      </c>
      <c r="L167" s="10">
        <f t="shared" si="10"/>
        <v>1213.701184825052</v>
      </c>
      <c r="M167" s="10">
        <f t="shared" si="10"/>
        <v>1332.0149512559265</v>
      </c>
      <c r="N167" s="10">
        <f t="shared" si="10"/>
        <v>574.51623286318431</v>
      </c>
      <c r="O167" s="10">
        <f t="shared" si="10"/>
        <v>1107.7837757949335</v>
      </c>
      <c r="P167" s="10"/>
      <c r="Q167" s="10" t="s">
        <v>1407</v>
      </c>
      <c r="R167" s="10">
        <f t="shared" ref="R167:W167" si="11">MAX(R144:R163)</f>
        <v>2007.1779125107248</v>
      </c>
      <c r="S167" s="10">
        <f t="shared" si="11"/>
        <v>778.65944558188994</v>
      </c>
      <c r="T167" s="10">
        <f t="shared" si="11"/>
        <v>221.30975988217375</v>
      </c>
      <c r="U167" s="10">
        <f t="shared" si="11"/>
        <v>294.07291679491777</v>
      </c>
      <c r="V167" s="10">
        <f t="shared" si="11"/>
        <v>133.47179908311981</v>
      </c>
      <c r="W167" s="10">
        <f t="shared" si="11"/>
        <v>388.87180208884206</v>
      </c>
    </row>
  </sheetData>
  <sortState xmlns:xlrd2="http://schemas.microsoft.com/office/spreadsheetml/2017/richdata2" ref="W144:W156">
    <sortCondition descending="1" ref="W144:W156"/>
  </sortState>
  <mergeCells count="3">
    <mergeCell ref="B142:G142"/>
    <mergeCell ref="J142:O142"/>
    <mergeCell ref="R142:W142"/>
  </mergeCells>
  <dataValidations disablePrompts="1" count="3">
    <dataValidation type="list" allowBlank="1" showErrorMessage="1" sqref="C2:C84" xr:uid="{00000000-0002-0000-0600-000000000000}">
      <formula1>"Main,Side,SIde"</formula1>
    </dataValidation>
    <dataValidation type="list" allowBlank="1" showErrorMessage="1" sqref="A2:A84" xr:uid="{00000000-0002-0000-0600-000001000000}">
      <formula1>"Meat,No meat"</formula1>
    </dataValidation>
    <dataValidation type="list" allowBlank="1" showErrorMessage="1" sqref="B2:B84" xr:uid="{00000000-0002-0000-0600-000002000000}">
      <formula1>"Beef,Pork,Poultry,Sea food ,Vegan,Vegetarian"</formula1>
    </dataValidation>
  </dataValidations>
  <pageMargins left="0.511811024" right="0.511811024" top="0.78740157499999996" bottom="0.78740157499999996" header="0.31496062000000002" footer="0.31496062000000002"/>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R2001"/>
  <sheetViews>
    <sheetView topLeftCell="A313" workbookViewId="0">
      <selection activeCell="J313" sqref="J313"/>
    </sheetView>
  </sheetViews>
  <sheetFormatPr defaultColWidth="12.6640625" defaultRowHeight="15.75" customHeight="1"/>
  <sheetData>
    <row r="1" spans="1:17" ht="13.2">
      <c r="A1" s="21"/>
      <c r="B1" s="21"/>
      <c r="C1" s="21"/>
      <c r="F1" s="184" t="s">
        <v>891</v>
      </c>
      <c r="G1" s="180"/>
      <c r="H1" s="180"/>
      <c r="I1" s="180"/>
      <c r="J1" s="180"/>
      <c r="K1" s="180"/>
      <c r="L1" s="180"/>
      <c r="M1" s="180"/>
      <c r="N1" s="180"/>
      <c r="O1" s="180"/>
    </row>
    <row r="2" spans="1:17" ht="13.2">
      <c r="F2" s="10" t="s">
        <v>1408</v>
      </c>
      <c r="G2" s="10" t="s">
        <v>543</v>
      </c>
      <c r="H2" s="10" t="s">
        <v>1409</v>
      </c>
      <c r="I2" s="10" t="s">
        <v>1410</v>
      </c>
      <c r="J2" s="10" t="s">
        <v>1411</v>
      </c>
      <c r="K2" s="10" t="s">
        <v>1412</v>
      </c>
      <c r="L2" s="10" t="s">
        <v>1413</v>
      </c>
      <c r="M2" s="179" t="s">
        <v>1414</v>
      </c>
      <c r="N2" s="180"/>
      <c r="O2" s="10" t="s">
        <v>1415</v>
      </c>
    </row>
    <row r="3" spans="1:17" ht="15.75" customHeight="1">
      <c r="F3" s="10" t="s">
        <v>651</v>
      </c>
      <c r="G3" s="10">
        <v>1</v>
      </c>
      <c r="H3" s="10" t="s">
        <v>1416</v>
      </c>
      <c r="I3" s="10">
        <v>70</v>
      </c>
      <c r="J3" s="40">
        <v>0.9</v>
      </c>
      <c r="K3" s="41">
        <v>209</v>
      </c>
      <c r="L3" s="10">
        <f t="shared" ref="L3:L15" si="0">K3*J3*I3/1000</f>
        <v>13.167</v>
      </c>
      <c r="M3" s="10" t="s">
        <v>1417</v>
      </c>
      <c r="N3" s="10">
        <v>0</v>
      </c>
      <c r="O3" s="10" t="s">
        <v>1418</v>
      </c>
      <c r="Q3" s="10" t="str">
        <f ca="1">IFERROR(__xludf.DUMMYFUNCTION("transpose(split(F1,CHAR(10)))"),"Oxtail stew with watercress")</f>
        <v>Oxtail stew with watercress</v>
      </c>
    </row>
    <row r="4" spans="1:17" ht="13.2">
      <c r="F4" s="10" t="s">
        <v>737</v>
      </c>
      <c r="G4" s="10">
        <v>4</v>
      </c>
      <c r="H4" s="10" t="s">
        <v>1419</v>
      </c>
      <c r="I4" s="10">
        <v>4.4000000000000004</v>
      </c>
      <c r="J4" s="10">
        <v>0.85799999999999998</v>
      </c>
      <c r="K4" s="41">
        <v>209</v>
      </c>
      <c r="L4" s="10">
        <f t="shared" si="0"/>
        <v>0.78901680000000007</v>
      </c>
      <c r="M4" s="10" t="s">
        <v>1420</v>
      </c>
      <c r="N4" s="10">
        <f>1.1*(5/60)*59.9</f>
        <v>5.4908333333333337</v>
      </c>
      <c r="O4" s="10" t="s">
        <v>1418</v>
      </c>
    </row>
    <row r="5" spans="1:17" ht="13.2">
      <c r="F5" s="10" t="s">
        <v>1421</v>
      </c>
      <c r="G5" s="10">
        <v>45</v>
      </c>
      <c r="H5" s="10" t="s">
        <v>1422</v>
      </c>
      <c r="I5" s="10">
        <f>0.914*G5</f>
        <v>41.13</v>
      </c>
      <c r="J5" s="10">
        <v>1</v>
      </c>
      <c r="K5" s="41">
        <v>1245</v>
      </c>
      <c r="L5" s="10">
        <f t="shared" si="0"/>
        <v>51.206850000000003</v>
      </c>
      <c r="M5" s="10" t="s">
        <v>1423</v>
      </c>
      <c r="N5" s="10">
        <v>0</v>
      </c>
      <c r="O5" s="10" t="s">
        <v>1418</v>
      </c>
    </row>
    <row r="6" spans="1:17" ht="13.2">
      <c r="F6" s="10" t="s">
        <v>1424</v>
      </c>
      <c r="G6" s="10">
        <v>250</v>
      </c>
      <c r="H6" s="10" t="s">
        <v>1422</v>
      </c>
      <c r="I6" s="10">
        <f>1.02*G6</f>
        <v>255</v>
      </c>
      <c r="J6" s="10">
        <v>1</v>
      </c>
      <c r="K6" s="41">
        <v>5295</v>
      </c>
      <c r="L6" s="10">
        <f t="shared" si="0"/>
        <v>1350.2249999999999</v>
      </c>
      <c r="M6" s="10" t="s">
        <v>1425</v>
      </c>
      <c r="N6" s="10">
        <v>0</v>
      </c>
      <c r="O6" s="10" t="s">
        <v>1418</v>
      </c>
    </row>
    <row r="7" spans="1:17" ht="13.2">
      <c r="F7" s="10" t="s">
        <v>1426</v>
      </c>
      <c r="G7" s="10">
        <v>1.5</v>
      </c>
      <c r="H7" s="10" t="s">
        <v>1427</v>
      </c>
      <c r="I7" s="10">
        <v>1500</v>
      </c>
      <c r="J7" s="10">
        <v>0.76800000000000002</v>
      </c>
      <c r="K7" s="41">
        <v>26938</v>
      </c>
      <c r="L7" s="10">
        <f t="shared" si="0"/>
        <v>31032.576000000005</v>
      </c>
      <c r="M7" s="10" t="s">
        <v>1428</v>
      </c>
      <c r="N7" s="10">
        <v>0</v>
      </c>
      <c r="O7" s="10" t="s">
        <v>1418</v>
      </c>
    </row>
    <row r="8" spans="1:17" ht="13.2">
      <c r="F8" s="10" t="s">
        <v>733</v>
      </c>
      <c r="G8" s="10">
        <v>30</v>
      </c>
      <c r="H8" s="10" t="s">
        <v>1422</v>
      </c>
      <c r="I8" s="10">
        <f>0.927*G8</f>
        <v>27.810000000000002</v>
      </c>
      <c r="J8" s="10">
        <v>1</v>
      </c>
      <c r="K8" s="41">
        <v>5295</v>
      </c>
      <c r="L8" s="10">
        <f t="shared" si="0"/>
        <v>147.25395</v>
      </c>
      <c r="M8" s="10" t="s">
        <v>1429</v>
      </c>
      <c r="N8" s="10">
        <v>0</v>
      </c>
      <c r="O8" s="10" t="s">
        <v>1418</v>
      </c>
    </row>
    <row r="9" spans="1:17" ht="13.2">
      <c r="F9" s="10" t="s">
        <v>658</v>
      </c>
      <c r="G9" s="10">
        <v>2</v>
      </c>
      <c r="H9" s="10" t="s">
        <v>1416</v>
      </c>
      <c r="I9" s="10">
        <f>2*100</f>
        <v>200</v>
      </c>
      <c r="J9" s="10">
        <v>0.83399999999999996</v>
      </c>
      <c r="K9" s="41">
        <v>80</v>
      </c>
      <c r="L9" s="10">
        <f t="shared" si="0"/>
        <v>13.343999999999999</v>
      </c>
      <c r="M9" s="10" t="s">
        <v>1430</v>
      </c>
      <c r="N9" s="10">
        <f>(((I8*1.96*160)/0.63)+(7/60)*5773920)*(10^-6)*50</f>
        <v>34.373359999999998</v>
      </c>
      <c r="O9" s="10" t="s">
        <v>1418</v>
      </c>
    </row>
    <row r="10" spans="1:17" ht="13.2">
      <c r="F10" s="10" t="s">
        <v>1431</v>
      </c>
      <c r="G10" s="10">
        <v>2</v>
      </c>
      <c r="H10" s="10" t="s">
        <v>1416</v>
      </c>
      <c r="I10" s="10">
        <f>0.25*G10</f>
        <v>0.5</v>
      </c>
      <c r="J10" s="10">
        <v>1</v>
      </c>
      <c r="L10" s="10">
        <f t="shared" si="0"/>
        <v>0</v>
      </c>
      <c r="M10" s="10" t="s">
        <v>1432</v>
      </c>
      <c r="N10" s="10">
        <v>0</v>
      </c>
      <c r="O10" s="10" t="s">
        <v>1418</v>
      </c>
    </row>
    <row r="11" spans="1:17" ht="13.2">
      <c r="F11" s="10" t="s">
        <v>653</v>
      </c>
      <c r="G11" s="10">
        <v>250</v>
      </c>
      <c r="H11" s="10" t="s">
        <v>1422</v>
      </c>
      <c r="I11" s="10">
        <f>1*250</f>
        <v>250</v>
      </c>
      <c r="J11" s="10">
        <v>1</v>
      </c>
      <c r="K11" s="10">
        <v>260</v>
      </c>
      <c r="L11" s="10">
        <f t="shared" si="0"/>
        <v>65</v>
      </c>
      <c r="M11" s="10" t="s">
        <v>1433</v>
      </c>
      <c r="O11" s="10" t="s">
        <v>1418</v>
      </c>
    </row>
    <row r="12" spans="1:17" ht="13.2">
      <c r="F12" s="10" t="s">
        <v>694</v>
      </c>
      <c r="G12" s="10">
        <v>5</v>
      </c>
      <c r="H12" s="10" t="s">
        <v>1422</v>
      </c>
      <c r="I12" s="10">
        <f>0.54*G12</f>
        <v>2.7</v>
      </c>
      <c r="J12" s="10">
        <v>1</v>
      </c>
      <c r="K12" s="41">
        <v>578</v>
      </c>
      <c r="L12" s="10">
        <f t="shared" si="0"/>
        <v>1.5606000000000002</v>
      </c>
      <c r="M12" s="10" t="s">
        <v>1434</v>
      </c>
      <c r="N12" s="10">
        <f>(((250)*4.2*100/0.63)+(30/60)*5773920)*(10^-6)*50</f>
        <v>152.68133333333333</v>
      </c>
      <c r="O12" s="10" t="s">
        <v>1418</v>
      </c>
    </row>
    <row r="13" spans="1:17" ht="13.2">
      <c r="F13" s="10" t="s">
        <v>1435</v>
      </c>
      <c r="G13" s="10">
        <v>2</v>
      </c>
      <c r="H13" s="10" t="s">
        <v>1436</v>
      </c>
      <c r="I13" s="10">
        <f>37.5*2</f>
        <v>75</v>
      </c>
      <c r="J13" s="10">
        <v>0.71499999999999997</v>
      </c>
      <c r="K13" s="41">
        <v>107</v>
      </c>
      <c r="L13" s="10">
        <f t="shared" si="0"/>
        <v>5.7378749999999998</v>
      </c>
      <c r="M13" s="10" t="s">
        <v>1437</v>
      </c>
      <c r="N13" s="10">
        <f>((10/60)*5773820)*10^-6*50</f>
        <v>48.11516666666666</v>
      </c>
      <c r="O13" s="10" t="s">
        <v>1418</v>
      </c>
    </row>
    <row r="14" spans="1:17" ht="13.2">
      <c r="F14" s="10" t="s">
        <v>1438</v>
      </c>
      <c r="G14" s="10" t="s">
        <v>1439</v>
      </c>
      <c r="H14" s="10">
        <v>0</v>
      </c>
      <c r="I14" s="10">
        <v>0</v>
      </c>
      <c r="J14" s="10">
        <v>1</v>
      </c>
      <c r="L14" s="10">
        <f t="shared" si="0"/>
        <v>0</v>
      </c>
      <c r="O14" s="10" t="s">
        <v>1418</v>
      </c>
    </row>
    <row r="15" spans="1:17" ht="13.2">
      <c r="F15" s="10" t="s">
        <v>1440</v>
      </c>
      <c r="G15" s="10" t="s">
        <v>1439</v>
      </c>
      <c r="H15" s="10">
        <v>0</v>
      </c>
      <c r="I15" s="10">
        <v>0</v>
      </c>
      <c r="J15" s="10">
        <v>1</v>
      </c>
      <c r="K15" s="41">
        <v>1560</v>
      </c>
      <c r="L15" s="10">
        <f t="shared" si="0"/>
        <v>0</v>
      </c>
      <c r="O15" s="10" t="s">
        <v>1418</v>
      </c>
    </row>
    <row r="17" spans="6:18" ht="13.2">
      <c r="K17" s="10" t="s">
        <v>1441</v>
      </c>
      <c r="L17" s="10">
        <f>SUM(L2:L15)</f>
        <v>32680.860291800003</v>
      </c>
      <c r="M17" s="10" t="s">
        <v>1442</v>
      </c>
      <c r="N17" s="10">
        <f>SUM(N3:N13)</f>
        <v>240.66069333333331</v>
      </c>
    </row>
    <row r="18" spans="6:18" ht="13.2">
      <c r="F18" s="179" t="s">
        <v>895</v>
      </c>
      <c r="G18" s="180"/>
      <c r="H18" s="180"/>
      <c r="I18" s="180"/>
      <c r="J18" s="180"/>
      <c r="K18" s="180"/>
      <c r="L18" s="180"/>
      <c r="M18" s="180"/>
      <c r="N18" s="180"/>
    </row>
    <row r="19" spans="6:18" ht="13.2">
      <c r="F19" s="10" t="s">
        <v>1408</v>
      </c>
      <c r="G19" s="10" t="s">
        <v>543</v>
      </c>
      <c r="H19" s="10" t="s">
        <v>1409</v>
      </c>
      <c r="I19" s="10" t="s">
        <v>1410</v>
      </c>
      <c r="J19" s="10" t="s">
        <v>1411</v>
      </c>
      <c r="K19" s="10" t="s">
        <v>1412</v>
      </c>
      <c r="L19" s="10" t="s">
        <v>1413</v>
      </c>
      <c r="M19" s="179" t="s">
        <v>1414</v>
      </c>
      <c r="N19" s="180"/>
      <c r="O19" s="10" t="s">
        <v>1415</v>
      </c>
    </row>
    <row r="20" spans="6:18" ht="13.2">
      <c r="F20" s="10" t="s">
        <v>733</v>
      </c>
      <c r="G20" s="10">
        <v>15</v>
      </c>
      <c r="H20" s="10" t="s">
        <v>1422</v>
      </c>
      <c r="I20" s="10">
        <f>0.927*G20</f>
        <v>13.905000000000001</v>
      </c>
      <c r="J20" s="10">
        <v>1</v>
      </c>
      <c r="K20" s="41">
        <v>5295</v>
      </c>
      <c r="L20" s="10">
        <f t="shared" ref="L20:L25" si="1">K20*J20*I20/1000</f>
        <v>73.626975000000002</v>
      </c>
      <c r="M20" s="10" t="s">
        <v>1417</v>
      </c>
      <c r="N20" s="10">
        <v>0</v>
      </c>
      <c r="Q20" s="10" t="str">
        <f ca="1">IFERROR(__xludf.DUMMYFUNCTION("transpose(split(F19,CHAR(10)))"),"Ingredeint")</f>
        <v>Ingredeint</v>
      </c>
      <c r="R20" s="10" t="str">
        <f ca="1">IFERROR(__xludf.DUMMYFUNCTION("transpose(split(G19,CHAR(10)))"),"Quantity")</f>
        <v>Quantity</v>
      </c>
    </row>
    <row r="21" spans="6:18" ht="13.2">
      <c r="F21" s="10" t="s">
        <v>1443</v>
      </c>
      <c r="G21" s="10">
        <v>400</v>
      </c>
      <c r="H21" s="10" t="s">
        <v>1444</v>
      </c>
      <c r="I21" s="10">
        <v>400</v>
      </c>
      <c r="J21" s="10">
        <v>0.82299999999999995</v>
      </c>
      <c r="K21" s="41">
        <v>943</v>
      </c>
      <c r="L21" s="10">
        <f t="shared" si="1"/>
        <v>310.43559999999997</v>
      </c>
      <c r="M21" s="10" t="s">
        <v>1420</v>
      </c>
      <c r="N21" s="10">
        <v>0</v>
      </c>
    </row>
    <row r="22" spans="6:18" ht="15.75" customHeight="1">
      <c r="F22" s="10" t="s">
        <v>737</v>
      </c>
      <c r="G22" s="10">
        <v>3</v>
      </c>
      <c r="H22" s="10" t="s">
        <v>1416</v>
      </c>
      <c r="I22" s="10">
        <f>3*4.4</f>
        <v>13.200000000000001</v>
      </c>
      <c r="J22" s="42">
        <v>0.85799998044967596</v>
      </c>
      <c r="K22" s="10">
        <v>209</v>
      </c>
      <c r="L22" s="10">
        <f t="shared" si="1"/>
        <v>2.3670503460645662</v>
      </c>
      <c r="M22" s="10" t="s">
        <v>1423</v>
      </c>
      <c r="N22" s="10">
        <v>0</v>
      </c>
    </row>
    <row r="23" spans="6:18" ht="13.2">
      <c r="F23" s="10" t="s">
        <v>652</v>
      </c>
      <c r="G23" s="10">
        <v>75</v>
      </c>
      <c r="H23" s="10" t="s">
        <v>1444</v>
      </c>
      <c r="I23" s="10">
        <v>75</v>
      </c>
      <c r="J23" s="10">
        <v>1</v>
      </c>
      <c r="K23" s="10">
        <v>794</v>
      </c>
      <c r="L23" s="10">
        <f t="shared" si="1"/>
        <v>59.55</v>
      </c>
      <c r="M23" s="10" t="s">
        <v>1425</v>
      </c>
      <c r="N23" s="10">
        <v>0</v>
      </c>
    </row>
    <row r="24" spans="6:18" ht="13.2">
      <c r="F24" s="10" t="s">
        <v>646</v>
      </c>
      <c r="G24" s="10" t="s">
        <v>1439</v>
      </c>
      <c r="H24" s="10">
        <v>0</v>
      </c>
      <c r="I24" s="10">
        <v>0</v>
      </c>
      <c r="J24" s="10">
        <v>1</v>
      </c>
      <c r="L24" s="10">
        <f t="shared" si="1"/>
        <v>0</v>
      </c>
      <c r="M24" s="10" t="s">
        <v>1428</v>
      </c>
      <c r="N24" s="10">
        <v>0</v>
      </c>
    </row>
    <row r="25" spans="6:18" ht="13.2">
      <c r="F25" s="10" t="s">
        <v>1440</v>
      </c>
      <c r="G25" s="10" t="s">
        <v>1439</v>
      </c>
      <c r="H25" s="10">
        <v>0</v>
      </c>
      <c r="I25" s="10">
        <v>0</v>
      </c>
      <c r="J25" s="10">
        <v>1</v>
      </c>
      <c r="K25" s="10">
        <v>1560</v>
      </c>
      <c r="L25" s="10">
        <f t="shared" si="1"/>
        <v>0</v>
      </c>
      <c r="M25" s="10" t="s">
        <v>1429</v>
      </c>
      <c r="N25" s="10">
        <v>0</v>
      </c>
    </row>
    <row r="26" spans="6:18" ht="13.2">
      <c r="M26" s="10" t="s">
        <v>1430</v>
      </c>
      <c r="N26" s="10">
        <f>(((I20*1.96*160)/0.63)+(5/60)*5773920)*(10^-6)*50</f>
        <v>24.404079999999997</v>
      </c>
    </row>
    <row r="27" spans="6:18" ht="13.2">
      <c r="M27" s="10" t="s">
        <v>1432</v>
      </c>
      <c r="N27" s="10">
        <v>0</v>
      </c>
    </row>
    <row r="28" spans="6:18" ht="13.2">
      <c r="M28" s="10" t="s">
        <v>1433</v>
      </c>
      <c r="N28" s="10">
        <f>((5/60)*5773920)*(10^-6)*50</f>
        <v>24.058</v>
      </c>
    </row>
    <row r="29" spans="6:18" ht="13.2">
      <c r="M29" s="10" t="s">
        <v>1434</v>
      </c>
      <c r="N29" s="10">
        <v>0</v>
      </c>
    </row>
    <row r="30" spans="6:18" ht="13.2">
      <c r="M30" s="10" t="s">
        <v>1437</v>
      </c>
      <c r="N30" s="10">
        <v>0</v>
      </c>
    </row>
    <row r="32" spans="6:18" ht="13.2">
      <c r="K32" s="10" t="s">
        <v>1441</v>
      </c>
      <c r="L32" s="10">
        <f>SUM(L20:L25)</f>
        <v>445.97962534606455</v>
      </c>
      <c r="M32" s="10" t="s">
        <v>1442</v>
      </c>
      <c r="N32" s="10">
        <f>SUM(N18:N28)</f>
        <v>48.46208</v>
      </c>
    </row>
    <row r="33" spans="6:17" ht="13.2">
      <c r="F33" s="186" t="s">
        <v>899</v>
      </c>
      <c r="G33" s="180"/>
      <c r="H33" s="180"/>
      <c r="I33" s="180"/>
      <c r="J33" s="180"/>
      <c r="K33" s="180"/>
      <c r="L33" s="180"/>
      <c r="M33" s="180"/>
      <c r="N33" s="180"/>
      <c r="O33" s="180"/>
    </row>
    <row r="34" spans="6:17" ht="13.2">
      <c r="F34" s="10" t="s">
        <v>1408</v>
      </c>
      <c r="G34" s="10" t="s">
        <v>543</v>
      </c>
      <c r="H34" s="10" t="s">
        <v>1409</v>
      </c>
      <c r="I34" s="10" t="s">
        <v>1410</v>
      </c>
      <c r="J34" s="10" t="s">
        <v>1411</v>
      </c>
      <c r="K34" s="10" t="s">
        <v>1412</v>
      </c>
      <c r="L34" s="10" t="s">
        <v>1413</v>
      </c>
      <c r="M34" s="179" t="s">
        <v>1414</v>
      </c>
      <c r="N34" s="180"/>
      <c r="O34" s="10" t="s">
        <v>1415</v>
      </c>
    </row>
    <row r="35" spans="6:17" ht="13.2">
      <c r="F35" s="10" t="s">
        <v>1443</v>
      </c>
      <c r="G35" s="10">
        <v>400</v>
      </c>
      <c r="H35" s="10" t="s">
        <v>1444</v>
      </c>
      <c r="I35" s="10">
        <v>400</v>
      </c>
      <c r="J35" s="10">
        <v>0.82299999999999995</v>
      </c>
      <c r="K35" s="41">
        <v>943</v>
      </c>
      <c r="L35" s="10">
        <f t="shared" ref="L35:L43" si="2">K35*J35*I35/1000</f>
        <v>310.43559999999997</v>
      </c>
      <c r="M35" s="10" t="s">
        <v>1417</v>
      </c>
      <c r="P35" s="10" t="str">
        <f ca="1">IFERROR(__xludf.DUMMYFUNCTION("transpose(split(F33,CHAR(10)))"),"Beef stew")</f>
        <v>Beef stew</v>
      </c>
      <c r="Q35" s="10" t="str">
        <f ca="1">IFERROR(__xludf.DUMMYFUNCTION("transpose(split(H34,CHAR(10)))"),"Unit")</f>
        <v>Unit</v>
      </c>
    </row>
    <row r="36" spans="6:17" ht="14.4">
      <c r="F36" s="10" t="s">
        <v>737</v>
      </c>
      <c r="G36" s="10">
        <v>2</v>
      </c>
      <c r="H36" s="10" t="s">
        <v>1416</v>
      </c>
      <c r="I36" s="10">
        <f>2*4.4</f>
        <v>8.8000000000000007</v>
      </c>
      <c r="J36" s="42">
        <v>0.85799998044967596</v>
      </c>
      <c r="K36" s="10">
        <v>209</v>
      </c>
      <c r="L36" s="10">
        <f t="shared" si="2"/>
        <v>1.5780335640430443</v>
      </c>
      <c r="M36" s="10" t="s">
        <v>1420</v>
      </c>
    </row>
    <row r="37" spans="6:17" ht="13.2">
      <c r="F37" s="10" t="s">
        <v>733</v>
      </c>
      <c r="G37" s="10">
        <v>30</v>
      </c>
      <c r="H37" s="10" t="s">
        <v>1422</v>
      </c>
      <c r="I37" s="10">
        <f>G37*0.927</f>
        <v>27.810000000000002</v>
      </c>
      <c r="J37" s="10">
        <v>1</v>
      </c>
      <c r="K37" s="41">
        <v>5295</v>
      </c>
      <c r="L37" s="10">
        <f t="shared" si="2"/>
        <v>147.25395</v>
      </c>
      <c r="M37" s="10" t="s">
        <v>1423</v>
      </c>
    </row>
    <row r="38" spans="6:17" ht="13.2">
      <c r="F38" s="10" t="s">
        <v>1445</v>
      </c>
      <c r="G38" s="10">
        <v>125</v>
      </c>
      <c r="H38" s="10" t="s">
        <v>1444</v>
      </c>
      <c r="I38" s="10">
        <v>125</v>
      </c>
      <c r="J38" s="10">
        <v>1</v>
      </c>
      <c r="K38" s="41">
        <v>14500</v>
      </c>
      <c r="L38" s="10">
        <f t="shared" si="2"/>
        <v>1812.5</v>
      </c>
      <c r="M38" s="10" t="s">
        <v>1425</v>
      </c>
      <c r="N38" s="10">
        <f>(((700)*4.2*80/0.63)+(0/60)*5773920)*(10^-6)*50</f>
        <v>18.666666666666664</v>
      </c>
    </row>
    <row r="39" spans="6:17" ht="13.2">
      <c r="F39" s="10" t="s">
        <v>1446</v>
      </c>
      <c r="G39" s="10">
        <v>1</v>
      </c>
      <c r="H39" s="10" t="s">
        <v>1416</v>
      </c>
      <c r="I39" s="10">
        <v>60</v>
      </c>
      <c r="J39" s="10">
        <v>0.9</v>
      </c>
      <c r="K39" s="41">
        <v>209</v>
      </c>
      <c r="L39" s="10">
        <f t="shared" si="2"/>
        <v>11.286</v>
      </c>
      <c r="M39" s="10" t="s">
        <v>1428</v>
      </c>
    </row>
    <row r="40" spans="6:17" ht="13.2">
      <c r="F40" s="10" t="s">
        <v>1447</v>
      </c>
      <c r="G40" s="10">
        <v>400</v>
      </c>
      <c r="H40" s="10" t="s">
        <v>1422</v>
      </c>
      <c r="I40" s="10">
        <v>400</v>
      </c>
      <c r="J40" s="10">
        <v>1</v>
      </c>
      <c r="K40" s="41">
        <v>1796</v>
      </c>
      <c r="L40" s="10">
        <f t="shared" si="2"/>
        <v>718.4</v>
      </c>
      <c r="M40" s="10" t="s">
        <v>1429</v>
      </c>
    </row>
    <row r="41" spans="6:17" ht="13.2">
      <c r="F41" s="10" t="s">
        <v>1448</v>
      </c>
      <c r="G41" s="10">
        <v>30</v>
      </c>
      <c r="H41" s="10" t="s">
        <v>1422</v>
      </c>
      <c r="I41" s="10">
        <f>1.01*G41</f>
        <v>30.3</v>
      </c>
      <c r="J41" s="10">
        <v>1</v>
      </c>
      <c r="K41" s="41">
        <v>5295</v>
      </c>
      <c r="L41" s="10">
        <f t="shared" si="2"/>
        <v>160.4385</v>
      </c>
      <c r="M41" s="10" t="s">
        <v>1430</v>
      </c>
      <c r="N41" s="10">
        <f>(((I37*1.96*160)/0.63)+(3/60)*20738.1+(4/60)*5773820+(5/60)*5773920)*(10^-6)*50</f>
        <v>44.048071916666657</v>
      </c>
    </row>
    <row r="42" spans="6:17" ht="14.4">
      <c r="F42" s="10" t="s">
        <v>642</v>
      </c>
      <c r="G42" s="10">
        <v>2</v>
      </c>
      <c r="H42" s="10" t="s">
        <v>1416</v>
      </c>
      <c r="I42" s="10">
        <v>45</v>
      </c>
      <c r="J42" s="42">
        <v>0.903999984264373</v>
      </c>
      <c r="K42" s="41">
        <v>3321</v>
      </c>
      <c r="L42" s="10">
        <f t="shared" si="2"/>
        <v>135.09827764838923</v>
      </c>
      <c r="M42" s="10" t="s">
        <v>1432</v>
      </c>
    </row>
    <row r="43" spans="6:17" ht="13.2">
      <c r="F43" s="10" t="s">
        <v>694</v>
      </c>
      <c r="G43" s="10">
        <v>5</v>
      </c>
      <c r="H43" s="10" t="s">
        <v>1422</v>
      </c>
      <c r="I43" s="10">
        <v>0.54</v>
      </c>
      <c r="J43" s="10">
        <v>1</v>
      </c>
      <c r="K43" s="41">
        <v>578</v>
      </c>
      <c r="L43" s="10">
        <f t="shared" si="2"/>
        <v>0.31212000000000001</v>
      </c>
      <c r="M43" s="10" t="s">
        <v>1433</v>
      </c>
    </row>
    <row r="44" spans="6:17" ht="13.2">
      <c r="F44" s="10" t="s">
        <v>1449</v>
      </c>
      <c r="G44" s="10">
        <v>15</v>
      </c>
      <c r="H44" s="10" t="s">
        <v>1422</v>
      </c>
      <c r="I44" s="10">
        <f>0.11*G44</f>
        <v>1.65</v>
      </c>
      <c r="J44" s="43">
        <v>0.83399999141693104</v>
      </c>
      <c r="K44" s="41">
        <v>337</v>
      </c>
      <c r="L44" s="10">
        <f>K56*J44*I44/1000</f>
        <v>0.46374569522738446</v>
      </c>
      <c r="M44" s="10" t="s">
        <v>1434</v>
      </c>
    </row>
    <row r="45" spans="6:17" ht="13.2">
      <c r="F45" s="10" t="s">
        <v>646</v>
      </c>
      <c r="G45" s="10" t="s">
        <v>1439</v>
      </c>
      <c r="H45" s="10">
        <v>0</v>
      </c>
      <c r="I45" s="10">
        <v>0</v>
      </c>
      <c r="J45" s="10">
        <v>1</v>
      </c>
      <c r="L45" s="10">
        <f t="shared" ref="L45:L46" si="3">K45*J45*I45/1000</f>
        <v>0</v>
      </c>
      <c r="M45" s="10" t="s">
        <v>1437</v>
      </c>
      <c r="N45" s="10">
        <f>((5/60)*5773920)*(10^-6)*50+((5/60)*5773920)*(10^-6)*50</f>
        <v>48.116</v>
      </c>
    </row>
    <row r="46" spans="6:17" ht="13.2">
      <c r="F46" s="10" t="s">
        <v>1440</v>
      </c>
      <c r="G46" s="10" t="s">
        <v>1439</v>
      </c>
      <c r="H46" s="10">
        <v>0</v>
      </c>
      <c r="I46" s="10">
        <v>0</v>
      </c>
      <c r="J46" s="10">
        <v>1</v>
      </c>
      <c r="K46" s="10">
        <v>1560</v>
      </c>
      <c r="L46" s="10">
        <f t="shared" si="3"/>
        <v>0</v>
      </c>
    </row>
    <row r="48" spans="6:17" ht="13.2">
      <c r="K48" s="10" t="s">
        <v>1441</v>
      </c>
      <c r="L48" s="10">
        <f>SUM(L35:L46)</f>
        <v>3297.76622690766</v>
      </c>
      <c r="M48" s="10" t="s">
        <v>1442</v>
      </c>
      <c r="N48" s="10">
        <f>SUM(N35:N45)</f>
        <v>110.83073858333333</v>
      </c>
    </row>
    <row r="49" spans="1:17" ht="13.2">
      <c r="F49" s="184" t="s">
        <v>903</v>
      </c>
      <c r="G49" s="180"/>
      <c r="H49" s="180"/>
      <c r="I49" s="180"/>
      <c r="J49" s="180"/>
      <c r="K49" s="180"/>
      <c r="L49" s="180"/>
      <c r="M49" s="180"/>
      <c r="N49" s="180"/>
    </row>
    <row r="50" spans="1:17" ht="13.2">
      <c r="F50" s="10" t="s">
        <v>1408</v>
      </c>
      <c r="G50" s="10" t="s">
        <v>543</v>
      </c>
      <c r="H50" s="10" t="s">
        <v>1409</v>
      </c>
      <c r="I50" s="10" t="s">
        <v>1410</v>
      </c>
      <c r="J50" s="10" t="s">
        <v>1411</v>
      </c>
      <c r="K50" s="10" t="s">
        <v>1412</v>
      </c>
      <c r="L50" s="10" t="s">
        <v>1413</v>
      </c>
      <c r="M50" s="179" t="s">
        <v>1414</v>
      </c>
      <c r="N50" s="180"/>
      <c r="O50" s="10" t="s">
        <v>1415</v>
      </c>
    </row>
    <row r="51" spans="1:17" ht="14.4">
      <c r="A51" s="21"/>
      <c r="B51" s="21"/>
      <c r="C51" s="21"/>
      <c r="F51" s="10" t="s">
        <v>1450</v>
      </c>
      <c r="G51" s="10">
        <v>500</v>
      </c>
      <c r="H51" s="10" t="s">
        <v>1444</v>
      </c>
      <c r="I51" s="10">
        <v>500</v>
      </c>
      <c r="J51" s="42">
        <v>0.76800000667571999</v>
      </c>
      <c r="K51" s="10">
        <v>1642</v>
      </c>
      <c r="L51" s="10">
        <f t="shared" ref="L51:L57" si="4">I51*J51*K51/1000</f>
        <v>630.52800548076607</v>
      </c>
      <c r="M51" s="10" t="s">
        <v>1417</v>
      </c>
      <c r="P51" s="10" t="str">
        <f ca="1">IFERROR(__xludf.DUMMYFUNCTION("transpose(split(F51,CHAR(10)))"),"beef jerky")</f>
        <v>beef jerky</v>
      </c>
      <c r="Q51" s="10">
        <f ca="1">IFERROR(__xludf.DUMMYFUNCTION("transpose(split(G51,CHAR(10)))"),500)</f>
        <v>500</v>
      </c>
    </row>
    <row r="52" spans="1:17" ht="14.4">
      <c r="F52" s="10" t="s">
        <v>1451</v>
      </c>
      <c r="G52" s="10">
        <v>1</v>
      </c>
      <c r="H52" s="10" t="s">
        <v>1452</v>
      </c>
      <c r="I52" s="10">
        <v>1000</v>
      </c>
      <c r="J52" s="44">
        <v>0.68000000715255704</v>
      </c>
      <c r="K52" s="10">
        <v>335</v>
      </c>
      <c r="L52" s="10">
        <f t="shared" si="4"/>
        <v>227.80000239610661</v>
      </c>
      <c r="M52" s="10" t="s">
        <v>1420</v>
      </c>
    </row>
    <row r="53" spans="1:17" ht="13.2">
      <c r="F53" s="10" t="s">
        <v>733</v>
      </c>
      <c r="G53" s="10">
        <v>30</v>
      </c>
      <c r="H53" s="10" t="s">
        <v>1422</v>
      </c>
      <c r="I53" s="10">
        <f>G53*0.927</f>
        <v>27.810000000000002</v>
      </c>
      <c r="J53" s="10">
        <v>1</v>
      </c>
      <c r="K53" s="41">
        <v>5295</v>
      </c>
      <c r="L53" s="10">
        <f t="shared" si="4"/>
        <v>147.25395</v>
      </c>
      <c r="M53" s="10" t="s">
        <v>1423</v>
      </c>
    </row>
    <row r="54" spans="1:17" ht="13.2">
      <c r="F54" s="10" t="s">
        <v>651</v>
      </c>
      <c r="G54" s="10">
        <v>1</v>
      </c>
      <c r="H54" s="10" t="s">
        <v>1416</v>
      </c>
      <c r="I54" s="10">
        <v>70</v>
      </c>
      <c r="J54" s="10">
        <v>0.9</v>
      </c>
      <c r="K54" s="41">
        <v>209</v>
      </c>
      <c r="L54" s="10">
        <f t="shared" si="4"/>
        <v>13.167</v>
      </c>
      <c r="M54" s="10" t="s">
        <v>1425</v>
      </c>
      <c r="N54" s="10">
        <f>(((2*1400/3)*4.2*80/0.63)+(60/60)*5773920)*(10^-6)*50+(((2*1400/3)*4.2*80/0.63)+(11/60)*5773920)*(10^-6)*50</f>
        <v>391.40137777777778</v>
      </c>
    </row>
    <row r="55" spans="1:17" ht="14.4">
      <c r="F55" s="10" t="s">
        <v>737</v>
      </c>
      <c r="G55" s="10">
        <v>2</v>
      </c>
      <c r="H55" s="10" t="s">
        <v>1416</v>
      </c>
      <c r="I55" s="10">
        <f>2*4.4</f>
        <v>8.8000000000000007</v>
      </c>
      <c r="J55" s="42">
        <v>0.85799998044967596</v>
      </c>
      <c r="K55" s="10">
        <v>209</v>
      </c>
      <c r="L55" s="10">
        <f t="shared" si="4"/>
        <v>1.5780335640430443</v>
      </c>
      <c r="M55" s="10" t="s">
        <v>1428</v>
      </c>
    </row>
    <row r="56" spans="1:17" ht="13.2">
      <c r="F56" s="10" t="s">
        <v>1449</v>
      </c>
      <c r="G56" s="10">
        <v>25</v>
      </c>
      <c r="H56" s="10" t="s">
        <v>1444</v>
      </c>
      <c r="I56" s="10">
        <v>25</v>
      </c>
      <c r="J56" s="43">
        <v>0.83399999141693104</v>
      </c>
      <c r="K56" s="41">
        <v>337</v>
      </c>
      <c r="L56" s="10">
        <f t="shared" si="4"/>
        <v>7.0264499276876444</v>
      </c>
      <c r="M56" s="10" t="s">
        <v>1429</v>
      </c>
    </row>
    <row r="57" spans="1:17" ht="13.2">
      <c r="F57" s="10" t="s">
        <v>1440</v>
      </c>
      <c r="G57" s="10" t="s">
        <v>1439</v>
      </c>
      <c r="H57" s="10">
        <v>0</v>
      </c>
      <c r="I57" s="10">
        <v>0</v>
      </c>
      <c r="J57" s="10">
        <v>1</v>
      </c>
      <c r="K57" s="10">
        <v>1560</v>
      </c>
      <c r="L57" s="10">
        <f t="shared" si="4"/>
        <v>0</v>
      </c>
      <c r="M57" s="10" t="s">
        <v>1430</v>
      </c>
      <c r="N57" s="10">
        <f>(((I53*1.96*160)/0.63)+(9/60)*5773920+(1/60)*5773920+(3.5/60)*5773920)*(10^-6)*50</f>
        <v>65.648759999999996</v>
      </c>
    </row>
    <row r="58" spans="1:17" ht="13.2">
      <c r="M58" s="10" t="s">
        <v>1432</v>
      </c>
    </row>
    <row r="59" spans="1:17" ht="13.2">
      <c r="M59" s="10" t="s">
        <v>1433</v>
      </c>
    </row>
    <row r="60" spans="1:17" ht="13.2">
      <c r="M60" s="10" t="s">
        <v>1434</v>
      </c>
    </row>
    <row r="61" spans="1:17" ht="13.2">
      <c r="M61" s="10" t="s">
        <v>1437</v>
      </c>
      <c r="N61" s="10">
        <f>((2/60)*5773920)*(10^-6)*50</f>
        <v>9.6232000000000006</v>
      </c>
    </row>
    <row r="63" spans="1:17" ht="13.2">
      <c r="K63" s="10" t="s">
        <v>1441</v>
      </c>
      <c r="L63" s="10">
        <f>SUM(L46:L57)</f>
        <v>4325.1196682762638</v>
      </c>
      <c r="M63" s="10" t="s">
        <v>1442</v>
      </c>
      <c r="N63" s="10">
        <f>SUM(N51:N61)</f>
        <v>466.67333777777776</v>
      </c>
    </row>
    <row r="64" spans="1:17" ht="13.2">
      <c r="F64" s="184" t="s">
        <v>907</v>
      </c>
      <c r="G64" s="180"/>
      <c r="H64" s="180"/>
      <c r="I64" s="180"/>
      <c r="J64" s="180"/>
      <c r="K64" s="180"/>
      <c r="L64" s="180"/>
      <c r="M64" s="180"/>
      <c r="N64" s="180"/>
      <c r="O64" s="180"/>
    </row>
    <row r="65" spans="6:17" ht="13.2">
      <c r="F65" s="10" t="s">
        <v>1408</v>
      </c>
      <c r="G65" s="10" t="s">
        <v>543</v>
      </c>
      <c r="H65" s="10" t="s">
        <v>1409</v>
      </c>
      <c r="I65" s="10" t="s">
        <v>1410</v>
      </c>
      <c r="J65" s="10" t="s">
        <v>1411</v>
      </c>
      <c r="K65" s="10" t="s">
        <v>1412</v>
      </c>
      <c r="L65" s="10" t="s">
        <v>1413</v>
      </c>
      <c r="M65" s="179" t="s">
        <v>1414</v>
      </c>
      <c r="N65" s="180"/>
      <c r="O65" s="10" t="s">
        <v>1415</v>
      </c>
    </row>
    <row r="66" spans="6:17" ht="14.4">
      <c r="F66" s="10" t="s">
        <v>1450</v>
      </c>
      <c r="G66" s="10">
        <v>500</v>
      </c>
      <c r="H66" s="10" t="s">
        <v>1444</v>
      </c>
      <c r="I66" s="10">
        <v>500</v>
      </c>
      <c r="J66" s="42">
        <v>0.76800000667571999</v>
      </c>
      <c r="K66" s="10">
        <v>1642</v>
      </c>
      <c r="L66" s="10">
        <f t="shared" ref="L66:L76" si="5">K66*J66*I66/1000</f>
        <v>630.52800548076607</v>
      </c>
      <c r="M66" s="10" t="s">
        <v>1417</v>
      </c>
      <c r="P66" s="10" t="str">
        <f ca="1">IFERROR(__xludf.DUMMYFUNCTION("transpose(split(F66,CHAR(10)))"),"beef jerky")</f>
        <v>beef jerky</v>
      </c>
      <c r="Q66" s="10">
        <f ca="1">IFERROR(__xludf.DUMMYFUNCTION("transpose(split(G66,CHAR(10)))"),500)</f>
        <v>500</v>
      </c>
    </row>
    <row r="67" spans="6:17" ht="13.2">
      <c r="F67" s="10" t="s">
        <v>733</v>
      </c>
      <c r="G67" s="10">
        <v>45</v>
      </c>
      <c r="H67" s="10" t="s">
        <v>1422</v>
      </c>
      <c r="I67" s="10">
        <f>G67*0.927</f>
        <v>41.715000000000003</v>
      </c>
      <c r="J67" s="10">
        <v>1</v>
      </c>
      <c r="K67" s="41">
        <v>5295</v>
      </c>
      <c r="L67" s="10">
        <f t="shared" si="5"/>
        <v>220.88092500000002</v>
      </c>
      <c r="M67" s="10" t="s">
        <v>1420</v>
      </c>
    </row>
    <row r="68" spans="6:17" ht="13.2">
      <c r="F68" s="10" t="s">
        <v>1453</v>
      </c>
      <c r="G68" s="10">
        <v>115</v>
      </c>
      <c r="H68" s="10" t="s">
        <v>1444</v>
      </c>
      <c r="I68" s="10">
        <v>115</v>
      </c>
      <c r="J68" s="10">
        <v>1</v>
      </c>
      <c r="K68" s="41">
        <v>14500</v>
      </c>
      <c r="L68" s="10">
        <f t="shared" si="5"/>
        <v>1667.5</v>
      </c>
      <c r="M68" s="10" t="s">
        <v>1423</v>
      </c>
    </row>
    <row r="69" spans="6:17" ht="13.2">
      <c r="F69" s="10" t="s">
        <v>651</v>
      </c>
      <c r="G69" s="10">
        <v>1</v>
      </c>
      <c r="H69" s="10" t="s">
        <v>1416</v>
      </c>
      <c r="I69" s="10">
        <f>70*G69</f>
        <v>70</v>
      </c>
      <c r="J69" s="10">
        <v>0.9</v>
      </c>
      <c r="K69" s="10">
        <v>209</v>
      </c>
      <c r="L69" s="10">
        <f t="shared" si="5"/>
        <v>13.167</v>
      </c>
      <c r="M69" s="10" t="s">
        <v>1425</v>
      </c>
      <c r="N69" s="10">
        <f>(((2*1400/3)*4.2*80/0.63)+(52.5/60)*5773920)*(10^-6)*50+(((2*4700/3)*4.2*80/0.63)+(17.5/60)*5773920)*(10^-6)*50</f>
        <v>445.25644444444441</v>
      </c>
    </row>
    <row r="70" spans="6:17" ht="14.4">
      <c r="F70" s="10" t="s">
        <v>737</v>
      </c>
      <c r="G70" s="10">
        <v>3</v>
      </c>
      <c r="H70" s="10" t="s">
        <v>1416</v>
      </c>
      <c r="I70" s="10">
        <f>4.4*G70</f>
        <v>13.200000000000001</v>
      </c>
      <c r="J70" s="42">
        <v>0.85799998044967596</v>
      </c>
      <c r="K70" s="10">
        <v>209</v>
      </c>
      <c r="L70" s="10">
        <f t="shared" si="5"/>
        <v>2.3670503460645662</v>
      </c>
      <c r="M70" s="10" t="s">
        <v>1428</v>
      </c>
    </row>
    <row r="71" spans="6:17" ht="13.2">
      <c r="F71" s="10" t="s">
        <v>1454</v>
      </c>
      <c r="G71" s="10">
        <v>65</v>
      </c>
      <c r="H71" s="10" t="s">
        <v>1444</v>
      </c>
      <c r="I71" s="10">
        <v>65</v>
      </c>
      <c r="J71" s="10">
        <v>1</v>
      </c>
      <c r="K71" s="41">
        <v>14500</v>
      </c>
      <c r="L71" s="10">
        <f t="shared" si="5"/>
        <v>942.5</v>
      </c>
      <c r="M71" s="10" t="s">
        <v>1429</v>
      </c>
    </row>
    <row r="72" spans="6:17" ht="13.2">
      <c r="F72" s="10" t="s">
        <v>1455</v>
      </c>
      <c r="G72" s="10">
        <v>375</v>
      </c>
      <c r="H72" s="10" t="s">
        <v>1444</v>
      </c>
      <c r="I72" s="10">
        <v>375</v>
      </c>
      <c r="J72" s="10">
        <v>1</v>
      </c>
      <c r="K72" s="10">
        <v>2506</v>
      </c>
      <c r="L72" s="10">
        <f t="shared" si="5"/>
        <v>939.75</v>
      </c>
      <c r="M72" s="10" t="s">
        <v>1430</v>
      </c>
      <c r="N72" s="10">
        <f>(((I67*1.96*160)/0.63)+(2/60)*5773920+(1/60)*5773920+(2/60)*5773920+(0.5/60)*5773920)*(10^-6)*50</f>
        <v>27.502040000000001</v>
      </c>
    </row>
    <row r="73" spans="6:17" ht="13.2">
      <c r="F73" s="10" t="s">
        <v>1456</v>
      </c>
      <c r="G73" s="10">
        <v>1</v>
      </c>
      <c r="H73" s="10" t="s">
        <v>1416</v>
      </c>
      <c r="I73" s="10">
        <v>45</v>
      </c>
      <c r="L73" s="10">
        <f t="shared" si="5"/>
        <v>0</v>
      </c>
      <c r="M73" s="10" t="s">
        <v>1432</v>
      </c>
    </row>
    <row r="74" spans="6:17" ht="13.2">
      <c r="F74" s="10" t="s">
        <v>1449</v>
      </c>
      <c r="G74" s="10">
        <v>30</v>
      </c>
      <c r="H74" s="10" t="s">
        <v>1422</v>
      </c>
      <c r="I74" s="10">
        <f>0.11*G74</f>
        <v>3.3</v>
      </c>
      <c r="J74" s="43">
        <v>0.83399999141693104</v>
      </c>
      <c r="K74" s="41">
        <v>337</v>
      </c>
      <c r="L74" s="10">
        <f t="shared" si="5"/>
        <v>0.92749139045476892</v>
      </c>
      <c r="M74" s="10" t="s">
        <v>1433</v>
      </c>
    </row>
    <row r="75" spans="6:17" ht="14.4">
      <c r="F75" s="10" t="s">
        <v>1457</v>
      </c>
      <c r="G75" s="10">
        <v>2</v>
      </c>
      <c r="H75" s="10" t="s">
        <v>1458</v>
      </c>
      <c r="I75" s="10">
        <f>6.2*2</f>
        <v>12.4</v>
      </c>
      <c r="J75" s="42">
        <v>0.83399999141693104</v>
      </c>
      <c r="K75" s="41">
        <v>209</v>
      </c>
      <c r="L75" s="10">
        <f t="shared" si="5"/>
        <v>2.1613943777561184</v>
      </c>
      <c r="M75" s="10" t="s">
        <v>1434</v>
      </c>
    </row>
    <row r="76" spans="6:17" ht="13.2">
      <c r="F76" s="10" t="s">
        <v>1440</v>
      </c>
      <c r="G76" s="10" t="s">
        <v>1439</v>
      </c>
      <c r="H76" s="10">
        <v>0</v>
      </c>
      <c r="I76" s="10">
        <v>0</v>
      </c>
      <c r="J76" s="10">
        <v>1</v>
      </c>
      <c r="K76" s="10">
        <v>1560</v>
      </c>
      <c r="L76" s="10">
        <f t="shared" si="5"/>
        <v>0</v>
      </c>
      <c r="M76" s="10" t="s">
        <v>1437</v>
      </c>
    </row>
    <row r="78" spans="6:17" ht="13.2">
      <c r="K78" s="10" t="s">
        <v>1441</v>
      </c>
      <c r="L78" s="10">
        <f>SUM(L66:L76)</f>
        <v>4419.7818665950417</v>
      </c>
      <c r="M78" s="10" t="s">
        <v>1442</v>
      </c>
      <c r="N78" s="10">
        <f>SUM(N66:N76)</f>
        <v>472.75848444444443</v>
      </c>
    </row>
    <row r="79" spans="6:17" ht="13.2">
      <c r="F79" s="184" t="s">
        <v>911</v>
      </c>
      <c r="G79" s="180"/>
      <c r="H79" s="180"/>
      <c r="I79" s="180"/>
      <c r="J79" s="180"/>
      <c r="K79" s="180"/>
      <c r="L79" s="180"/>
      <c r="M79" s="180"/>
      <c r="N79" s="180"/>
      <c r="O79" s="180"/>
    </row>
    <row r="80" spans="6:17" ht="13.2">
      <c r="F80" s="10" t="s">
        <v>1408</v>
      </c>
      <c r="G80" s="10" t="s">
        <v>543</v>
      </c>
      <c r="H80" s="10" t="s">
        <v>1409</v>
      </c>
      <c r="I80" s="10" t="s">
        <v>1410</v>
      </c>
      <c r="J80" s="10" t="s">
        <v>1411</v>
      </c>
      <c r="K80" s="10" t="s">
        <v>1412</v>
      </c>
      <c r="L80" s="10" t="s">
        <v>1413</v>
      </c>
      <c r="M80" s="179" t="s">
        <v>1414</v>
      </c>
      <c r="N80" s="180"/>
      <c r="O80" s="10" t="s">
        <v>1415</v>
      </c>
    </row>
    <row r="81" spans="4:17" ht="14.4">
      <c r="F81" s="10" t="s">
        <v>1459</v>
      </c>
      <c r="G81" s="10">
        <v>1.25</v>
      </c>
      <c r="H81" s="10" t="s">
        <v>1427</v>
      </c>
      <c r="I81" s="10">
        <v>1250</v>
      </c>
      <c r="J81" s="44">
        <v>0.76800000667571999</v>
      </c>
      <c r="K81" s="41">
        <v>26938</v>
      </c>
      <c r="L81" s="10">
        <f>K81*J81*I81/1000</f>
        <v>25860.480224788182</v>
      </c>
      <c r="M81" s="10" t="s">
        <v>1417</v>
      </c>
      <c r="P81" s="10" t="str">
        <f ca="1">IFERROR(__xludf.DUMMYFUNCTION("transpose(split(F81,CHAR(10)))"),"picanha")</f>
        <v>picanha</v>
      </c>
      <c r="Q81" s="10">
        <f ca="1">IFERROR(__xludf.DUMMYFUNCTION("transpose(split(G81,CHAR(10)))"),1.25)</f>
        <v>1.25</v>
      </c>
    </row>
    <row r="82" spans="4:17" ht="13.2">
      <c r="F82" s="10" t="s">
        <v>1460</v>
      </c>
      <c r="G82" s="10">
        <v>30</v>
      </c>
      <c r="H82" s="10" t="s">
        <v>1422</v>
      </c>
      <c r="I82" s="10">
        <f>30*1.28</f>
        <v>38.4</v>
      </c>
      <c r="M82" s="10" t="s">
        <v>1420</v>
      </c>
    </row>
    <row r="83" spans="4:17" ht="13.2">
      <c r="M83" s="10" t="s">
        <v>1423</v>
      </c>
    </row>
    <row r="84" spans="4:17" ht="13.2">
      <c r="M84" s="10" t="s">
        <v>1425</v>
      </c>
    </row>
    <row r="85" spans="4:17" ht="13.2">
      <c r="M85" s="10" t="s">
        <v>1428</v>
      </c>
    </row>
    <row r="86" spans="4:17" ht="13.2">
      <c r="M86" s="10" t="s">
        <v>1429</v>
      </c>
    </row>
    <row r="87" spans="4:17" ht="13.2">
      <c r="M87" s="10" t="s">
        <v>1430</v>
      </c>
    </row>
    <row r="88" spans="4:17" ht="13.2">
      <c r="M88" s="10" t="s">
        <v>1432</v>
      </c>
    </row>
    <row r="89" spans="4:17" ht="13.2">
      <c r="M89" s="10" t="s">
        <v>1433</v>
      </c>
    </row>
    <row r="90" spans="4:17" ht="13.2">
      <c r="M90" s="10" t="s">
        <v>1434</v>
      </c>
    </row>
    <row r="91" spans="4:17" ht="13.2">
      <c r="M91" s="10" t="s">
        <v>1437</v>
      </c>
    </row>
    <row r="92" spans="4:17" ht="13.2">
      <c r="M92" s="10" t="s">
        <v>1461</v>
      </c>
    </row>
    <row r="93" spans="4:17" ht="13.2">
      <c r="K93" s="10" t="s">
        <v>1441</v>
      </c>
      <c r="L93" s="10">
        <f>SUM(L81:L91)</f>
        <v>25860.480224788182</v>
      </c>
      <c r="M93" s="10" t="s">
        <v>1442</v>
      </c>
      <c r="N93" s="10">
        <f>SUM(N81:N91)</f>
        <v>0</v>
      </c>
    </row>
    <row r="94" spans="4:17" ht="13.2">
      <c r="F94" s="185" t="s">
        <v>1070</v>
      </c>
      <c r="G94" s="180"/>
      <c r="H94" s="180"/>
      <c r="I94" s="180"/>
      <c r="J94" s="180"/>
      <c r="K94" s="180"/>
      <c r="L94" s="180"/>
      <c r="M94" s="180"/>
      <c r="N94" s="180"/>
    </row>
    <row r="95" spans="4:17" ht="13.2">
      <c r="F95" s="10" t="s">
        <v>1408</v>
      </c>
      <c r="G95" s="10" t="s">
        <v>543</v>
      </c>
      <c r="H95" s="10" t="s">
        <v>1409</v>
      </c>
      <c r="I95" s="10" t="s">
        <v>1410</v>
      </c>
      <c r="J95" s="10" t="s">
        <v>1411</v>
      </c>
      <c r="K95" s="10" t="s">
        <v>1412</v>
      </c>
      <c r="L95" s="10" t="s">
        <v>1413</v>
      </c>
      <c r="M95" s="179" t="s">
        <v>1414</v>
      </c>
      <c r="N95" s="180"/>
      <c r="O95" s="10" t="s">
        <v>1415</v>
      </c>
    </row>
    <row r="96" spans="4:17" ht="13.2">
      <c r="D96" s="18"/>
      <c r="E96" s="18"/>
      <c r="F96" s="18" t="s">
        <v>1443</v>
      </c>
      <c r="G96" s="18">
        <v>907</v>
      </c>
      <c r="H96" s="10" t="s">
        <v>1444</v>
      </c>
      <c r="I96" s="10">
        <v>907</v>
      </c>
      <c r="J96" s="10">
        <v>0.82299999999999995</v>
      </c>
      <c r="K96" s="10">
        <v>943</v>
      </c>
      <c r="L96" s="10">
        <f t="shared" ref="L96:L110" si="6">K96*J96*I96/1000</f>
        <v>703.91272300000003</v>
      </c>
      <c r="M96" s="10" t="s">
        <v>1417</v>
      </c>
      <c r="P96" s="10" t="str">
        <f ca="1">IFERROR(__xludf.DUMMYFUNCTION("transpose(split(F96,CHAR(10)))"),"fillet steak")</f>
        <v>fillet steak</v>
      </c>
      <c r="Q96" s="10">
        <f ca="1">IFERROR(__xludf.DUMMYFUNCTION("transpose(split(G96,CHAR(10)))"),907)</f>
        <v>907</v>
      </c>
    </row>
    <row r="97" spans="6:14" ht="13.2">
      <c r="F97" s="10" t="s">
        <v>646</v>
      </c>
      <c r="G97" s="10" t="s">
        <v>1439</v>
      </c>
      <c r="H97" s="10">
        <v>0</v>
      </c>
      <c r="I97" s="10">
        <v>0</v>
      </c>
      <c r="J97" s="10">
        <v>1</v>
      </c>
      <c r="L97" s="10">
        <f t="shared" si="6"/>
        <v>0</v>
      </c>
      <c r="M97" s="10" t="s">
        <v>1420</v>
      </c>
    </row>
    <row r="98" spans="6:14" ht="13.2">
      <c r="F98" s="10" t="s">
        <v>1440</v>
      </c>
      <c r="G98" s="10" t="s">
        <v>1439</v>
      </c>
      <c r="H98" s="10">
        <v>0</v>
      </c>
      <c r="I98" s="10">
        <v>0</v>
      </c>
      <c r="J98" s="10">
        <v>1</v>
      </c>
      <c r="K98" s="10">
        <v>1560</v>
      </c>
      <c r="L98" s="10">
        <f t="shared" si="6"/>
        <v>0</v>
      </c>
      <c r="M98" s="10" t="s">
        <v>1423</v>
      </c>
    </row>
    <row r="99" spans="6:14" ht="13.2">
      <c r="F99" s="10" t="s">
        <v>1462</v>
      </c>
      <c r="G99" s="10">
        <v>7</v>
      </c>
      <c r="H99" s="10" t="s">
        <v>1444</v>
      </c>
      <c r="I99" s="10">
        <v>7</v>
      </c>
      <c r="J99" s="10">
        <v>1</v>
      </c>
      <c r="L99" s="10">
        <f t="shared" si="6"/>
        <v>0</v>
      </c>
      <c r="M99" s="10" t="s">
        <v>1425</v>
      </c>
    </row>
    <row r="100" spans="6:14" ht="13.2">
      <c r="F100" s="10" t="s">
        <v>1463</v>
      </c>
      <c r="G100" s="10">
        <v>8</v>
      </c>
      <c r="H100" s="10" t="s">
        <v>1444</v>
      </c>
      <c r="I100" s="10">
        <v>8</v>
      </c>
      <c r="J100" s="10">
        <v>1</v>
      </c>
      <c r="K100" s="10">
        <v>443</v>
      </c>
      <c r="L100" s="10">
        <f t="shared" si="6"/>
        <v>3.544</v>
      </c>
      <c r="M100" s="10" t="s">
        <v>1428</v>
      </c>
    </row>
    <row r="101" spans="6:14" ht="13.2">
      <c r="F101" s="10" t="s">
        <v>1421</v>
      </c>
      <c r="G101" s="10">
        <v>35</v>
      </c>
      <c r="H101" s="10" t="s">
        <v>1422</v>
      </c>
      <c r="I101" s="10">
        <v>35</v>
      </c>
      <c r="J101" s="10">
        <v>1</v>
      </c>
      <c r="K101" s="10">
        <v>1245</v>
      </c>
      <c r="L101" s="10">
        <f t="shared" si="6"/>
        <v>43.575000000000003</v>
      </c>
      <c r="M101" s="10" t="s">
        <v>1429</v>
      </c>
    </row>
    <row r="102" spans="6:14" ht="13.2">
      <c r="F102" s="10" t="s">
        <v>652</v>
      </c>
      <c r="G102" s="10">
        <v>28</v>
      </c>
      <c r="H102" s="10" t="s">
        <v>1444</v>
      </c>
      <c r="I102" s="10">
        <v>28</v>
      </c>
      <c r="J102" s="10">
        <v>1</v>
      </c>
      <c r="K102" s="10">
        <v>794</v>
      </c>
      <c r="L102" s="10">
        <f t="shared" si="6"/>
        <v>22.231999999999999</v>
      </c>
      <c r="M102" s="10" t="s">
        <v>1430</v>
      </c>
      <c r="N102" s="10">
        <f>(((5*0.914*1.96*160)/0.63)+(4/60)*5773920+((30*0.914*1.97*160)/0.63)+(5/60)*5773920+(3/60)*5773920)*(10^-6)*50</f>
        <v>58.538877460317465</v>
      </c>
    </row>
    <row r="103" spans="6:14" ht="13.2">
      <c r="F103" s="10" t="s">
        <v>651</v>
      </c>
      <c r="G103" s="10">
        <v>2</v>
      </c>
      <c r="H103" s="10" t="s">
        <v>1416</v>
      </c>
      <c r="I103" s="10">
        <f>2*70</f>
        <v>140</v>
      </c>
      <c r="J103" s="10">
        <v>0.9</v>
      </c>
      <c r="K103" s="10">
        <v>209</v>
      </c>
      <c r="L103" s="10">
        <f t="shared" si="6"/>
        <v>26.334</v>
      </c>
      <c r="M103" s="10" t="s">
        <v>1432</v>
      </c>
    </row>
    <row r="104" spans="6:14" ht="13.2">
      <c r="F104" s="10" t="s">
        <v>1464</v>
      </c>
      <c r="G104" s="10">
        <v>60</v>
      </c>
      <c r="H104" s="10" t="s">
        <v>1422</v>
      </c>
      <c r="I104" s="10">
        <f>G104*0.948</f>
        <v>56.879999999999995</v>
      </c>
      <c r="J104" s="10">
        <v>1</v>
      </c>
      <c r="K104" s="10">
        <v>1400</v>
      </c>
      <c r="L104" s="10">
        <f t="shared" si="6"/>
        <v>79.632000000000005</v>
      </c>
      <c r="M104" s="10" t="s">
        <v>1433</v>
      </c>
    </row>
    <row r="105" spans="6:14" ht="13.2">
      <c r="F105" s="10" t="s">
        <v>1465</v>
      </c>
      <c r="G105" s="10">
        <v>15</v>
      </c>
      <c r="H105" s="10" t="s">
        <v>1422</v>
      </c>
      <c r="I105" s="10">
        <f t="shared" ref="I105:I106" si="7">1.15*G105</f>
        <v>17.25</v>
      </c>
      <c r="J105" s="10">
        <v>1</v>
      </c>
      <c r="K105" s="10">
        <v>44570</v>
      </c>
      <c r="L105" s="10">
        <f t="shared" si="6"/>
        <v>768.83249999999998</v>
      </c>
      <c r="M105" s="10" t="s">
        <v>1434</v>
      </c>
    </row>
    <row r="106" spans="6:14" ht="13.2">
      <c r="F106" s="10" t="s">
        <v>596</v>
      </c>
      <c r="G106" s="10">
        <v>30</v>
      </c>
      <c r="H106" s="10" t="s">
        <v>1422</v>
      </c>
      <c r="I106" s="10">
        <f t="shared" si="7"/>
        <v>34.5</v>
      </c>
      <c r="J106" s="10">
        <v>1</v>
      </c>
      <c r="K106" s="10">
        <v>1500</v>
      </c>
      <c r="L106" s="10">
        <f t="shared" si="6"/>
        <v>51.75</v>
      </c>
      <c r="M106" s="10" t="s">
        <v>1437</v>
      </c>
      <c r="N106" s="10">
        <f>((10/60)*50*5773920+(5/60)*50*5773920+(7.5/60)*50*5773920)*(10^-6)</f>
        <v>108.26099999999998</v>
      </c>
    </row>
    <row r="107" spans="6:14" ht="13.2">
      <c r="F107" s="10" t="s">
        <v>1466</v>
      </c>
      <c r="G107" s="10">
        <v>30</v>
      </c>
      <c r="H107" s="10" t="s">
        <v>1422</v>
      </c>
      <c r="I107" s="10">
        <f>1.01*G107</f>
        <v>30.3</v>
      </c>
      <c r="J107" s="10">
        <v>1</v>
      </c>
      <c r="L107" s="10">
        <f t="shared" si="6"/>
        <v>0</v>
      </c>
    </row>
    <row r="108" spans="6:14" ht="13.2">
      <c r="F108" s="10" t="s">
        <v>658</v>
      </c>
      <c r="G108" s="10">
        <v>397</v>
      </c>
      <c r="H108" s="10" t="s">
        <v>1444</v>
      </c>
      <c r="I108" s="10">
        <v>397</v>
      </c>
      <c r="J108" s="43">
        <v>0.83399999141693104</v>
      </c>
      <c r="K108" s="10">
        <v>752</v>
      </c>
      <c r="L108" s="10">
        <f t="shared" si="6"/>
        <v>248.98569343757623</v>
      </c>
    </row>
    <row r="109" spans="6:14" ht="13.2">
      <c r="F109" s="10" t="s">
        <v>679</v>
      </c>
      <c r="G109" s="10">
        <v>170</v>
      </c>
      <c r="H109" s="10" t="s">
        <v>1444</v>
      </c>
      <c r="I109" s="10">
        <v>170</v>
      </c>
      <c r="J109" s="10">
        <v>1</v>
      </c>
      <c r="K109" s="10">
        <v>1730</v>
      </c>
      <c r="L109" s="10">
        <f t="shared" si="6"/>
        <v>294.10000000000002</v>
      </c>
    </row>
    <row r="110" spans="6:14" ht="13.2">
      <c r="F110" s="10" t="s">
        <v>1467</v>
      </c>
      <c r="G110" s="10">
        <v>240</v>
      </c>
      <c r="H110" s="10" t="s">
        <v>1422</v>
      </c>
      <c r="I110" s="10">
        <f>0.994*240</f>
        <v>238.56</v>
      </c>
      <c r="J110" s="10">
        <v>1</v>
      </c>
      <c r="K110" s="10">
        <v>2004</v>
      </c>
      <c r="L110" s="10">
        <f t="shared" si="6"/>
        <v>478.07423999999997</v>
      </c>
    </row>
    <row r="112" spans="6:14" ht="13.2">
      <c r="K112" s="10" t="s">
        <v>1441</v>
      </c>
      <c r="L112" s="10">
        <f>SUM(L96:L110)</f>
        <v>2720.9721564375759</v>
      </c>
      <c r="M112" s="10" t="s">
        <v>1442</v>
      </c>
      <c r="N112" s="10">
        <f>SUM(N96:N109)</f>
        <v>166.79987746031745</v>
      </c>
    </row>
    <row r="114" spans="4:17" ht="13.2">
      <c r="F114" s="185" t="s">
        <v>1077</v>
      </c>
      <c r="G114" s="180"/>
      <c r="H114" s="180"/>
      <c r="I114" s="180"/>
      <c r="J114" s="180"/>
      <c r="K114" s="180"/>
      <c r="L114" s="180"/>
      <c r="M114" s="180"/>
      <c r="N114" s="180"/>
      <c r="O114" s="180"/>
    </row>
    <row r="115" spans="4:17" ht="13.2">
      <c r="F115" s="10" t="s">
        <v>1408</v>
      </c>
      <c r="G115" s="10" t="s">
        <v>543</v>
      </c>
      <c r="H115" s="10" t="s">
        <v>1409</v>
      </c>
      <c r="I115" s="10" t="s">
        <v>1410</v>
      </c>
      <c r="J115" s="10" t="s">
        <v>1411</v>
      </c>
      <c r="K115" s="10" t="s">
        <v>1412</v>
      </c>
      <c r="L115" s="10" t="s">
        <v>1413</v>
      </c>
      <c r="M115" s="179" t="s">
        <v>1468</v>
      </c>
      <c r="N115" s="180"/>
      <c r="O115" s="10" t="s">
        <v>1415</v>
      </c>
    </row>
    <row r="116" spans="4:17" ht="13.2">
      <c r="D116" s="18"/>
      <c r="E116" s="18"/>
      <c r="F116" s="18" t="s">
        <v>1469</v>
      </c>
      <c r="G116" s="18">
        <v>1.1000000000000001</v>
      </c>
      <c r="H116" s="10" t="s">
        <v>1427</v>
      </c>
      <c r="I116" s="10">
        <v>1100</v>
      </c>
      <c r="J116" s="43" t="e">
        <f t="array" aca="1" ref="J116" ca="1">_xludf.XLOOKUP(F116, analysis!A:A, analysis!I:I)</f>
        <v>#NAME?</v>
      </c>
      <c r="K116" s="10" t="e">
        <f t="array" aca="1" ref="K116" ca="1">_xludf.XLOOKUP(F116, analysis!A:A, analysis!J:J)</f>
        <v>#NAME?</v>
      </c>
      <c r="L116" s="10" t="e">
        <f t="shared" ref="L116:L132" ca="1" si="8">J116*I116*K116/1000</f>
        <v>#NAME?</v>
      </c>
      <c r="M116" s="10" t="s">
        <v>1417</v>
      </c>
      <c r="P116" s="10" t="str">
        <f ca="1">IFERROR(__xludf.DUMMYFUNCTION("transpose(split(F116,CHAR(10)))"),"chuck roast")</f>
        <v>chuck roast</v>
      </c>
      <c r="Q116" s="10">
        <f ca="1">IFERROR(__xludf.DUMMYFUNCTION("transpose(split(G116,CHAR(10)))"),1.1)</f>
        <v>1.1000000000000001</v>
      </c>
    </row>
    <row r="117" spans="4:17" ht="13.2">
      <c r="F117" s="10" t="s">
        <v>646</v>
      </c>
      <c r="G117" s="10" t="s">
        <v>1439</v>
      </c>
      <c r="H117" s="10">
        <v>0</v>
      </c>
      <c r="I117" s="10">
        <v>0</v>
      </c>
      <c r="J117" s="43" t="e">
        <f t="array" aca="1" ref="J117" ca="1">_xludf.XLOOKUP(F117, analysis!A:A, analysis!I:I)</f>
        <v>#NAME?</v>
      </c>
      <c r="K117" s="10" t="e">
        <f t="array" aca="1" ref="K117" ca="1">_xludf.XLOOKUP(F117, analysis!A:A, analysis!J:J)</f>
        <v>#NAME?</v>
      </c>
      <c r="L117" s="10" t="e">
        <f t="shared" ca="1" si="8"/>
        <v>#NAME?</v>
      </c>
      <c r="M117" s="10" t="s">
        <v>1420</v>
      </c>
    </row>
    <row r="118" spans="4:17" ht="13.2">
      <c r="F118" s="10" t="s">
        <v>1440</v>
      </c>
      <c r="G118" s="10" t="s">
        <v>1439</v>
      </c>
      <c r="H118" s="10">
        <v>0</v>
      </c>
      <c r="I118" s="10">
        <v>0</v>
      </c>
      <c r="J118" s="43" t="e">
        <f t="array" aca="1" ref="J118" ca="1">_xludf.XLOOKUP(F118, analysis!A:A, analysis!I:I)</f>
        <v>#NAME?</v>
      </c>
      <c r="K118" s="10" t="e">
        <f t="array" aca="1" ref="K118" ca="1">_xludf.XLOOKUP(F118, analysis!A:A, analysis!J:J)</f>
        <v>#NAME?</v>
      </c>
      <c r="L118" s="10" t="e">
        <f t="shared" ca="1" si="8"/>
        <v>#NAME?</v>
      </c>
      <c r="M118" s="10" t="s">
        <v>1423</v>
      </c>
    </row>
    <row r="119" spans="4:17" ht="13.2">
      <c r="F119" s="10" t="s">
        <v>733</v>
      </c>
      <c r="G119" s="10">
        <v>15</v>
      </c>
      <c r="H119" s="10" t="s">
        <v>1422</v>
      </c>
      <c r="I119" s="10">
        <f>15*0.927</f>
        <v>13.905000000000001</v>
      </c>
      <c r="J119" s="43" t="e">
        <f t="array" aca="1" ref="J119" ca="1">_xludf.XLOOKUP(F119, analysis!A:A, analysis!I:I)</f>
        <v>#NAME?</v>
      </c>
      <c r="K119" s="10" t="e">
        <f t="array" aca="1" ref="K119" ca="1">_xludf.XLOOKUP(F119, analysis!A:A, analysis!J:J)</f>
        <v>#NAME?</v>
      </c>
      <c r="L119" s="10" t="e">
        <f t="shared" ca="1" si="8"/>
        <v>#NAME?</v>
      </c>
      <c r="M119" s="10" t="s">
        <v>1425</v>
      </c>
      <c r="N119" s="10">
        <f>((I127)*4.2*80/0.63+(150/60)*5773920)*(10^-6)*50</f>
        <v>728.14</v>
      </c>
    </row>
    <row r="120" spans="4:17" ht="13.2">
      <c r="F120" s="10" t="s">
        <v>651</v>
      </c>
      <c r="G120" s="10">
        <v>2</v>
      </c>
      <c r="H120" s="10" t="s">
        <v>1416</v>
      </c>
      <c r="I120" s="10">
        <f>70*2</f>
        <v>140</v>
      </c>
      <c r="J120" s="43" t="e">
        <f t="array" aca="1" ref="J120" ca="1">_xludf.XLOOKUP(F120, analysis!A:A, analysis!I:I)</f>
        <v>#NAME?</v>
      </c>
      <c r="K120" s="10" t="e">
        <f t="array" aca="1" ref="K120" ca="1">_xludf.XLOOKUP(F120, analysis!A:A, analysis!J:J)</f>
        <v>#NAME?</v>
      </c>
      <c r="L120" s="10" t="e">
        <f t="shared" ca="1" si="8"/>
        <v>#NAME?</v>
      </c>
      <c r="M120" s="10" t="s">
        <v>1428</v>
      </c>
    </row>
    <row r="121" spans="4:17" ht="13.2">
      <c r="F121" s="10" t="s">
        <v>737</v>
      </c>
      <c r="G121" s="10">
        <v>4</v>
      </c>
      <c r="H121" s="10" t="s">
        <v>1416</v>
      </c>
      <c r="I121" s="10">
        <f>4.4*4</f>
        <v>17.600000000000001</v>
      </c>
      <c r="J121" s="43" t="e">
        <f t="array" aca="1" ref="J121" ca="1">_xludf.XLOOKUP(F121, analysis!A:A, analysis!I:I)</f>
        <v>#NAME?</v>
      </c>
      <c r="K121" s="10" t="e">
        <f t="array" aca="1" ref="K121" ca="1">_xludf.XLOOKUP(F121, analysis!A:A, analysis!J:J)</f>
        <v>#NAME?</v>
      </c>
      <c r="L121" s="10" t="e">
        <f t="shared" ca="1" si="8"/>
        <v>#NAME?</v>
      </c>
      <c r="M121" s="10" t="s">
        <v>1429</v>
      </c>
    </row>
    <row r="122" spans="4:17" ht="13.2">
      <c r="F122" s="10" t="s">
        <v>1470</v>
      </c>
      <c r="G122" s="10">
        <v>120</v>
      </c>
      <c r="H122" s="10" t="s">
        <v>1422</v>
      </c>
      <c r="I122" s="10">
        <f>120*0.99</f>
        <v>118.8</v>
      </c>
      <c r="J122" s="43" t="e">
        <f t="array" aca="1" ref="J122" ca="1">_xludf.XLOOKUP(F122, analysis!A:A, analysis!I:I)</f>
        <v>#NAME?</v>
      </c>
      <c r="K122" s="10" t="e">
        <f t="array" aca="1" ref="K122" ca="1">_xludf.XLOOKUP(F122, analysis!A:A, analysis!J:J)</f>
        <v>#NAME?</v>
      </c>
      <c r="L122" s="10" t="e">
        <f t="shared" ca="1" si="8"/>
        <v>#NAME?</v>
      </c>
      <c r="M122" s="10" t="s">
        <v>1430</v>
      </c>
      <c r="N122" s="10">
        <f>(((I119*1.96*160)/0.63)+(6.5/60)*5773920+(3/60)*5773920+(1/60)*5773920+(2/60)*5773920)*10^-6*50</f>
        <v>60.491079999999997</v>
      </c>
    </row>
    <row r="123" spans="4:17" ht="13.2">
      <c r="F123" s="10" t="s">
        <v>1471</v>
      </c>
      <c r="G123" s="10">
        <v>16</v>
      </c>
      <c r="H123" s="10" t="s">
        <v>1444</v>
      </c>
      <c r="I123" s="10">
        <v>16</v>
      </c>
      <c r="J123" s="43" t="e">
        <f t="array" aca="1" ref="J123" ca="1">_xludf.XLOOKUP(F123, analysis!A:A, analysis!I:I)</f>
        <v>#NAME?</v>
      </c>
      <c r="K123" s="10" t="e">
        <f t="array" aca="1" ref="K123" ca="1">_xludf.XLOOKUP(F123, analysis!A:A, analysis!J:J)</f>
        <v>#NAME?</v>
      </c>
      <c r="L123" s="10" t="e">
        <f t="shared" ca="1" si="8"/>
        <v>#NAME?</v>
      </c>
      <c r="M123" s="10" t="s">
        <v>1432</v>
      </c>
    </row>
    <row r="124" spans="4:17" ht="13.2">
      <c r="F124" s="10" t="s">
        <v>708</v>
      </c>
      <c r="G124" s="10">
        <v>14</v>
      </c>
      <c r="H124" s="10" t="s">
        <v>1444</v>
      </c>
      <c r="I124" s="10">
        <v>14</v>
      </c>
      <c r="J124" s="43" t="e">
        <f t="array" aca="1" ref="J124" ca="1">_xludf.XLOOKUP(F124, analysis!A:A, analysis!I:I)</f>
        <v>#NAME?</v>
      </c>
      <c r="K124" s="10" t="e">
        <f t="array" aca="1" ref="K124" ca="1">_xludf.XLOOKUP(F124, analysis!A:A, analysis!J:J)</f>
        <v>#NAME?</v>
      </c>
      <c r="L124" s="10" t="e">
        <f t="shared" ca="1" si="8"/>
        <v>#NAME?</v>
      </c>
      <c r="M124" s="10" t="s">
        <v>1433</v>
      </c>
    </row>
    <row r="125" spans="4:17" ht="13.2">
      <c r="F125" s="10" t="s">
        <v>657</v>
      </c>
      <c r="G125" s="10">
        <v>397</v>
      </c>
      <c r="H125" s="10" t="s">
        <v>1444</v>
      </c>
      <c r="I125" s="10">
        <v>397</v>
      </c>
      <c r="J125" s="43" t="e">
        <f t="array" aca="1" ref="J125" ca="1">_xludf.XLOOKUP(F125, analysis!A:A, analysis!I:I)</f>
        <v>#NAME?</v>
      </c>
      <c r="K125" s="10" t="e">
        <f t="array" aca="1" ref="K125" ca="1">_xludf.XLOOKUP(F125, analysis!A:A, analysis!J:J)</f>
        <v>#NAME?</v>
      </c>
      <c r="L125" s="10" t="e">
        <f t="shared" ca="1" si="8"/>
        <v>#NAME?</v>
      </c>
      <c r="M125" s="10" t="s">
        <v>1434</v>
      </c>
    </row>
    <row r="126" spans="4:17" ht="13.2">
      <c r="F126" s="10" t="s">
        <v>1472</v>
      </c>
      <c r="G126" s="10">
        <v>30</v>
      </c>
      <c r="H126" s="10" t="s">
        <v>1422</v>
      </c>
      <c r="I126" s="10">
        <f>1.01*30</f>
        <v>30.3</v>
      </c>
      <c r="J126" s="43" t="e">
        <f t="array" aca="1" ref="J126" ca="1">_xludf.XLOOKUP(F126, analysis!A:A, analysis!I:I)</f>
        <v>#NAME?</v>
      </c>
      <c r="K126" s="10" t="e">
        <f t="array" aca="1" ref="K126" ca="1">_xludf.XLOOKUP(F126, analysis!A:A, analysis!J:J)</f>
        <v>#NAME?</v>
      </c>
      <c r="L126" s="10" t="e">
        <f t="shared" ca="1" si="8"/>
        <v>#NAME?</v>
      </c>
      <c r="M126" s="10" t="s">
        <v>1437</v>
      </c>
    </row>
    <row r="127" spans="4:17" ht="13.2">
      <c r="F127" s="10" t="s">
        <v>1473</v>
      </c>
      <c r="G127" s="10">
        <v>240</v>
      </c>
      <c r="H127" s="10" t="s">
        <v>1422</v>
      </c>
      <c r="I127" s="10">
        <v>240</v>
      </c>
      <c r="J127" s="43" t="e">
        <f t="array" aca="1" ref="J127" ca="1">_xludf.XLOOKUP(F127, analysis!A:A, analysis!I:I)</f>
        <v>#NAME?</v>
      </c>
      <c r="K127" s="10" t="e">
        <f t="array" aca="1" ref="K127" ca="1">_xludf.XLOOKUP(F127, analysis!A:A, analysis!J:J)</f>
        <v>#NAME?</v>
      </c>
      <c r="L127" s="10" t="e">
        <f t="shared" ca="1" si="8"/>
        <v>#NAME?</v>
      </c>
      <c r="M127" s="10" t="s">
        <v>1474</v>
      </c>
      <c r="N127" s="10">
        <f>((5/60)*5773920)*(10^-6)*50</f>
        <v>24.058</v>
      </c>
    </row>
    <row r="128" spans="4:17" ht="13.2">
      <c r="F128" s="10" t="s">
        <v>711</v>
      </c>
      <c r="G128" s="10">
        <v>1</v>
      </c>
      <c r="H128" s="10" t="s">
        <v>1416</v>
      </c>
      <c r="I128" s="10">
        <f>0.25*1</f>
        <v>0.25</v>
      </c>
      <c r="J128" s="43" t="e">
        <f t="array" aca="1" ref="J128" ca="1">_xludf.XLOOKUP(F128, analysis!A:A, analysis!I:I)</f>
        <v>#NAME?</v>
      </c>
      <c r="K128" s="10" t="e">
        <f t="array" aca="1" ref="K128" ca="1">_xludf.XLOOKUP(F128, analysis!A:A, analysis!J:J)</f>
        <v>#NAME?</v>
      </c>
      <c r="L128" s="10" t="e">
        <f t="shared" ca="1" si="8"/>
        <v>#NAME?</v>
      </c>
    </row>
    <row r="129" spans="4:17" ht="13.2">
      <c r="F129" s="10" t="s">
        <v>1475</v>
      </c>
      <c r="G129" s="10">
        <v>2</v>
      </c>
      <c r="H129" s="10" t="s">
        <v>1416</v>
      </c>
      <c r="I129" s="10">
        <f>2*55</f>
        <v>110</v>
      </c>
      <c r="J129" s="43" t="e">
        <f t="array" aca="1" ref="J129" ca="1">_xludf.XLOOKUP(F129, analysis!A:A, analysis!I:I)</f>
        <v>#NAME?</v>
      </c>
      <c r="K129" s="10" t="e">
        <f t="array" aca="1" ref="K129" ca="1">_xludf.XLOOKUP(F129, analysis!A:A, analysis!J:J)</f>
        <v>#NAME?</v>
      </c>
      <c r="L129" s="10" t="e">
        <f t="shared" ca="1" si="8"/>
        <v>#NAME?</v>
      </c>
    </row>
    <row r="130" spans="4:17" ht="13.2">
      <c r="F130" s="10" t="s">
        <v>1476</v>
      </c>
      <c r="G130" s="10">
        <v>10</v>
      </c>
      <c r="H130" s="10" t="s">
        <v>1422</v>
      </c>
      <c r="I130" s="10">
        <f>10*1.2</f>
        <v>12</v>
      </c>
      <c r="J130" s="43" t="e">
        <f t="array" aca="1" ref="J130" ca="1">_xludf.XLOOKUP(F130, analysis!A:A, analysis!I:I)</f>
        <v>#NAME?</v>
      </c>
      <c r="K130" s="10" t="e">
        <f t="array" aca="1" ref="K130" ca="1">_xludf.XLOOKUP(F130, analysis!A:A, analysis!J:J)</f>
        <v>#NAME?</v>
      </c>
      <c r="L130" s="10" t="e">
        <f t="shared" ca="1" si="8"/>
        <v>#NAME?</v>
      </c>
    </row>
    <row r="131" spans="4:17" ht="13.2">
      <c r="F131" s="10" t="s">
        <v>1449</v>
      </c>
      <c r="G131" s="10">
        <v>21</v>
      </c>
      <c r="H131" s="10" t="s">
        <v>1444</v>
      </c>
      <c r="I131" s="10">
        <v>21</v>
      </c>
      <c r="J131" s="43" t="e">
        <f t="array" aca="1" ref="J131" ca="1">_xludf.XLOOKUP(F131, analysis!A:A, analysis!I:I)</f>
        <v>#NAME?</v>
      </c>
      <c r="K131" s="10" t="e">
        <f t="array" aca="1" ref="K131" ca="1">_xludf.XLOOKUP(F131, analysis!A:A, analysis!J:J)</f>
        <v>#NAME?</v>
      </c>
      <c r="L131" s="10" t="e">
        <f t="shared" ca="1" si="8"/>
        <v>#NAME?</v>
      </c>
    </row>
    <row r="132" spans="4:17" ht="13.2">
      <c r="F132" s="10" t="s">
        <v>651</v>
      </c>
      <c r="G132" s="10">
        <v>2</v>
      </c>
      <c r="H132" s="10" t="s">
        <v>1416</v>
      </c>
      <c r="I132" s="10">
        <f>2*70</f>
        <v>140</v>
      </c>
      <c r="J132" s="43" t="e">
        <f t="array" aca="1" ref="J132" ca="1">_xludf.XLOOKUP(F132, analysis!A:A, analysis!I:I)</f>
        <v>#NAME?</v>
      </c>
      <c r="K132" s="10" t="e">
        <f t="array" aca="1" ref="K132" ca="1">_xludf.XLOOKUP(F132, analysis!A:A, analysis!J:J)</f>
        <v>#NAME?</v>
      </c>
      <c r="L132" s="10" t="e">
        <f t="shared" ca="1" si="8"/>
        <v>#NAME?</v>
      </c>
    </row>
    <row r="134" spans="4:17" ht="13.2">
      <c r="K134" s="10" t="s">
        <v>1441</v>
      </c>
      <c r="L134" s="10" t="e">
        <f ca="1">SUM(L116:L132)</f>
        <v>#NAME?</v>
      </c>
      <c r="M134" s="10" t="s">
        <v>1442</v>
      </c>
      <c r="N134" s="10">
        <f>SUM(N118:N131)</f>
        <v>812.68907999999999</v>
      </c>
    </row>
    <row r="136" spans="4:17" ht="13.2">
      <c r="F136" s="185" t="s">
        <v>1081</v>
      </c>
      <c r="G136" s="180"/>
      <c r="H136" s="180"/>
      <c r="I136" s="180"/>
      <c r="J136" s="180"/>
      <c r="K136" s="180"/>
      <c r="L136" s="180"/>
      <c r="M136" s="180"/>
      <c r="N136" s="180"/>
      <c r="O136" s="180"/>
    </row>
    <row r="137" spans="4:17" ht="13.2">
      <c r="F137" s="10" t="s">
        <v>1408</v>
      </c>
      <c r="G137" s="10" t="s">
        <v>543</v>
      </c>
      <c r="H137" s="10" t="s">
        <v>1409</v>
      </c>
      <c r="I137" s="10" t="s">
        <v>1410</v>
      </c>
      <c r="J137" s="10" t="s">
        <v>1411</v>
      </c>
      <c r="K137" s="10" t="s">
        <v>1412</v>
      </c>
      <c r="L137" s="10" t="s">
        <v>1413</v>
      </c>
      <c r="M137" s="179" t="s">
        <v>1468</v>
      </c>
      <c r="N137" s="180"/>
      <c r="O137" s="10" t="s">
        <v>1415</v>
      </c>
    </row>
    <row r="138" spans="4:17" ht="13.2">
      <c r="D138" s="18"/>
      <c r="E138" s="18"/>
      <c r="F138" s="18" t="s">
        <v>658</v>
      </c>
      <c r="G138" s="18" t="s">
        <v>1477</v>
      </c>
      <c r="H138" s="10" t="s">
        <v>1444</v>
      </c>
      <c r="I138" s="10">
        <v>794</v>
      </c>
      <c r="J138" s="43" t="e">
        <f t="array" aca="1" ref="J138" ca="1">_xludf.XLOOKUP(F138, analysis!A:A, analysis!I:I)</f>
        <v>#NAME?</v>
      </c>
      <c r="K138" s="10" t="e">
        <f t="array" aca="1" ref="K138" ca="1">_xludf.XLOOKUP(F138, analysis!A:A, analysis!J:J)</f>
        <v>#NAME?</v>
      </c>
      <c r="L138" s="10" t="e">
        <f t="shared" ref="L138:L152" ca="1" si="9">K138*I138*J138/1000</f>
        <v>#NAME?</v>
      </c>
      <c r="M138" s="10" t="s">
        <v>1417</v>
      </c>
      <c r="P138" s="10" t="str">
        <f ca="1">IFERROR(__xludf.DUMMYFUNCTION("transpose(split(F138,CHAR(10)))"),"tomato")</f>
        <v>tomato</v>
      </c>
      <c r="Q138" s="10" t="str">
        <f ca="1">IFERROR(__xludf.DUMMYFUNCTION("transpose(split(G138,CHAR(10)))"),"794g")</f>
        <v>794g</v>
      </c>
    </row>
    <row r="139" spans="4:17" ht="13.2">
      <c r="F139" s="10" t="s">
        <v>652</v>
      </c>
      <c r="G139" s="10" t="s">
        <v>1478</v>
      </c>
      <c r="H139" s="10" t="s">
        <v>1444</v>
      </c>
      <c r="I139" s="10">
        <v>57</v>
      </c>
      <c r="J139" s="43" t="e">
        <f t="array" aca="1" ref="J139" ca="1">_xludf.XLOOKUP(F139, analysis!A:A, analysis!I:I)</f>
        <v>#NAME?</v>
      </c>
      <c r="K139" s="10" t="e">
        <f t="array" aca="1" ref="K139" ca="1">_xludf.XLOOKUP(F139, analysis!A:A, analysis!J:J)</f>
        <v>#NAME?</v>
      </c>
      <c r="L139" s="10" t="e">
        <f t="shared" ca="1" si="9"/>
        <v>#NAME?</v>
      </c>
      <c r="M139" s="10" t="s">
        <v>1420</v>
      </c>
    </row>
    <row r="140" spans="4:17" ht="13.2">
      <c r="F140" s="10" t="s">
        <v>651</v>
      </c>
      <c r="G140" s="10">
        <v>1</v>
      </c>
      <c r="H140" s="10" t="s">
        <v>1416</v>
      </c>
      <c r="I140" s="10">
        <f>1*70</f>
        <v>70</v>
      </c>
      <c r="J140" s="43" t="e">
        <f t="array" aca="1" ref="J140" ca="1">_xludf.XLOOKUP(F140, analysis!A:A, analysis!I:I)</f>
        <v>#NAME?</v>
      </c>
      <c r="K140" s="10" t="e">
        <f t="array" aca="1" ref="K140" ca="1">_xludf.XLOOKUP(F140, analysis!A:A, analysis!J:J)</f>
        <v>#NAME?</v>
      </c>
      <c r="L140" s="10" t="e">
        <f t="shared" ca="1" si="9"/>
        <v>#NAME?</v>
      </c>
      <c r="M140" s="10" t="s">
        <v>1423</v>
      </c>
    </row>
    <row r="141" spans="4:17" ht="13.2">
      <c r="F141" s="10" t="s">
        <v>646</v>
      </c>
      <c r="G141" s="10" t="s">
        <v>1439</v>
      </c>
      <c r="H141" s="10">
        <v>0</v>
      </c>
      <c r="I141" s="10">
        <v>0</v>
      </c>
      <c r="J141" s="43" t="e">
        <f t="array" aca="1" ref="J141" ca="1">_xludf.XLOOKUP(F141, analysis!A:A, analysis!I:I)</f>
        <v>#NAME?</v>
      </c>
      <c r="K141" s="10" t="e">
        <f t="array" aca="1" ref="K141" ca="1">_xludf.XLOOKUP(F141, analysis!A:A, analysis!J:J)</f>
        <v>#NAME?</v>
      </c>
      <c r="L141" s="10" t="e">
        <f t="shared" ca="1" si="9"/>
        <v>#NAME?</v>
      </c>
      <c r="M141" s="10" t="s">
        <v>1425</v>
      </c>
    </row>
    <row r="142" spans="4:17" ht="13.2">
      <c r="F142" s="10" t="s">
        <v>1440</v>
      </c>
      <c r="G142" s="10" t="s">
        <v>1439</v>
      </c>
      <c r="H142" s="10">
        <v>0</v>
      </c>
      <c r="I142" s="10">
        <v>0</v>
      </c>
      <c r="J142" s="43" t="e">
        <f t="array" aca="1" ref="J142" ca="1">_xludf.XLOOKUP(F142, analysis!A:A, analysis!I:I)</f>
        <v>#NAME?</v>
      </c>
      <c r="K142" s="10" t="e">
        <f t="array" aca="1" ref="K142" ca="1">_xludf.XLOOKUP(F142, analysis!A:A, analysis!J:J)</f>
        <v>#NAME?</v>
      </c>
      <c r="L142" s="10" t="e">
        <f t="shared" ca="1" si="9"/>
        <v>#NAME?</v>
      </c>
      <c r="M142" s="10" t="s">
        <v>1428</v>
      </c>
    </row>
    <row r="143" spans="4:17" ht="13.2">
      <c r="F143" s="10" t="s">
        <v>1443</v>
      </c>
      <c r="G143" s="10" t="s">
        <v>1479</v>
      </c>
      <c r="H143" s="10" t="s">
        <v>1444</v>
      </c>
      <c r="I143" s="10">
        <v>454</v>
      </c>
      <c r="J143" s="43" t="e">
        <f t="array" aca="1" ref="J143" ca="1">_xludf.XLOOKUP(F143, analysis!A:A, analysis!I:I)</f>
        <v>#NAME?</v>
      </c>
      <c r="K143" s="10" t="e">
        <f t="array" aca="1" ref="K143" ca="1">_xludf.XLOOKUP(F143, analysis!A:A, analysis!J:J)</f>
        <v>#NAME?</v>
      </c>
      <c r="L143" s="10" t="e">
        <f t="shared" ca="1" si="9"/>
        <v>#NAME?</v>
      </c>
      <c r="M143" s="10" t="s">
        <v>1429</v>
      </c>
      <c r="N143" s="10">
        <f>((2*2200/3)*0.927*1.96*160/0.63+(5/60)*5773920)*(10^-6)*50</f>
        <v>57.896933333333337</v>
      </c>
    </row>
    <row r="144" spans="4:17" ht="13.2">
      <c r="F144" s="10" t="s">
        <v>646</v>
      </c>
      <c r="G144" s="10" t="s">
        <v>1480</v>
      </c>
      <c r="H144" s="10">
        <v>0</v>
      </c>
      <c r="I144" s="10">
        <v>0</v>
      </c>
      <c r="J144" s="43" t="e">
        <f t="array" aca="1" ref="J144" ca="1">_xludf.XLOOKUP(F144, analysis!A:A, analysis!I:I)</f>
        <v>#NAME?</v>
      </c>
      <c r="K144" s="10" t="e">
        <f t="array" aca="1" ref="K144" ca="1">_xludf.XLOOKUP(F144, analysis!A:A, analysis!J:J)</f>
        <v>#NAME?</v>
      </c>
      <c r="L144" s="10" t="e">
        <f t="shared" ca="1" si="9"/>
        <v>#NAME?</v>
      </c>
      <c r="M144" s="10" t="s">
        <v>1430</v>
      </c>
    </row>
    <row r="145" spans="4:17" ht="13.2">
      <c r="F145" s="10" t="s">
        <v>1440</v>
      </c>
      <c r="G145" s="10" t="s">
        <v>1439</v>
      </c>
      <c r="H145" s="10">
        <v>0</v>
      </c>
      <c r="I145" s="10">
        <v>0</v>
      </c>
      <c r="J145" s="43" t="e">
        <f t="array" aca="1" ref="J145" ca="1">_xludf.XLOOKUP(F145, analysis!A:A, analysis!I:I)</f>
        <v>#NAME?</v>
      </c>
      <c r="K145" s="10" t="e">
        <f t="array" aca="1" ref="K145" ca="1">_xludf.XLOOKUP(F145, analysis!A:A, analysis!J:J)</f>
        <v>#NAME?</v>
      </c>
      <c r="L145" s="10" t="e">
        <f t="shared" ca="1" si="9"/>
        <v>#NAME?</v>
      </c>
      <c r="M145" s="10" t="s">
        <v>1432</v>
      </c>
      <c r="N145" s="10">
        <f>((1.012*1.2923*10^-3*70000*200/0.63)/0.13+(6.5/60)*5773920+(5/60)*5773920)*(10^-6)*50</f>
        <v>66.511242735042728</v>
      </c>
    </row>
    <row r="146" spans="4:17" ht="13.2">
      <c r="F146" s="10" t="s">
        <v>1463</v>
      </c>
      <c r="G146" s="10" t="s">
        <v>1481</v>
      </c>
      <c r="H146" s="10" t="s">
        <v>1444</v>
      </c>
      <c r="I146" s="10">
        <v>125</v>
      </c>
      <c r="J146" s="43" t="e">
        <f t="array" aca="1" ref="J146" ca="1">_xludf.XLOOKUP(F146, analysis!A:A, analysis!I:I)</f>
        <v>#NAME?</v>
      </c>
      <c r="K146" s="10" t="e">
        <f t="array" aca="1" ref="K146" ca="1">_xludf.XLOOKUP(F146, analysis!A:A, analysis!J:J)</f>
        <v>#NAME?</v>
      </c>
      <c r="L146" s="10" t="e">
        <f t="shared" ca="1" si="9"/>
        <v>#NAME?</v>
      </c>
      <c r="M146" s="10" t="s">
        <v>1433</v>
      </c>
    </row>
    <row r="147" spans="4:17" ht="13.2">
      <c r="F147" s="10" t="s">
        <v>642</v>
      </c>
      <c r="G147" s="10">
        <v>2</v>
      </c>
      <c r="H147" s="10" t="s">
        <v>1416</v>
      </c>
      <c r="I147" s="10">
        <f>2*45</f>
        <v>90</v>
      </c>
      <c r="J147" s="43" t="e">
        <f t="array" aca="1" ref="J147" ca="1">_xludf.XLOOKUP(F147, analysis!A:A, analysis!I:I)</f>
        <v>#NAME?</v>
      </c>
      <c r="K147" s="10" t="e">
        <f t="array" aca="1" ref="K147" ca="1">_xludf.XLOOKUP(F147, analysis!A:A, analysis!J:J)</f>
        <v>#NAME?</v>
      </c>
      <c r="L147" s="10" t="e">
        <f t="shared" ca="1" si="9"/>
        <v>#NAME?</v>
      </c>
      <c r="M147" s="10" t="s">
        <v>1434</v>
      </c>
    </row>
    <row r="148" spans="4:17" ht="13.2">
      <c r="F148" s="10" t="s">
        <v>700</v>
      </c>
      <c r="G148" s="10" t="s">
        <v>1482</v>
      </c>
      <c r="H148" s="10" t="s">
        <v>1444</v>
      </c>
      <c r="I148" s="10">
        <v>216</v>
      </c>
      <c r="J148" s="43" t="e">
        <f t="array" aca="1" ref="J148" ca="1">_xludf.XLOOKUP(F148, analysis!A:A, analysis!I:I)</f>
        <v>#NAME?</v>
      </c>
      <c r="K148" s="10" t="e">
        <f t="array" aca="1" ref="K148" ca="1">_xludf.XLOOKUP(F148, analysis!A:A, analysis!J:J)</f>
        <v>#NAME?</v>
      </c>
      <c r="L148" s="10" t="e">
        <f t="shared" ca="1" si="9"/>
        <v>#NAME?</v>
      </c>
      <c r="M148" s="10" t="s">
        <v>1437</v>
      </c>
      <c r="N148" s="10">
        <f>((17.5/60)*5773920)*(10^-6)*50</f>
        <v>84.202999999999989</v>
      </c>
    </row>
    <row r="149" spans="4:17" ht="13.2">
      <c r="F149" s="10" t="s">
        <v>733</v>
      </c>
      <c r="G149" s="10" t="s">
        <v>1439</v>
      </c>
      <c r="H149" s="10">
        <v>0</v>
      </c>
      <c r="I149" s="10">
        <v>0</v>
      </c>
      <c r="J149" s="43" t="e">
        <f t="array" aca="1" ref="J149" ca="1">_xludf.XLOOKUP(F149, analysis!A:A, analysis!I:I)</f>
        <v>#NAME?</v>
      </c>
      <c r="K149" s="10" t="e">
        <f t="array" aca="1" ref="K149" ca="1">_xludf.XLOOKUP(F149, analysis!A:A, analysis!J:J)</f>
        <v>#NAME?</v>
      </c>
      <c r="L149" s="10" t="e">
        <f t="shared" ca="1" si="9"/>
        <v>#NAME?</v>
      </c>
      <c r="M149" s="10" t="s">
        <v>1474</v>
      </c>
    </row>
    <row r="150" spans="4:17" ht="13.2">
      <c r="F150" s="10" t="s">
        <v>737</v>
      </c>
      <c r="G150" s="10">
        <v>1</v>
      </c>
      <c r="H150" s="10" t="s">
        <v>1416</v>
      </c>
      <c r="I150" s="10">
        <f>1*4.4</f>
        <v>4.4000000000000004</v>
      </c>
      <c r="J150" s="43" t="e">
        <f t="array" aca="1" ref="J150" ca="1">_xludf.XLOOKUP(F150, analysis!A:A, analysis!I:I)</f>
        <v>#NAME?</v>
      </c>
      <c r="K150" s="10" t="e">
        <f t="array" aca="1" ref="K150" ca="1">_xludf.XLOOKUP(F150, analysis!A:A, analysis!J:J)</f>
        <v>#NAME?</v>
      </c>
      <c r="L150" s="10" t="e">
        <f t="shared" ca="1" si="9"/>
        <v>#NAME?</v>
      </c>
    </row>
    <row r="151" spans="4:17" ht="13.2">
      <c r="F151" s="10" t="s">
        <v>1483</v>
      </c>
      <c r="G151" s="10" t="s">
        <v>1484</v>
      </c>
      <c r="H151" s="10">
        <v>226</v>
      </c>
      <c r="I151" s="10">
        <v>226</v>
      </c>
      <c r="J151" s="43" t="e">
        <f t="array" aca="1" ref="J151" ca="1">_xludf.XLOOKUP(F151, analysis!A:A, analysis!I:I)</f>
        <v>#NAME?</v>
      </c>
      <c r="K151" s="10" t="e">
        <f t="array" aca="1" ref="K151" ca="1">_xludf.XLOOKUP(F151, analysis!A:A, analysis!J:J)</f>
        <v>#NAME?</v>
      </c>
      <c r="L151" s="10" t="e">
        <f t="shared" ca="1" si="9"/>
        <v>#NAME?</v>
      </c>
    </row>
    <row r="152" spans="4:17" ht="13.2">
      <c r="F152" s="10" t="s">
        <v>1485</v>
      </c>
      <c r="G152" s="10" t="s">
        <v>1486</v>
      </c>
      <c r="H152" s="10">
        <v>100</v>
      </c>
      <c r="I152" s="10">
        <v>100</v>
      </c>
      <c r="J152" s="43" t="e">
        <f t="array" aca="1" ref="J152" ca="1">_xludf.XLOOKUP(F152, analysis!A:A, analysis!I:I)</f>
        <v>#NAME?</v>
      </c>
      <c r="K152" s="10" t="e">
        <f t="array" aca="1" ref="K152" ca="1">_xludf.XLOOKUP(F152, analysis!A:A, analysis!J:J)</f>
        <v>#NAME?</v>
      </c>
      <c r="L152" s="10" t="e">
        <f t="shared" ca="1" si="9"/>
        <v>#NAME?</v>
      </c>
    </row>
    <row r="154" spans="4:17" ht="13.2">
      <c r="K154" s="10" t="s">
        <v>1441</v>
      </c>
      <c r="L154" s="10" t="e">
        <f ca="1">SUM(L138:L152)</f>
        <v>#NAME?</v>
      </c>
      <c r="M154" s="10" t="s">
        <v>1442</v>
      </c>
      <c r="N154" s="10">
        <f>SUM(N138:N151)</f>
        <v>208.61117606837604</v>
      </c>
    </row>
    <row r="156" spans="4:17" ht="13.2">
      <c r="F156" s="185" t="s">
        <v>1327</v>
      </c>
      <c r="G156" s="180"/>
      <c r="H156" s="180"/>
      <c r="I156" s="180"/>
      <c r="J156" s="180"/>
      <c r="K156" s="180"/>
      <c r="L156" s="180"/>
      <c r="M156" s="180"/>
      <c r="N156" s="180"/>
      <c r="O156" s="180"/>
    </row>
    <row r="157" spans="4:17" ht="13.2">
      <c r="D157" s="18"/>
      <c r="E157" s="18"/>
      <c r="F157" s="18" t="s">
        <v>1408</v>
      </c>
      <c r="G157" s="18" t="s">
        <v>543</v>
      </c>
      <c r="H157" s="10" t="s">
        <v>1409</v>
      </c>
      <c r="I157" s="10" t="s">
        <v>1410</v>
      </c>
      <c r="J157" s="10" t="s">
        <v>1411</v>
      </c>
      <c r="K157" s="10" t="s">
        <v>1412</v>
      </c>
      <c r="L157" s="10" t="s">
        <v>1413</v>
      </c>
      <c r="M157" s="179" t="s">
        <v>1468</v>
      </c>
      <c r="N157" s="180"/>
      <c r="O157" s="10" t="s">
        <v>1415</v>
      </c>
    </row>
    <row r="158" spans="4:17" ht="13.2">
      <c r="D158" s="18"/>
      <c r="E158" s="18"/>
      <c r="F158" s="18" t="s">
        <v>1469</v>
      </c>
      <c r="G158" s="18">
        <v>1.5</v>
      </c>
      <c r="H158" s="10" t="s">
        <v>1444</v>
      </c>
      <c r="I158" s="10">
        <v>794</v>
      </c>
      <c r="J158" s="43" t="e">
        <f t="array" aca="1" ref="J158" ca="1">_xludf.XLOOKUP(F158, analysis!A:A, analysis!I:I)</f>
        <v>#NAME?</v>
      </c>
      <c r="K158" s="10" t="e">
        <f t="array" aca="1" ref="K158" ca="1">_xludf.XLOOKUP(F158, analysis!A:A, analysis!J:J)</f>
        <v>#NAME?</v>
      </c>
      <c r="L158" s="10" t="e">
        <f t="shared" ref="L158:L171" ca="1" si="10">K158*I158*J158/1000</f>
        <v>#NAME?</v>
      </c>
      <c r="M158" s="10" t="s">
        <v>1417</v>
      </c>
      <c r="P158" s="10" t="str">
        <f ca="1">IFERROR(__xludf.DUMMYFUNCTION("transpose(split(F158,CHAR(10)))"),"chuck roast")</f>
        <v>chuck roast</v>
      </c>
      <c r="Q158" s="10">
        <f ca="1">IFERROR(__xludf.DUMMYFUNCTION("transpose(split(G158,CHAR(10)))"),1.5)</f>
        <v>1.5</v>
      </c>
    </row>
    <row r="159" spans="4:17" ht="13.2">
      <c r="F159" s="10" t="s">
        <v>646</v>
      </c>
      <c r="G159" s="10" t="s">
        <v>1439</v>
      </c>
      <c r="H159" s="10">
        <v>0</v>
      </c>
      <c r="I159" s="10">
        <v>0</v>
      </c>
      <c r="J159" s="43" t="e">
        <f t="array" aca="1" ref="J159" ca="1">_xludf.XLOOKUP(F159, analysis!A:A, analysis!I:I)</f>
        <v>#NAME?</v>
      </c>
      <c r="K159" s="10" t="e">
        <f t="array" aca="1" ref="K159" ca="1">_xludf.XLOOKUP(F159, analysis!A:A, analysis!J:J)</f>
        <v>#NAME?</v>
      </c>
      <c r="L159" s="10" t="e">
        <f t="shared" ca="1" si="10"/>
        <v>#NAME?</v>
      </c>
      <c r="M159" s="10" t="s">
        <v>1420</v>
      </c>
    </row>
    <row r="160" spans="4:17" ht="13.2">
      <c r="F160" s="10" t="s">
        <v>1440</v>
      </c>
      <c r="G160" s="10" t="s">
        <v>1439</v>
      </c>
      <c r="H160" s="10">
        <v>0</v>
      </c>
      <c r="I160" s="10">
        <v>0</v>
      </c>
      <c r="J160" s="43" t="e">
        <f t="array" aca="1" ref="J160" ca="1">_xludf.XLOOKUP(F160, analysis!A:A, analysis!I:I)</f>
        <v>#NAME?</v>
      </c>
      <c r="K160" s="10" t="e">
        <f t="array" aca="1" ref="K160" ca="1">_xludf.XLOOKUP(F160, analysis!A:A, analysis!J:J)</f>
        <v>#NAME?</v>
      </c>
      <c r="L160" s="10" t="e">
        <f t="shared" ca="1" si="10"/>
        <v>#NAME?</v>
      </c>
      <c r="M160" s="10" t="s">
        <v>1423</v>
      </c>
    </row>
    <row r="161" spans="6:15" ht="13.2">
      <c r="F161" s="10" t="s">
        <v>1487</v>
      </c>
      <c r="G161" s="23">
        <v>46057</v>
      </c>
      <c r="H161" s="10" t="s">
        <v>1444</v>
      </c>
      <c r="I161" s="10">
        <v>3</v>
      </c>
      <c r="J161" s="43" t="e">
        <f t="array" aca="1" ref="J161" ca="1">_xludf.XLOOKUP(F161, analysis!A:A, analysis!I:I)</f>
        <v>#NAME?</v>
      </c>
      <c r="K161" s="10" t="e">
        <f t="array" aca="1" ref="K161" ca="1">_xludf.XLOOKUP(F161, analysis!A:A, analysis!J:J)</f>
        <v>#NAME?</v>
      </c>
      <c r="L161" s="10" t="e">
        <f t="shared" ca="1" si="10"/>
        <v>#NAME?</v>
      </c>
      <c r="M161" s="10" t="s">
        <v>1425</v>
      </c>
    </row>
    <row r="162" spans="6:15" ht="13.2">
      <c r="F162" s="10" t="s">
        <v>1488</v>
      </c>
      <c r="G162" s="10">
        <v>30</v>
      </c>
      <c r="H162" s="10" t="s">
        <v>1422</v>
      </c>
      <c r="I162" s="10">
        <f>1.01*30</f>
        <v>30.3</v>
      </c>
      <c r="J162" s="43" t="e">
        <f t="array" aca="1" ref="J162" ca="1">_xludf.XLOOKUP(F162, analysis!A:A, analysis!I:I)</f>
        <v>#NAME?</v>
      </c>
      <c r="K162" s="10" t="e">
        <f t="array" aca="1" ref="K162" ca="1">_xludf.XLOOKUP(F162, analysis!A:A, analysis!J:J)</f>
        <v>#NAME?</v>
      </c>
      <c r="L162" s="10" t="e">
        <f t="shared" ca="1" si="10"/>
        <v>#NAME?</v>
      </c>
      <c r="M162" s="10" t="s">
        <v>1428</v>
      </c>
    </row>
    <row r="163" spans="6:15" ht="13.2">
      <c r="F163" s="10" t="s">
        <v>651</v>
      </c>
      <c r="G163" s="10">
        <v>2</v>
      </c>
      <c r="H163" s="10" t="s">
        <v>1416</v>
      </c>
      <c r="I163" s="10">
        <f>2*70</f>
        <v>140</v>
      </c>
      <c r="J163" s="43" t="e">
        <f t="array" aca="1" ref="J163" ca="1">_xludf.XLOOKUP(F163, analysis!A:A, analysis!I:I)</f>
        <v>#NAME?</v>
      </c>
      <c r="K163" s="10" t="e">
        <f t="array" aca="1" ref="K163" ca="1">_xludf.XLOOKUP(F163, analysis!A:A, analysis!J:J)</f>
        <v>#NAME?</v>
      </c>
      <c r="L163" s="10" t="e">
        <f t="shared" ca="1" si="10"/>
        <v>#NAME?</v>
      </c>
      <c r="M163" s="10" t="s">
        <v>1429</v>
      </c>
    </row>
    <row r="164" spans="6:15" ht="13.2">
      <c r="F164" s="10" t="s">
        <v>658</v>
      </c>
      <c r="G164" s="10">
        <v>4</v>
      </c>
      <c r="H164" s="10" t="s">
        <v>1416</v>
      </c>
      <c r="I164" s="10">
        <f>4*100</f>
        <v>400</v>
      </c>
      <c r="J164" s="43" t="e">
        <f t="array" aca="1" ref="J164" ca="1">_xludf.XLOOKUP(F164, analysis!A:A, analysis!I:I)</f>
        <v>#NAME?</v>
      </c>
      <c r="K164" s="10" t="e">
        <f t="array" aca="1" ref="K164" ca="1">_xludf.XLOOKUP(F164, analysis!A:A, analysis!J:J)</f>
        <v>#NAME?</v>
      </c>
      <c r="L164" s="10" t="e">
        <f t="shared" ca="1" si="10"/>
        <v>#NAME?</v>
      </c>
      <c r="M164" s="10" t="s">
        <v>1430</v>
      </c>
    </row>
    <row r="165" spans="6:15" ht="13.2">
      <c r="F165" s="10" t="s">
        <v>737</v>
      </c>
      <c r="G165" s="10">
        <v>1</v>
      </c>
      <c r="H165" s="10" t="s">
        <v>1416</v>
      </c>
      <c r="I165" s="10">
        <f>1*4.4</f>
        <v>4.4000000000000004</v>
      </c>
      <c r="J165" s="43" t="e">
        <f t="array" aca="1" ref="J165" ca="1">_xludf.XLOOKUP(F165, analysis!A:A, analysis!I:I)</f>
        <v>#NAME?</v>
      </c>
      <c r="K165" s="10" t="e">
        <f t="array" aca="1" ref="K165" ca="1">_xludf.XLOOKUP(F165, analysis!A:A, analysis!J:J)</f>
        <v>#NAME?</v>
      </c>
      <c r="L165" s="10" t="e">
        <f t="shared" ca="1" si="10"/>
        <v>#NAME?</v>
      </c>
      <c r="M165" s="10" t="s">
        <v>1432</v>
      </c>
    </row>
    <row r="166" spans="6:15" ht="13.2">
      <c r="F166" s="10" t="s">
        <v>1449</v>
      </c>
      <c r="G166" s="10">
        <v>30</v>
      </c>
      <c r="H166" s="10" t="s">
        <v>1444</v>
      </c>
      <c r="I166" s="10">
        <v>30</v>
      </c>
      <c r="J166" s="43" t="e">
        <f t="array" aca="1" ref="J166" ca="1">_xludf.XLOOKUP(F166, analysis!A:A, analysis!I:I)</f>
        <v>#NAME?</v>
      </c>
      <c r="K166" s="10" t="e">
        <f t="array" aca="1" ref="K166" ca="1">_xludf.XLOOKUP(F166, analysis!A:A, analysis!J:J)</f>
        <v>#NAME?</v>
      </c>
      <c r="L166" s="10" t="e">
        <f t="shared" ca="1" si="10"/>
        <v>#NAME?</v>
      </c>
      <c r="M166" s="10" t="s">
        <v>1433</v>
      </c>
    </row>
    <row r="167" spans="6:15" ht="13.2">
      <c r="F167" s="10" t="s">
        <v>1457</v>
      </c>
      <c r="G167" s="10">
        <v>3</v>
      </c>
      <c r="H167" s="10" t="s">
        <v>1416</v>
      </c>
      <c r="I167" s="10">
        <f>3*6.2</f>
        <v>18.600000000000001</v>
      </c>
      <c r="J167" s="43" t="e">
        <f t="array" aca="1" ref="J167" ca="1">_xludf.XLOOKUP(F167, analysis!A:A, analysis!I:I)</f>
        <v>#NAME?</v>
      </c>
      <c r="K167" s="10" t="e">
        <f t="array" aca="1" ref="K167" ca="1">_xludf.XLOOKUP(F167, analysis!A:A, analysis!J:J)</f>
        <v>#NAME?</v>
      </c>
      <c r="L167" s="10" t="e">
        <f t="shared" ca="1" si="10"/>
        <v>#NAME?</v>
      </c>
      <c r="M167" s="10" t="s">
        <v>1434</v>
      </c>
      <c r="N167" s="10">
        <f>(((960)*4.2*100/0.63)+(120/60)*5773920)*(10^-6)*50</f>
        <v>609.39199999999994</v>
      </c>
    </row>
    <row r="168" spans="6:15" ht="13.2">
      <c r="F168" s="10" t="s">
        <v>733</v>
      </c>
      <c r="G168" s="10">
        <v>1</v>
      </c>
      <c r="H168" s="10" t="s">
        <v>1489</v>
      </c>
      <c r="I168" s="10">
        <f>5*0.927</f>
        <v>4.6349999999999998</v>
      </c>
      <c r="J168" s="43" t="e">
        <f t="array" aca="1" ref="J168" ca="1">_xludf.XLOOKUP(F168, analysis!A:A, analysis!I:I)</f>
        <v>#NAME?</v>
      </c>
      <c r="K168" s="10" t="e">
        <f t="array" aca="1" ref="K168" ca="1">_xludf.XLOOKUP(F168, analysis!A:A, analysis!J:J)</f>
        <v>#NAME?</v>
      </c>
      <c r="L168" s="10" t="e">
        <f t="shared" ca="1" si="10"/>
        <v>#NAME?</v>
      </c>
      <c r="M168" s="10" t="s">
        <v>1437</v>
      </c>
    </row>
    <row r="169" spans="6:15" ht="13.2">
      <c r="F169" s="10" t="s">
        <v>1445</v>
      </c>
      <c r="G169" s="10">
        <v>226</v>
      </c>
      <c r="H169" s="10" t="s">
        <v>1444</v>
      </c>
      <c r="I169" s="10">
        <v>226</v>
      </c>
      <c r="J169" s="43" t="e">
        <f t="array" aca="1" ref="J169" ca="1">_xludf.XLOOKUP(F169, analysis!A:A, analysis!I:I)</f>
        <v>#NAME?</v>
      </c>
      <c r="K169" s="10" t="e">
        <f t="array" aca="1" ref="K169" ca="1">_xludf.XLOOKUP(F169, analysis!A:A, analysis!J:J)</f>
        <v>#NAME?</v>
      </c>
      <c r="L169" s="10" t="e">
        <f t="shared" ca="1" si="10"/>
        <v>#NAME?</v>
      </c>
      <c r="M169" s="10" t="s">
        <v>1474</v>
      </c>
    </row>
    <row r="170" spans="6:15" ht="13.2">
      <c r="F170" s="10" t="s">
        <v>711</v>
      </c>
      <c r="G170" s="10">
        <v>3</v>
      </c>
      <c r="H170" s="10" t="s">
        <v>1416</v>
      </c>
      <c r="I170" s="10">
        <f>0.25*3</f>
        <v>0.75</v>
      </c>
      <c r="J170" s="43" t="e">
        <f t="array" aca="1" ref="J170" ca="1">_xludf.XLOOKUP(F170, analysis!A:A, analysis!I:I)</f>
        <v>#NAME?</v>
      </c>
      <c r="K170" s="10" t="e">
        <f t="array" aca="1" ref="K170" ca="1">_xludf.XLOOKUP(F170, analysis!A:A, analysis!J:J)</f>
        <v>#NAME?</v>
      </c>
      <c r="L170" s="10" t="e">
        <f t="shared" ca="1" si="10"/>
        <v>#NAME?</v>
      </c>
    </row>
    <row r="171" spans="6:15" ht="13.2">
      <c r="F171" s="10" t="s">
        <v>653</v>
      </c>
      <c r="G171" s="10">
        <v>960</v>
      </c>
      <c r="H171" s="10" t="s">
        <v>1422</v>
      </c>
      <c r="I171" s="10">
        <v>960</v>
      </c>
      <c r="J171" s="43" t="e">
        <f t="array" aca="1" ref="J171" ca="1">_xludf.XLOOKUP(F171, analysis!A:A, analysis!I:I)</f>
        <v>#NAME?</v>
      </c>
      <c r="K171" s="10" t="e">
        <f t="array" aca="1" ref="K171" ca="1">_xludf.XLOOKUP(F171, analysis!A:A, analysis!J:J)</f>
        <v>#NAME?</v>
      </c>
      <c r="L171" s="10" t="e">
        <f t="shared" ca="1" si="10"/>
        <v>#NAME?</v>
      </c>
    </row>
    <row r="173" spans="6:15" ht="13.2">
      <c r="K173" s="10" t="s">
        <v>1441</v>
      </c>
      <c r="L173" s="10" t="e">
        <f ca="1">SUM(L158:L171)</f>
        <v>#NAME?</v>
      </c>
      <c r="M173" s="10" t="s">
        <v>1442</v>
      </c>
      <c r="N173" s="10">
        <f>SUM(N158:N170)</f>
        <v>609.39199999999994</v>
      </c>
    </row>
    <row r="175" spans="6:15" ht="13.2">
      <c r="F175" s="185" t="s">
        <v>1089</v>
      </c>
      <c r="G175" s="180"/>
      <c r="H175" s="180"/>
      <c r="I175" s="180"/>
      <c r="J175" s="180"/>
      <c r="K175" s="180"/>
      <c r="L175" s="180"/>
      <c r="M175" s="180"/>
      <c r="N175" s="180"/>
      <c r="O175" s="180"/>
    </row>
    <row r="176" spans="6:15" ht="13.2">
      <c r="F176" s="18" t="s">
        <v>1408</v>
      </c>
      <c r="G176" s="18" t="s">
        <v>543</v>
      </c>
      <c r="H176" s="10" t="s">
        <v>1409</v>
      </c>
      <c r="I176" s="10" t="s">
        <v>1410</v>
      </c>
      <c r="J176" s="10" t="s">
        <v>1411</v>
      </c>
      <c r="K176" s="10" t="s">
        <v>1412</v>
      </c>
      <c r="L176" s="10" t="s">
        <v>1413</v>
      </c>
      <c r="M176" s="179" t="s">
        <v>1468</v>
      </c>
      <c r="N176" s="180"/>
      <c r="O176" s="10" t="s">
        <v>1415</v>
      </c>
    </row>
    <row r="177" spans="4:17" ht="13.2">
      <c r="D177" s="18"/>
      <c r="E177" s="18"/>
      <c r="F177" s="18" t="s">
        <v>737</v>
      </c>
      <c r="G177" s="18">
        <v>8</v>
      </c>
      <c r="H177" s="10" t="s">
        <v>1444</v>
      </c>
      <c r="I177" s="10">
        <v>794</v>
      </c>
      <c r="J177" s="43" t="e">
        <f t="array" aca="1" ref="J177" ca="1">_xludf.XLOOKUP(F177, analysis!A:A, analysis!I:I)</f>
        <v>#NAME?</v>
      </c>
      <c r="K177" s="10" t="e">
        <f t="array" aca="1" ref="K177" ca="1">_xludf.XLOOKUP(F177, analysis!A:A, analysis!J:J)</f>
        <v>#NAME?</v>
      </c>
      <c r="L177" s="10" t="e">
        <f t="shared" ref="L177:L185" ca="1" si="11">K177*I177*J177/1000</f>
        <v>#NAME?</v>
      </c>
      <c r="M177" s="10" t="s">
        <v>1417</v>
      </c>
      <c r="P177" s="10" t="str">
        <f ca="1">IFERROR(__xludf.DUMMYFUNCTION("transpose(split(F177,CHAR(10)))"),"clove garlic")</f>
        <v>clove garlic</v>
      </c>
      <c r="Q177" s="10">
        <f ca="1">IFERROR(__xludf.DUMMYFUNCTION("transpose(split(G177,CHAR(10)))"),8)</f>
        <v>8</v>
      </c>
    </row>
    <row r="178" spans="4:17" ht="13.2">
      <c r="F178" s="10" t="s">
        <v>1421</v>
      </c>
      <c r="G178" s="10">
        <v>80</v>
      </c>
      <c r="H178" s="10" t="s">
        <v>1422</v>
      </c>
      <c r="I178" s="10">
        <f>80*0.914</f>
        <v>73.12</v>
      </c>
      <c r="J178" s="43" t="e">
        <f t="array" aca="1" ref="J178" ca="1">_xludf.XLOOKUP(F178, analysis!A:A, analysis!I:I)</f>
        <v>#NAME?</v>
      </c>
      <c r="K178" s="10" t="e">
        <f t="array" aca="1" ref="K178" ca="1">_xludf.XLOOKUP(F178, analysis!A:A, analysis!J:J)</f>
        <v>#NAME?</v>
      </c>
      <c r="L178" s="10" t="e">
        <f t="shared" ca="1" si="11"/>
        <v>#NAME?</v>
      </c>
      <c r="M178" s="10" t="s">
        <v>1420</v>
      </c>
    </row>
    <row r="179" spans="4:17" ht="13.2">
      <c r="F179" s="10" t="s">
        <v>646</v>
      </c>
      <c r="G179" s="10" t="s">
        <v>1439</v>
      </c>
      <c r="H179" s="10">
        <v>0</v>
      </c>
      <c r="I179" s="10">
        <v>0</v>
      </c>
      <c r="J179" s="43" t="e">
        <f t="array" aca="1" ref="J179" ca="1">_xludf.XLOOKUP(F179, analysis!A:A, analysis!I:I)</f>
        <v>#NAME?</v>
      </c>
      <c r="K179" s="10" t="e">
        <f t="array" aca="1" ref="K179" ca="1">_xludf.XLOOKUP(F179, analysis!A:A, analysis!J:J)</f>
        <v>#NAME?</v>
      </c>
      <c r="L179" s="10" t="e">
        <f t="shared" ca="1" si="11"/>
        <v>#NAME?</v>
      </c>
      <c r="M179" s="10" t="s">
        <v>1423</v>
      </c>
    </row>
    <row r="180" spans="4:17" ht="13.2">
      <c r="F180" s="10" t="s">
        <v>1440</v>
      </c>
      <c r="G180" s="10" t="s">
        <v>1439</v>
      </c>
      <c r="H180" s="10">
        <v>0</v>
      </c>
      <c r="I180" s="10">
        <v>0</v>
      </c>
      <c r="J180" s="43" t="e">
        <f t="array" aca="1" ref="J180" ca="1">_xludf.XLOOKUP(F180, analysis!A:A, analysis!I:I)</f>
        <v>#NAME?</v>
      </c>
      <c r="K180" s="10" t="e">
        <f t="array" aca="1" ref="K180" ca="1">_xludf.XLOOKUP(F180, analysis!A:A, analysis!J:J)</f>
        <v>#NAME?</v>
      </c>
      <c r="L180" s="10" t="e">
        <f t="shared" ca="1" si="11"/>
        <v>#NAME?</v>
      </c>
      <c r="M180" s="10" t="s">
        <v>1425</v>
      </c>
      <c r="N180" s="10">
        <f>((2*1400/3)*4.2*80/0.63+(9/60)*5773920)*(10^-6)*50</f>
        <v>68.193288888888887</v>
      </c>
    </row>
    <row r="181" spans="4:17" ht="13.2">
      <c r="F181" s="10" t="s">
        <v>652</v>
      </c>
      <c r="G181" s="10">
        <v>57</v>
      </c>
      <c r="H181" s="10" t="s">
        <v>1444</v>
      </c>
      <c r="I181" s="10">
        <v>57</v>
      </c>
      <c r="J181" s="43" t="e">
        <f t="array" aca="1" ref="J181" ca="1">_xludf.XLOOKUP(F181, analysis!A:A, analysis!I:I)</f>
        <v>#NAME?</v>
      </c>
      <c r="K181" s="10" t="e">
        <f t="array" aca="1" ref="K181" ca="1">_xludf.XLOOKUP(F181, analysis!A:A, analysis!J:J)</f>
        <v>#NAME?</v>
      </c>
      <c r="L181" s="10" t="e">
        <f t="shared" ca="1" si="11"/>
        <v>#NAME?</v>
      </c>
      <c r="M181" s="10" t="s">
        <v>1428</v>
      </c>
    </row>
    <row r="182" spans="4:17" ht="13.2">
      <c r="F182" s="10" t="s">
        <v>1459</v>
      </c>
      <c r="G182" s="10">
        <v>1.6</v>
      </c>
      <c r="H182" s="10" t="s">
        <v>1427</v>
      </c>
      <c r="I182" s="10">
        <v>1600</v>
      </c>
      <c r="J182" s="43" t="e">
        <f t="array" aca="1" ref="J182" ca="1">_xludf.XLOOKUP(F182, analysis!A:A, analysis!I:I)</f>
        <v>#NAME?</v>
      </c>
      <c r="K182" s="10" t="e">
        <f t="array" aca="1" ref="K182" ca="1">_xludf.XLOOKUP(F182, analysis!A:A, analysis!J:J)</f>
        <v>#NAME?</v>
      </c>
      <c r="L182" s="10" t="e">
        <f t="shared" ca="1" si="11"/>
        <v>#NAME?</v>
      </c>
      <c r="M182" s="10" t="s">
        <v>1429</v>
      </c>
    </row>
    <row r="183" spans="4:17" ht="13.2">
      <c r="F183" s="10" t="s">
        <v>675</v>
      </c>
      <c r="G183" s="10">
        <v>8</v>
      </c>
      <c r="H183" s="10" t="s">
        <v>1416</v>
      </c>
      <c r="I183" s="10">
        <f>140*8</f>
        <v>1120</v>
      </c>
      <c r="J183" s="43" t="e">
        <f t="array" aca="1" ref="J183" ca="1">_xludf.XLOOKUP(F183, analysis!A:A, analysis!I:I)</f>
        <v>#NAME?</v>
      </c>
      <c r="K183" s="10" t="e">
        <f t="array" aca="1" ref="K183" ca="1">_xludf.XLOOKUP(F183, analysis!A:A, analysis!J:J)</f>
        <v>#NAME?</v>
      </c>
      <c r="L183" s="10" t="e">
        <f t="shared" ca="1" si="11"/>
        <v>#NAME?</v>
      </c>
      <c r="M183" s="10" t="s">
        <v>1430</v>
      </c>
    </row>
    <row r="184" spans="4:17" ht="13.2">
      <c r="F184" s="10" t="s">
        <v>1490</v>
      </c>
      <c r="G184" s="10">
        <v>3</v>
      </c>
      <c r="H184" s="10" t="s">
        <v>1416</v>
      </c>
      <c r="I184" s="10">
        <f>3*70</f>
        <v>210</v>
      </c>
      <c r="J184" s="43" t="e">
        <f t="array" aca="1" ref="J184" ca="1">_xludf.XLOOKUP(F184, analysis!A:A, analysis!I:I)</f>
        <v>#NAME?</v>
      </c>
      <c r="K184" s="10" t="e">
        <f t="array" aca="1" ref="K184" ca="1">_xludf.XLOOKUP(F184, analysis!A:A, analysis!J:J)</f>
        <v>#NAME?</v>
      </c>
      <c r="L184" s="10" t="e">
        <f t="shared" ca="1" si="11"/>
        <v>#NAME?</v>
      </c>
      <c r="M184" s="10" t="s">
        <v>1432</v>
      </c>
      <c r="N184" s="10">
        <f>((1.012*1.2923*10^-3*70000*180/0.63)/0.13+(45/60)*5773920)*(10^-6)*50</f>
        <v>226.58205846153848</v>
      </c>
    </row>
    <row r="185" spans="4:17" ht="13.2">
      <c r="F185" s="10" t="s">
        <v>1491</v>
      </c>
      <c r="G185" s="10">
        <v>4</v>
      </c>
      <c r="H185" s="10" t="s">
        <v>1416</v>
      </c>
      <c r="I185" s="10">
        <f>4*0.82</f>
        <v>3.28</v>
      </c>
      <c r="J185" s="43" t="e">
        <f t="array" aca="1" ref="J185" ca="1">_xludf.XLOOKUP(F185, analysis!A:A, analysis!I:I)</f>
        <v>#NAME?</v>
      </c>
      <c r="K185" s="10" t="e">
        <f t="array" aca="1" ref="K185" ca="1">_xludf.XLOOKUP(F185, analysis!A:A, analysis!J:J)</f>
        <v>#NAME?</v>
      </c>
      <c r="L185" s="10" t="e">
        <f t="shared" ca="1" si="11"/>
        <v>#NAME?</v>
      </c>
      <c r="M185" s="10" t="s">
        <v>1433</v>
      </c>
    </row>
    <row r="186" spans="4:17" ht="13.2">
      <c r="M186" s="10" t="s">
        <v>1434</v>
      </c>
    </row>
    <row r="187" spans="4:17" ht="13.2">
      <c r="M187" s="10" t="s">
        <v>1437</v>
      </c>
    </row>
    <row r="188" spans="4:17" ht="13.2">
      <c r="M188" s="10" t="s">
        <v>1474</v>
      </c>
    </row>
    <row r="190" spans="4:17" ht="13.2">
      <c r="K190" s="10" t="s">
        <v>1441</v>
      </c>
      <c r="L190" s="10" t="e">
        <f ca="1">SUM(L177:L188)</f>
        <v>#NAME?</v>
      </c>
      <c r="N190" s="10">
        <f>SUM(N177:N187)</f>
        <v>294.77534735042735</v>
      </c>
    </row>
    <row r="192" spans="4:17" ht="13.2">
      <c r="F192" s="185" t="s">
        <v>1093</v>
      </c>
      <c r="G192" s="180"/>
      <c r="H192" s="180"/>
      <c r="I192" s="180"/>
      <c r="J192" s="180"/>
      <c r="K192" s="180"/>
      <c r="L192" s="180"/>
      <c r="M192" s="180"/>
      <c r="N192" s="180"/>
      <c r="O192" s="180"/>
    </row>
    <row r="193" spans="4:17" ht="13.2">
      <c r="F193" s="18" t="s">
        <v>1408</v>
      </c>
      <c r="G193" s="18" t="s">
        <v>543</v>
      </c>
      <c r="H193" s="10" t="s">
        <v>1409</v>
      </c>
      <c r="I193" s="10" t="s">
        <v>1410</v>
      </c>
      <c r="J193" s="10" t="s">
        <v>1411</v>
      </c>
      <c r="K193" s="10" t="s">
        <v>1412</v>
      </c>
      <c r="L193" s="10" t="s">
        <v>1413</v>
      </c>
      <c r="M193" s="179" t="s">
        <v>1468</v>
      </c>
      <c r="N193" s="180"/>
      <c r="O193" s="10" t="s">
        <v>1415</v>
      </c>
    </row>
    <row r="194" spans="4:17" ht="13.2">
      <c r="D194" s="18"/>
      <c r="E194" s="18"/>
      <c r="F194" s="18" t="s">
        <v>640</v>
      </c>
      <c r="G194" s="18" t="s">
        <v>1492</v>
      </c>
      <c r="H194" s="10" t="s">
        <v>1422</v>
      </c>
      <c r="I194" s="10">
        <v>240</v>
      </c>
      <c r="J194" s="43" t="e">
        <f t="array" aca="1" ref="J194" ca="1">_xludf.XLOOKUP(F194, analysis!A:A, analysis!I:I)</f>
        <v>#NAME?</v>
      </c>
      <c r="K194" s="10" t="e">
        <f t="array" aca="1" ref="K194" ca="1">_xludf.XLOOKUP(F194, analysis!A:A, analysis!J:J)</f>
        <v>#NAME?</v>
      </c>
      <c r="L194" s="10" t="e">
        <f t="shared" ref="L194:L208" ca="1" si="12">K194*I194*J194/1000</f>
        <v>#NAME?</v>
      </c>
      <c r="M194" s="10" t="s">
        <v>1417</v>
      </c>
      <c r="P194" s="10" t="str">
        <f ca="1">IFERROR(__xludf.DUMMYFUNCTION("transpose(split(F194,CHAR(10)))"),"milk")</f>
        <v>milk</v>
      </c>
      <c r="Q194" s="10" t="str">
        <f ca="1">IFERROR(__xludf.DUMMYFUNCTION("transpose(split(G194,CHAR(10)))"),"240ml")</f>
        <v>240ml</v>
      </c>
    </row>
    <row r="195" spans="4:17" ht="13.2">
      <c r="F195" s="10" t="s">
        <v>737</v>
      </c>
      <c r="G195" s="10">
        <v>2</v>
      </c>
      <c r="H195" s="10" t="s">
        <v>1416</v>
      </c>
      <c r="I195" s="10">
        <f>4.4*2</f>
        <v>8.8000000000000007</v>
      </c>
      <c r="J195" s="43" t="e">
        <f t="array" aca="1" ref="J195" ca="1">_xludf.XLOOKUP(F195, analysis!A:A, analysis!I:I)</f>
        <v>#NAME?</v>
      </c>
      <c r="K195" s="10" t="e">
        <f t="array" aca="1" ref="K195" ca="1">_xludf.XLOOKUP(F195, analysis!A:A, analysis!J:J)</f>
        <v>#NAME?</v>
      </c>
      <c r="L195" s="10" t="e">
        <f t="shared" ca="1" si="12"/>
        <v>#NAME?</v>
      </c>
      <c r="M195" s="10" t="s">
        <v>1420</v>
      </c>
      <c r="N195" s="10">
        <f>1.1*(5/60)*59.9</f>
        <v>5.4908333333333337</v>
      </c>
    </row>
    <row r="196" spans="4:17" ht="13.2">
      <c r="F196" s="10" t="s">
        <v>1457</v>
      </c>
      <c r="G196" s="10">
        <v>2</v>
      </c>
      <c r="H196" s="10" t="s">
        <v>1493</v>
      </c>
      <c r="I196" s="10">
        <f>2*6.2</f>
        <v>12.4</v>
      </c>
      <c r="J196" s="43" t="e">
        <f t="array" aca="1" ref="J196" ca="1">_xludf.XLOOKUP(F196, analysis!A:A, analysis!I:I)</f>
        <v>#NAME?</v>
      </c>
      <c r="K196" s="10" t="e">
        <f t="array" aca="1" ref="K196" ca="1">_xludf.XLOOKUP(F196, analysis!A:A, analysis!J:J)</f>
        <v>#NAME?</v>
      </c>
      <c r="L196" s="10" t="e">
        <f t="shared" ca="1" si="12"/>
        <v>#NAME?</v>
      </c>
      <c r="M196" s="10" t="s">
        <v>1423</v>
      </c>
    </row>
    <row r="197" spans="4:17" ht="13.2">
      <c r="F197" s="10" t="s">
        <v>1449</v>
      </c>
      <c r="G197" s="10" t="s">
        <v>1494</v>
      </c>
      <c r="H197" s="10" t="s">
        <v>1444</v>
      </c>
      <c r="I197" s="10">
        <v>60</v>
      </c>
      <c r="J197" s="43" t="e">
        <f t="array" aca="1" ref="J197" ca="1">_xludf.XLOOKUP(F197, analysis!A:A, analysis!I:I)</f>
        <v>#NAME?</v>
      </c>
      <c r="K197" s="10" t="e">
        <f t="array" aca="1" ref="K197" ca="1">_xludf.XLOOKUP(F197, analysis!A:A, analysis!J:J)</f>
        <v>#NAME?</v>
      </c>
      <c r="L197" s="10" t="e">
        <f t="shared" ca="1" si="12"/>
        <v>#NAME?</v>
      </c>
      <c r="M197" s="10" t="s">
        <v>1425</v>
      </c>
    </row>
    <row r="198" spans="4:17" ht="13.2">
      <c r="F198" s="10" t="s">
        <v>1465</v>
      </c>
      <c r="G198" s="10" t="s">
        <v>746</v>
      </c>
      <c r="H198" s="10" t="s">
        <v>1422</v>
      </c>
      <c r="I198" s="10">
        <f>1.15*15</f>
        <v>17.25</v>
      </c>
      <c r="J198" s="43" t="e">
        <f t="array" aca="1" ref="J198" ca="1">_xludf.XLOOKUP(F198, analysis!A:A, analysis!I:I)</f>
        <v>#NAME?</v>
      </c>
      <c r="K198" s="10" t="e">
        <f t="array" aca="1" ref="K198" ca="1">_xludf.XLOOKUP(F198, analysis!A:A, analysis!J:J)</f>
        <v>#NAME?</v>
      </c>
      <c r="L198" s="10" t="e">
        <f t="shared" ca="1" si="12"/>
        <v>#NAME?</v>
      </c>
      <c r="M198" s="10" t="s">
        <v>1428</v>
      </c>
    </row>
    <row r="199" spans="4:17" ht="13.2">
      <c r="F199" s="10" t="s">
        <v>1472</v>
      </c>
      <c r="G199" s="10" t="s">
        <v>746</v>
      </c>
      <c r="H199" s="10" t="s">
        <v>1422</v>
      </c>
      <c r="I199" s="10">
        <f>1.01*15</f>
        <v>15.15</v>
      </c>
      <c r="J199" s="43" t="e">
        <f t="array" aca="1" ref="J199" ca="1">_xludf.XLOOKUP(F199, analysis!A:A, analysis!I:I)</f>
        <v>#NAME?</v>
      </c>
      <c r="K199" s="10" t="e">
        <f t="array" aca="1" ref="K199" ca="1">_xludf.XLOOKUP(F199, analysis!A:A, analysis!J:J)</f>
        <v>#NAME?</v>
      </c>
      <c r="L199" s="10" t="e">
        <f t="shared" ca="1" si="12"/>
        <v>#NAME?</v>
      </c>
      <c r="M199" s="10" t="s">
        <v>1429</v>
      </c>
    </row>
    <row r="200" spans="4:17" ht="13.2">
      <c r="F200" s="10" t="s">
        <v>1495</v>
      </c>
      <c r="G200" s="10">
        <v>1</v>
      </c>
      <c r="H200" s="10" t="s">
        <v>1416</v>
      </c>
      <c r="I200" s="10">
        <v>84</v>
      </c>
      <c r="J200" s="43" t="e">
        <f t="array" aca="1" ref="J200" ca="1">_xludf.XLOOKUP(F200, analysis!A:A, analysis!I:I)</f>
        <v>#NAME?</v>
      </c>
      <c r="K200" s="10" t="e">
        <f t="array" aca="1" ref="K200" ca="1">_xludf.XLOOKUP(F200, analysis!A:A, analysis!J:J)</f>
        <v>#NAME?</v>
      </c>
      <c r="L200" s="10" t="e">
        <f t="shared" ca="1" si="12"/>
        <v>#NAME?</v>
      </c>
      <c r="M200" s="10" t="s">
        <v>1430</v>
      </c>
    </row>
    <row r="201" spans="4:17" ht="13.2">
      <c r="F201" s="10" t="s">
        <v>646</v>
      </c>
      <c r="G201" s="10" t="s">
        <v>1439</v>
      </c>
      <c r="H201" s="10">
        <v>0</v>
      </c>
      <c r="I201" s="10">
        <v>0</v>
      </c>
      <c r="J201" s="43" t="e">
        <f t="array" aca="1" ref="J201" ca="1">_xludf.XLOOKUP(F201, analysis!A:A, analysis!I:I)</f>
        <v>#NAME?</v>
      </c>
      <c r="K201" s="10" t="e">
        <f t="array" aca="1" ref="K201" ca="1">_xludf.XLOOKUP(F201, analysis!A:A, analysis!J:J)</f>
        <v>#NAME?</v>
      </c>
      <c r="L201" s="10" t="e">
        <f t="shared" ca="1" si="12"/>
        <v>#NAME?</v>
      </c>
      <c r="M201" s="10" t="s">
        <v>1432</v>
      </c>
    </row>
    <row r="202" spans="4:17" ht="13.2">
      <c r="F202" s="10" t="s">
        <v>1440</v>
      </c>
      <c r="G202" s="10" t="s">
        <v>1439</v>
      </c>
      <c r="H202" s="10">
        <v>0</v>
      </c>
      <c r="I202" s="10">
        <v>0</v>
      </c>
      <c r="J202" s="43" t="e">
        <f t="array" aca="1" ref="J202" ca="1">_xludf.XLOOKUP(F202, analysis!A:A, analysis!I:I)</f>
        <v>#NAME?</v>
      </c>
      <c r="K202" s="10" t="e">
        <f t="array" aca="1" ref="K202" ca="1">_xludf.XLOOKUP(F202, analysis!A:A, analysis!J:J)</f>
        <v>#NAME?</v>
      </c>
      <c r="L202" s="10" t="e">
        <f t="shared" ca="1" si="12"/>
        <v>#NAME?</v>
      </c>
      <c r="M202" s="10" t="s">
        <v>1433</v>
      </c>
    </row>
    <row r="203" spans="4:17" ht="13.2">
      <c r="F203" s="10" t="s">
        <v>733</v>
      </c>
      <c r="G203" s="10" t="s">
        <v>1496</v>
      </c>
      <c r="H203" s="10" t="s">
        <v>1422</v>
      </c>
      <c r="I203" s="10">
        <f>480*0.927</f>
        <v>444.96000000000004</v>
      </c>
      <c r="J203" s="43" t="e">
        <f t="array" aca="1" ref="J203" ca="1">_xludf.XLOOKUP(F203, analysis!A:A, analysis!I:I)</f>
        <v>#NAME?</v>
      </c>
      <c r="K203" s="10" t="e">
        <f t="array" aca="1" ref="K203" ca="1">_xludf.XLOOKUP(F203, analysis!A:A, analysis!J:J)</f>
        <v>#NAME?</v>
      </c>
      <c r="L203" s="10" t="e">
        <f t="shared" ca="1" si="12"/>
        <v>#NAME?</v>
      </c>
      <c r="M203" s="10" t="s">
        <v>1434</v>
      </c>
    </row>
    <row r="204" spans="4:17" ht="13.2">
      <c r="F204" s="10" t="s">
        <v>1459</v>
      </c>
      <c r="G204" s="10" t="s">
        <v>1497</v>
      </c>
      <c r="H204" s="10" t="s">
        <v>1444</v>
      </c>
      <c r="I204" s="10">
        <v>907</v>
      </c>
      <c r="J204" s="43" t="e">
        <f t="array" aca="1" ref="J204" ca="1">_xludf.XLOOKUP(F204, analysis!A:A, analysis!I:I)</f>
        <v>#NAME?</v>
      </c>
      <c r="K204" s="10" t="e">
        <f t="array" aca="1" ref="K204" ca="1">_xludf.XLOOKUP(F204, analysis!A:A, analysis!J:J)</f>
        <v>#NAME?</v>
      </c>
      <c r="L204" s="10" t="e">
        <f t="shared" ca="1" si="12"/>
        <v>#NAME?</v>
      </c>
      <c r="M204" s="10" t="s">
        <v>1437</v>
      </c>
    </row>
    <row r="205" spans="4:17" ht="13.2">
      <c r="F205" s="10" t="s">
        <v>646</v>
      </c>
      <c r="G205" s="10" t="s">
        <v>1439</v>
      </c>
      <c r="H205" s="10">
        <v>0</v>
      </c>
      <c r="I205" s="10">
        <v>0</v>
      </c>
      <c r="J205" s="43" t="e">
        <f t="array" aca="1" ref="J205" ca="1">_xludf.XLOOKUP(F205, analysis!A:A, analysis!I:I)</f>
        <v>#NAME?</v>
      </c>
      <c r="K205" s="10" t="e">
        <f t="array" aca="1" ref="K205" ca="1">_xludf.XLOOKUP(F205, analysis!A:A, analysis!J:J)</f>
        <v>#NAME?</v>
      </c>
      <c r="L205" s="10" t="e">
        <f t="shared" ca="1" si="12"/>
        <v>#NAME?</v>
      </c>
      <c r="M205" s="10" t="s">
        <v>1474</v>
      </c>
      <c r="N205" s="10" t="s">
        <v>1418</v>
      </c>
    </row>
    <row r="206" spans="4:17" ht="13.2">
      <c r="F206" s="10" t="s">
        <v>1440</v>
      </c>
      <c r="G206" s="10" t="s">
        <v>1439</v>
      </c>
      <c r="H206" s="10">
        <v>0</v>
      </c>
      <c r="I206" s="10">
        <v>0</v>
      </c>
      <c r="J206" s="43" t="e">
        <f t="array" aca="1" ref="J206" ca="1">_xludf.XLOOKUP(F206, analysis!A:A, analysis!I:I)</f>
        <v>#NAME?</v>
      </c>
      <c r="K206" s="10" t="e">
        <f t="array" aca="1" ref="K206" ca="1">_xludf.XLOOKUP(F206, analysis!A:A, analysis!J:J)</f>
        <v>#NAME?</v>
      </c>
      <c r="L206" s="10" t="e">
        <f t="shared" ca="1" si="12"/>
        <v>#NAME?</v>
      </c>
    </row>
    <row r="207" spans="4:17" ht="13.2">
      <c r="F207" s="10" t="s">
        <v>1498</v>
      </c>
      <c r="G207" s="10">
        <v>6</v>
      </c>
      <c r="H207" s="10" t="s">
        <v>1499</v>
      </c>
      <c r="I207" s="10">
        <f>6*15</f>
        <v>90</v>
      </c>
      <c r="J207" s="43" t="e">
        <f t="array" aca="1" ref="J207" ca="1">_xludf.XLOOKUP(F207, analysis!A:A, analysis!I:I)</f>
        <v>#NAME?</v>
      </c>
      <c r="K207" s="10" t="e">
        <f t="array" aca="1" ref="K207" ca="1">_xludf.XLOOKUP(F207, analysis!A:A, analysis!J:J)</f>
        <v>#NAME?</v>
      </c>
      <c r="L207" s="10" t="e">
        <f t="shared" ca="1" si="12"/>
        <v>#NAME?</v>
      </c>
    </row>
    <row r="208" spans="4:17" ht="13.2">
      <c r="F208" s="10" t="s">
        <v>1500</v>
      </c>
      <c r="G208" s="10">
        <v>6</v>
      </c>
      <c r="H208" s="10" t="s">
        <v>1416</v>
      </c>
      <c r="I208" s="10">
        <f>6*70</f>
        <v>420</v>
      </c>
      <c r="J208" s="43" t="e">
        <f t="array" aca="1" ref="J208" ca="1">_xludf.XLOOKUP(F208, analysis!A:A, analysis!I:I)</f>
        <v>#NAME?</v>
      </c>
      <c r="K208" s="10" t="e">
        <f t="array" aca="1" ref="K208" ca="1">_xludf.XLOOKUP(F208, analysis!A:A, analysis!J:J)</f>
        <v>#NAME?</v>
      </c>
      <c r="L208" s="10" t="e">
        <f t="shared" ca="1" si="12"/>
        <v>#NAME?</v>
      </c>
    </row>
    <row r="210" spans="4:17" ht="13.2">
      <c r="K210" s="10" t="s">
        <v>1441</v>
      </c>
      <c r="L210" s="10" t="e">
        <f ca="1">SUM(L194:L208)</f>
        <v>#NAME?</v>
      </c>
      <c r="M210" s="10" t="s">
        <v>1442</v>
      </c>
      <c r="N210" s="10">
        <f>SUM(N194:N207)</f>
        <v>5.4908333333333337</v>
      </c>
    </row>
    <row r="212" spans="4:17" ht="13.2">
      <c r="F212" s="185" t="s">
        <v>1097</v>
      </c>
      <c r="G212" s="180"/>
      <c r="H212" s="180"/>
      <c r="I212" s="180"/>
      <c r="J212" s="180"/>
      <c r="K212" s="180"/>
      <c r="L212" s="180"/>
      <c r="M212" s="180"/>
      <c r="N212" s="180"/>
      <c r="O212" s="180"/>
    </row>
    <row r="213" spans="4:17" ht="13.2">
      <c r="F213" s="18" t="s">
        <v>1408</v>
      </c>
      <c r="G213" s="18" t="s">
        <v>543</v>
      </c>
      <c r="H213" s="10" t="s">
        <v>1409</v>
      </c>
      <c r="I213" s="10" t="s">
        <v>1410</v>
      </c>
      <c r="J213" s="10" t="s">
        <v>1411</v>
      </c>
      <c r="K213" s="10" t="s">
        <v>1412</v>
      </c>
      <c r="L213" s="10" t="s">
        <v>1413</v>
      </c>
      <c r="M213" s="179" t="s">
        <v>1468</v>
      </c>
      <c r="N213" s="180"/>
      <c r="O213" s="10" t="s">
        <v>1415</v>
      </c>
    </row>
    <row r="214" spans="4:17" ht="13.2">
      <c r="D214" s="18"/>
      <c r="E214" s="18"/>
      <c r="F214" s="18" t="s">
        <v>1501</v>
      </c>
      <c r="G214" s="18" t="s">
        <v>1502</v>
      </c>
      <c r="H214" s="10" t="s">
        <v>1422</v>
      </c>
      <c r="I214" s="10">
        <v>240</v>
      </c>
      <c r="J214" s="43" t="e">
        <f t="array" aca="1" ref="J214" ca="1">_xludf.XLOOKUP(F214, analysis!A:A, analysis!I:I)</f>
        <v>#NAME?</v>
      </c>
      <c r="K214" s="10" t="e">
        <f t="array" aca="1" ref="K214" ca="1">_xludf.XLOOKUP(F214, analysis!A:A, analysis!J:J)</f>
        <v>#NAME?</v>
      </c>
      <c r="L214" s="10" t="e">
        <f t="shared" ref="L214:L230" ca="1" si="13">K214*I214*J214/1000</f>
        <v>#NAME?</v>
      </c>
      <c r="M214" s="10" t="s">
        <v>1417</v>
      </c>
      <c r="P214" s="10" t="str">
        <f ca="1">IFERROR(__xludf.DUMMYFUNCTION("transpose(split(F214,CHAR(10)))"),"tenderloin")</f>
        <v>tenderloin</v>
      </c>
      <c r="Q214" s="10" t="str">
        <f ca="1">IFERROR(__xludf.DUMMYFUNCTION("transpose(split(G214,CHAR(10)))"),"680g")</f>
        <v>680g</v>
      </c>
    </row>
    <row r="215" spans="4:17" ht="13.2">
      <c r="F215" s="10" t="s">
        <v>646</v>
      </c>
      <c r="G215" s="10" t="s">
        <v>1439</v>
      </c>
      <c r="H215" s="10">
        <v>0</v>
      </c>
      <c r="I215" s="10">
        <v>0</v>
      </c>
      <c r="J215" s="43" t="e">
        <f t="array" aca="1" ref="J215" ca="1">_xludf.XLOOKUP(F215, analysis!A:A, analysis!I:I)</f>
        <v>#NAME?</v>
      </c>
      <c r="K215" s="10" t="e">
        <f t="array" aca="1" ref="K215" ca="1">_xludf.XLOOKUP(F215, analysis!A:A, analysis!J:J)</f>
        <v>#NAME?</v>
      </c>
      <c r="L215" s="10" t="e">
        <f t="shared" ca="1" si="13"/>
        <v>#NAME?</v>
      </c>
      <c r="M215" s="10" t="s">
        <v>1420</v>
      </c>
      <c r="N215" s="10">
        <f>1.1*(5/60)*59.9</f>
        <v>5.4908333333333337</v>
      </c>
    </row>
    <row r="216" spans="4:17" ht="13.2">
      <c r="F216" s="10" t="s">
        <v>1440</v>
      </c>
      <c r="G216" s="10" t="s">
        <v>1439</v>
      </c>
      <c r="H216" s="10">
        <v>0</v>
      </c>
      <c r="I216" s="10">
        <v>0</v>
      </c>
      <c r="J216" s="43" t="e">
        <f t="array" aca="1" ref="J216" ca="1">_xludf.XLOOKUP(F216, analysis!A:A, analysis!I:I)</f>
        <v>#NAME?</v>
      </c>
      <c r="K216" s="10" t="e">
        <f t="array" aca="1" ref="K216" ca="1">_xludf.XLOOKUP(F216, analysis!A:A, analysis!J:J)</f>
        <v>#NAME?</v>
      </c>
      <c r="L216" s="10" t="e">
        <f t="shared" ca="1" si="13"/>
        <v>#NAME?</v>
      </c>
      <c r="M216" s="10" t="s">
        <v>1423</v>
      </c>
    </row>
    <row r="217" spans="4:17" ht="13.2">
      <c r="F217" s="10" t="s">
        <v>1503</v>
      </c>
      <c r="G217" s="10" t="s">
        <v>1504</v>
      </c>
      <c r="H217" s="10" t="s">
        <v>1489</v>
      </c>
      <c r="I217" s="10">
        <v>8</v>
      </c>
      <c r="J217" s="43" t="e">
        <f t="array" aca="1" ref="J217" ca="1">_xludf.XLOOKUP(F217, analysis!A:A, analysis!I:I)</f>
        <v>#NAME?</v>
      </c>
      <c r="K217" s="10" t="e">
        <f t="array" aca="1" ref="K217" ca="1">_xludf.XLOOKUP(F217, analysis!A:A, analysis!J:J)</f>
        <v>#NAME?</v>
      </c>
      <c r="L217" s="10" t="e">
        <f t="shared" ca="1" si="13"/>
        <v>#NAME?</v>
      </c>
      <c r="M217" s="10" t="s">
        <v>1425</v>
      </c>
      <c r="N217" s="10">
        <f>((I223)*4.2*80/0.63+(I223/2)*2250)*(10^-6)*50</f>
        <v>19.899999999999999</v>
      </c>
    </row>
    <row r="218" spans="4:17" ht="13.2">
      <c r="F218" s="10" t="s">
        <v>1463</v>
      </c>
      <c r="G218" s="10" t="s">
        <v>1505</v>
      </c>
      <c r="H218" s="10" t="s">
        <v>1444</v>
      </c>
      <c r="I218" s="10">
        <v>8</v>
      </c>
      <c r="J218" s="43" t="e">
        <f t="array" aca="1" ref="J218" ca="1">_xludf.XLOOKUP(F218, analysis!A:A, analysis!I:I)</f>
        <v>#NAME?</v>
      </c>
      <c r="K218" s="10" t="e">
        <f t="array" aca="1" ref="K218" ca="1">_xludf.XLOOKUP(F218, analysis!A:A, analysis!J:J)</f>
        <v>#NAME?</v>
      </c>
      <c r="L218" s="10" t="e">
        <f t="shared" ca="1" si="13"/>
        <v>#NAME?</v>
      </c>
      <c r="M218" s="10" t="s">
        <v>1428</v>
      </c>
    </row>
    <row r="219" spans="4:17" ht="13.2">
      <c r="F219" s="10" t="s">
        <v>733</v>
      </c>
      <c r="G219" s="10" t="s">
        <v>1506</v>
      </c>
      <c r="H219" s="10" t="s">
        <v>1422</v>
      </c>
      <c r="I219" s="10">
        <f>30*0.927</f>
        <v>27.810000000000002</v>
      </c>
      <c r="J219" s="43" t="e">
        <f t="array" aca="1" ref="J219" ca="1">_xludf.XLOOKUP(F219, analysis!A:A, analysis!I:I)</f>
        <v>#NAME?</v>
      </c>
      <c r="K219" s="10" t="e">
        <f t="array" aca="1" ref="K219" ca="1">_xludf.XLOOKUP(F219, analysis!A:A, analysis!J:J)</f>
        <v>#NAME?</v>
      </c>
      <c r="L219" s="10" t="e">
        <f t="shared" ca="1" si="13"/>
        <v>#NAME?</v>
      </c>
      <c r="M219" s="10" t="s">
        <v>1429</v>
      </c>
    </row>
    <row r="220" spans="4:17" ht="13.2">
      <c r="F220" s="10" t="s">
        <v>1445</v>
      </c>
      <c r="G220" s="10" t="s">
        <v>1478</v>
      </c>
      <c r="H220" s="10" t="s">
        <v>1444</v>
      </c>
      <c r="I220" s="10">
        <v>57</v>
      </c>
      <c r="J220" s="43" t="e">
        <f t="array" aca="1" ref="J220" ca="1">_xludf.XLOOKUP(F220, analysis!A:A, analysis!I:I)</f>
        <v>#NAME?</v>
      </c>
      <c r="K220" s="10" t="e">
        <f t="array" aca="1" ref="K220" ca="1">_xludf.XLOOKUP(F220, analysis!A:A, analysis!J:J)</f>
        <v>#NAME?</v>
      </c>
      <c r="L220" s="10" t="e">
        <f t="shared" ca="1" si="13"/>
        <v>#NAME?</v>
      </c>
      <c r="M220" s="10" t="s">
        <v>1430</v>
      </c>
      <c r="N220" s="10">
        <f>(((I219*1.96*160)/0.63)+(2.5/60)*5773920+(5/60)*5773920+(2.5/60)*5773920+(0.75/60)*5773920)*10^-6*50</f>
        <v>52.41686</v>
      </c>
    </row>
    <row r="221" spans="4:17" ht="13.2">
      <c r="F221" s="10" t="s">
        <v>1446</v>
      </c>
      <c r="G221" s="10">
        <v>1</v>
      </c>
      <c r="H221" s="10" t="s">
        <v>1416</v>
      </c>
      <c r="I221" s="10">
        <v>60</v>
      </c>
      <c r="J221" s="43" t="e">
        <f t="array" aca="1" ref="J221" ca="1">_xludf.XLOOKUP(F221, analysis!A:A, analysis!I:I)</f>
        <v>#NAME?</v>
      </c>
      <c r="K221" s="10" t="e">
        <f t="array" aca="1" ref="K221" ca="1">_xludf.XLOOKUP(F221, analysis!A:A, analysis!J:J)</f>
        <v>#NAME?</v>
      </c>
      <c r="L221" s="10" t="e">
        <f t="shared" ca="1" si="13"/>
        <v>#NAME?</v>
      </c>
      <c r="M221" s="10" t="s">
        <v>1432</v>
      </c>
    </row>
    <row r="222" spans="4:17" ht="13.2">
      <c r="F222" s="10" t="s">
        <v>737</v>
      </c>
      <c r="G222" s="10">
        <v>3</v>
      </c>
      <c r="H222" s="10" t="s">
        <v>1416</v>
      </c>
      <c r="I222" s="10">
        <f>3*4.4</f>
        <v>13.200000000000001</v>
      </c>
      <c r="J222" s="43" t="e">
        <f t="array" aca="1" ref="J222" ca="1">_xludf.XLOOKUP(F222, analysis!A:A, analysis!I:I)</f>
        <v>#NAME?</v>
      </c>
      <c r="K222" s="10" t="e">
        <f t="array" aca="1" ref="K222" ca="1">_xludf.XLOOKUP(F222, analysis!A:A, analysis!J:J)</f>
        <v>#NAME?</v>
      </c>
      <c r="L222" s="10" t="e">
        <f t="shared" ca="1" si="13"/>
        <v>#NAME?</v>
      </c>
      <c r="M222" s="10" t="s">
        <v>1433</v>
      </c>
    </row>
    <row r="223" spans="4:17" ht="13.2">
      <c r="F223" s="10" t="s">
        <v>1507</v>
      </c>
      <c r="G223" s="10" t="s">
        <v>1492</v>
      </c>
      <c r="H223" s="10" t="s">
        <v>1422</v>
      </c>
      <c r="I223" s="10">
        <v>240</v>
      </c>
      <c r="J223" s="43" t="e">
        <f t="array" aca="1" ref="J223" ca="1">_xludf.XLOOKUP(F223, analysis!A:A, analysis!I:I)</f>
        <v>#NAME?</v>
      </c>
      <c r="K223" s="10" t="e">
        <f t="array" aca="1" ref="K223" ca="1">_xludf.XLOOKUP(F223, analysis!A:A, analysis!J:J)</f>
        <v>#NAME?</v>
      </c>
      <c r="L223" s="10" t="e">
        <f t="shared" ca="1" si="13"/>
        <v>#NAME?</v>
      </c>
      <c r="M223" s="10" t="s">
        <v>1434</v>
      </c>
    </row>
    <row r="224" spans="4:17" ht="13.2">
      <c r="F224" s="10" t="s">
        <v>1473</v>
      </c>
      <c r="G224" s="10" t="s">
        <v>1508</v>
      </c>
      <c r="H224" s="10" t="s">
        <v>1422</v>
      </c>
      <c r="I224" s="10">
        <v>120</v>
      </c>
      <c r="J224" s="43" t="e">
        <f t="array" aca="1" ref="J224" ca="1">_xludf.XLOOKUP(F224, analysis!A:A, analysis!I:I)</f>
        <v>#NAME?</v>
      </c>
      <c r="K224" s="10" t="e">
        <f t="array" aca="1" ref="K224" ca="1">_xludf.XLOOKUP(F224, analysis!A:A, analysis!J:J)</f>
        <v>#NAME?</v>
      </c>
      <c r="L224" s="10" t="e">
        <f t="shared" ca="1" si="13"/>
        <v>#NAME?</v>
      </c>
      <c r="M224" s="10" t="s">
        <v>1437</v>
      </c>
      <c r="N224" s="10">
        <f>((15/60)*5773920)*(10^-6)*50</f>
        <v>72.173999999999992</v>
      </c>
    </row>
    <row r="225" spans="4:17" ht="13.2">
      <c r="F225" s="10" t="s">
        <v>708</v>
      </c>
      <c r="G225" s="10" t="s">
        <v>1509</v>
      </c>
      <c r="H225" s="10" t="s">
        <v>1489</v>
      </c>
      <c r="I225" s="10">
        <f>5*0.95</f>
        <v>4.75</v>
      </c>
      <c r="J225" s="43" t="e">
        <f t="array" aca="1" ref="J225" ca="1">_xludf.XLOOKUP(F225, analysis!A:A, analysis!I:I)</f>
        <v>#NAME?</v>
      </c>
      <c r="K225" s="10" t="e">
        <f t="array" aca="1" ref="K225" ca="1">_xludf.XLOOKUP(F225, analysis!A:A, analysis!J:J)</f>
        <v>#NAME?</v>
      </c>
      <c r="L225" s="10" t="e">
        <f t="shared" ca="1" si="13"/>
        <v>#NAME?</v>
      </c>
      <c r="M225" s="10" t="s">
        <v>1474</v>
      </c>
    </row>
    <row r="226" spans="4:17" ht="13.2">
      <c r="F226" s="10" t="s">
        <v>1465</v>
      </c>
      <c r="G226" s="10" t="s">
        <v>1510</v>
      </c>
      <c r="H226" s="10" t="s">
        <v>1444</v>
      </c>
      <c r="I226" s="10">
        <v>15</v>
      </c>
      <c r="J226" s="43" t="e">
        <f t="array" aca="1" ref="J226" ca="1">_xludf.XLOOKUP(F226, analysis!A:A, analysis!I:I)</f>
        <v>#NAME?</v>
      </c>
      <c r="K226" s="10" t="e">
        <f t="array" aca="1" ref="K226" ca="1">_xludf.XLOOKUP(F226, analysis!A:A, analysis!J:J)</f>
        <v>#NAME?</v>
      </c>
      <c r="L226" s="10" t="e">
        <f t="shared" ca="1" si="13"/>
        <v>#NAME?</v>
      </c>
    </row>
    <row r="227" spans="4:17" ht="13.2">
      <c r="F227" s="10" t="s">
        <v>1472</v>
      </c>
      <c r="G227" s="10" t="s">
        <v>1510</v>
      </c>
      <c r="H227" s="10" t="s">
        <v>1444</v>
      </c>
      <c r="I227" s="10">
        <v>15</v>
      </c>
      <c r="J227" s="43" t="e">
        <f t="array" aca="1" ref="J227" ca="1">_xludf.XLOOKUP(F227, analysis!A:A, analysis!I:I)</f>
        <v>#NAME?</v>
      </c>
      <c r="K227" s="10" t="e">
        <f t="array" aca="1" ref="K227" ca="1">_xludf.XLOOKUP(F227, analysis!A:A, analysis!J:J)</f>
        <v>#NAME?</v>
      </c>
      <c r="L227" s="10" t="e">
        <f t="shared" ca="1" si="13"/>
        <v>#NAME?</v>
      </c>
    </row>
    <row r="228" spans="4:17" ht="13.2">
      <c r="F228" s="10" t="s">
        <v>1449</v>
      </c>
      <c r="G228" s="10" t="s">
        <v>1511</v>
      </c>
      <c r="H228" s="10" t="s">
        <v>1444</v>
      </c>
      <c r="I228" s="10">
        <v>4</v>
      </c>
      <c r="J228" s="43" t="e">
        <f t="array" aca="1" ref="J228" ca="1">_xludf.XLOOKUP(F228, analysis!A:A, analysis!I:I)</f>
        <v>#NAME?</v>
      </c>
      <c r="K228" s="10" t="e">
        <f t="array" aca="1" ref="K228" ca="1">_xludf.XLOOKUP(F228, analysis!A:A, analysis!J:J)</f>
        <v>#NAME?</v>
      </c>
      <c r="L228" s="10" t="e">
        <f t="shared" ca="1" si="13"/>
        <v>#NAME?</v>
      </c>
    </row>
    <row r="229" spans="4:17" ht="13.2">
      <c r="F229" s="10" t="s">
        <v>652</v>
      </c>
      <c r="G229" s="10" t="s">
        <v>1512</v>
      </c>
      <c r="H229" s="10" t="s">
        <v>1444</v>
      </c>
      <c r="I229" s="10">
        <v>14</v>
      </c>
      <c r="J229" s="43" t="e">
        <f t="array" aca="1" ref="J229" ca="1">_xludf.XLOOKUP(F229, analysis!A:A, analysis!I:I)</f>
        <v>#NAME?</v>
      </c>
      <c r="K229" s="10" t="e">
        <f t="array" aca="1" ref="K229" ca="1">_xludf.XLOOKUP(F229, analysis!A:A, analysis!J:J)</f>
        <v>#NAME?</v>
      </c>
      <c r="L229" s="10" t="e">
        <f t="shared" ca="1" si="13"/>
        <v>#NAME?</v>
      </c>
    </row>
    <row r="230" spans="4:17" ht="13.2">
      <c r="F230" s="10" t="s">
        <v>1463</v>
      </c>
      <c r="G230" s="10" t="s">
        <v>1505</v>
      </c>
      <c r="H230" s="10" t="s">
        <v>1444</v>
      </c>
      <c r="I230" s="10">
        <v>8</v>
      </c>
      <c r="J230" s="43" t="e">
        <f t="array" aca="1" ref="J230" ca="1">_xludf.XLOOKUP(F230, analysis!A:A, analysis!I:I)</f>
        <v>#NAME?</v>
      </c>
      <c r="K230" s="10" t="e">
        <f t="array" aca="1" ref="K230" ca="1">_xludf.XLOOKUP(F230, analysis!A:A, analysis!J:J)</f>
        <v>#NAME?</v>
      </c>
      <c r="L230" s="10" t="e">
        <f t="shared" ca="1" si="13"/>
        <v>#NAME?</v>
      </c>
    </row>
    <row r="232" spans="4:17" ht="13.2">
      <c r="K232" s="10" t="s">
        <v>1441</v>
      </c>
      <c r="L232" s="10" t="e">
        <f ca="1">SUM(L214:L230)</f>
        <v>#NAME?</v>
      </c>
      <c r="M232" s="10" t="s">
        <v>1442</v>
      </c>
      <c r="N232" s="10">
        <f>SUM(N214:N227)</f>
        <v>149.98169333333334</v>
      </c>
    </row>
    <row r="234" spans="4:17" ht="13.2">
      <c r="F234" s="185" t="s">
        <v>1105</v>
      </c>
      <c r="G234" s="180"/>
      <c r="H234" s="180"/>
      <c r="I234" s="180"/>
      <c r="J234" s="180"/>
      <c r="K234" s="180"/>
      <c r="L234" s="180"/>
      <c r="M234" s="180"/>
      <c r="N234" s="180"/>
      <c r="O234" s="180"/>
    </row>
    <row r="235" spans="4:17" ht="13.2">
      <c r="F235" s="18" t="s">
        <v>1408</v>
      </c>
      <c r="G235" s="18" t="s">
        <v>543</v>
      </c>
      <c r="H235" s="10" t="s">
        <v>1409</v>
      </c>
      <c r="I235" s="10" t="s">
        <v>1410</v>
      </c>
      <c r="J235" s="10" t="s">
        <v>1411</v>
      </c>
      <c r="K235" s="10" t="s">
        <v>1412</v>
      </c>
      <c r="L235" s="10" t="s">
        <v>1413</v>
      </c>
      <c r="M235" s="179" t="s">
        <v>1468</v>
      </c>
      <c r="N235" s="180"/>
      <c r="O235" s="10" t="s">
        <v>1415</v>
      </c>
    </row>
    <row r="236" spans="4:17" ht="13.2">
      <c r="D236" s="18"/>
      <c r="E236" s="18"/>
      <c r="F236" s="18" t="s">
        <v>581</v>
      </c>
      <c r="G236" s="18">
        <v>4</v>
      </c>
      <c r="H236" s="10" t="s">
        <v>1422</v>
      </c>
      <c r="I236" s="10">
        <v>240</v>
      </c>
      <c r="J236" s="43" t="e">
        <f t="array" aca="1" ref="J236" ca="1">_xludf.XLOOKUP(F236, analysis!A:A, analysis!I:I)</f>
        <v>#NAME?</v>
      </c>
      <c r="K236" s="10" t="e">
        <f t="array" aca="1" ref="K236" ca="1">_xludf.XLOOKUP(F236, analysis!A:A, analysis!J:J)</f>
        <v>#NAME?</v>
      </c>
      <c r="L236" s="10" t="e">
        <f t="shared" ref="L236:L246" ca="1" si="14">K236*I236*J236/1000</f>
        <v>#NAME?</v>
      </c>
      <c r="M236" s="10" t="s">
        <v>1417</v>
      </c>
      <c r="P236" s="10" t="str">
        <f ca="1">IFERROR(__xludf.DUMMYFUNCTION("transpose(split(F236,CHAR(10)))"),"banana")</f>
        <v>banana</v>
      </c>
      <c r="Q236" s="10">
        <f ca="1">IFERROR(__xludf.DUMMYFUNCTION("transpose(split(G236,CHAR(10)))"),4)</f>
        <v>4</v>
      </c>
    </row>
    <row r="237" spans="4:17" ht="13.2">
      <c r="F237" s="10" t="s">
        <v>646</v>
      </c>
      <c r="G237" s="10" t="s">
        <v>1513</v>
      </c>
      <c r="H237" s="10">
        <v>0</v>
      </c>
      <c r="I237" s="10">
        <v>0</v>
      </c>
      <c r="J237" s="43" t="e">
        <f t="array" aca="1" ref="J237" ca="1">_xludf.XLOOKUP(F237, analysis!A:A, analysis!I:I)</f>
        <v>#NAME?</v>
      </c>
      <c r="K237" s="10" t="e">
        <f t="array" aca="1" ref="K237" ca="1">_xludf.XLOOKUP(F237, analysis!A:A, analysis!J:J)</f>
        <v>#NAME?</v>
      </c>
      <c r="L237" s="10" t="e">
        <f t="shared" ca="1" si="14"/>
        <v>#NAME?</v>
      </c>
      <c r="M237" s="10" t="s">
        <v>1420</v>
      </c>
    </row>
    <row r="238" spans="4:17" ht="13.2">
      <c r="F238" s="10" t="s">
        <v>694</v>
      </c>
      <c r="G238" s="10" t="s">
        <v>1514</v>
      </c>
      <c r="H238" s="10" t="s">
        <v>1444</v>
      </c>
      <c r="I238" s="10">
        <v>64</v>
      </c>
      <c r="J238" s="43" t="e">
        <f t="array" aca="1" ref="J238" ca="1">_xludf.XLOOKUP(F238, analysis!A:A, analysis!I:I)</f>
        <v>#NAME?</v>
      </c>
      <c r="K238" s="10" t="e">
        <f t="array" aca="1" ref="K238" ca="1">_xludf.XLOOKUP(F238, analysis!A:A, analysis!J:J)</f>
        <v>#NAME?</v>
      </c>
      <c r="L238" s="10" t="e">
        <f t="shared" ca="1" si="14"/>
        <v>#NAME?</v>
      </c>
      <c r="M238" s="10" t="s">
        <v>1423</v>
      </c>
    </row>
    <row r="239" spans="4:17" ht="13.2">
      <c r="F239" s="10" t="s">
        <v>653</v>
      </c>
      <c r="G239" s="10" t="s">
        <v>1508</v>
      </c>
      <c r="H239" s="10" t="s">
        <v>1422</v>
      </c>
      <c r="I239" s="10">
        <v>120</v>
      </c>
      <c r="J239" s="43" t="e">
        <f t="array" aca="1" ref="J239" ca="1">_xludf.XLOOKUP(F239, analysis!A:A, analysis!I:I)</f>
        <v>#NAME?</v>
      </c>
      <c r="K239" s="10" t="e">
        <f t="array" aca="1" ref="K239" ca="1">_xludf.XLOOKUP(F239, analysis!A:A, analysis!J:J)</f>
        <v>#NAME?</v>
      </c>
      <c r="L239" s="10" t="e">
        <f t="shared" ca="1" si="14"/>
        <v>#NAME?</v>
      </c>
      <c r="M239" s="10" t="s">
        <v>1425</v>
      </c>
    </row>
    <row r="240" spans="4:17" ht="13.2">
      <c r="F240" s="10" t="s">
        <v>1463</v>
      </c>
      <c r="G240" s="10" t="s">
        <v>1439</v>
      </c>
      <c r="H240" s="10">
        <v>0</v>
      </c>
      <c r="I240" s="10">
        <v>0</v>
      </c>
      <c r="J240" s="43" t="e">
        <f t="array" aca="1" ref="J240" ca="1">_xludf.XLOOKUP(F240, analysis!A:A, analysis!I:I)</f>
        <v>#NAME?</v>
      </c>
      <c r="K240" s="10" t="e">
        <f t="array" aca="1" ref="K240" ca="1">_xludf.XLOOKUP(F240, analysis!A:A, analysis!J:J)</f>
        <v>#NAME?</v>
      </c>
      <c r="L240" s="10" t="e">
        <f t="shared" ca="1" si="14"/>
        <v>#NAME?</v>
      </c>
      <c r="M240" s="10" t="s">
        <v>1428</v>
      </c>
    </row>
    <row r="241" spans="4:17" ht="13.2">
      <c r="F241" s="10" t="s">
        <v>652</v>
      </c>
      <c r="G241" s="10" t="s">
        <v>1515</v>
      </c>
      <c r="H241" s="10" t="s">
        <v>1444</v>
      </c>
      <c r="I241" s="10">
        <v>42</v>
      </c>
      <c r="J241" s="43" t="e">
        <f t="array" aca="1" ref="J241" ca="1">_xludf.XLOOKUP(F241, analysis!A:A, analysis!I:I)</f>
        <v>#NAME?</v>
      </c>
      <c r="K241" s="10" t="e">
        <f t="array" aca="1" ref="K241" ca="1">_xludf.XLOOKUP(F241, analysis!A:A, analysis!J:J)</f>
        <v>#NAME?</v>
      </c>
      <c r="L241" s="10" t="e">
        <f t="shared" ca="1" si="14"/>
        <v>#NAME?</v>
      </c>
      <c r="M241" s="10" t="s">
        <v>1429</v>
      </c>
    </row>
    <row r="242" spans="4:17" ht="13.2">
      <c r="F242" s="10" t="s">
        <v>651</v>
      </c>
      <c r="G242" s="10">
        <v>1</v>
      </c>
      <c r="H242" s="10" t="s">
        <v>1416</v>
      </c>
      <c r="I242" s="10">
        <f>70</f>
        <v>70</v>
      </c>
      <c r="J242" s="43" t="e">
        <f t="array" aca="1" ref="J242" ca="1">_xludf.XLOOKUP(F242, analysis!A:A, analysis!I:I)</f>
        <v>#NAME?</v>
      </c>
      <c r="K242" s="10" t="e">
        <f t="array" aca="1" ref="K242" ca="1">_xludf.XLOOKUP(F242, analysis!A:A, analysis!J:J)</f>
        <v>#NAME?</v>
      </c>
      <c r="L242" s="10" t="e">
        <f t="shared" ca="1" si="14"/>
        <v>#NAME?</v>
      </c>
      <c r="M242" s="10" t="s">
        <v>1430</v>
      </c>
      <c r="N242" s="10">
        <f>(((14*60+14*2.65*130)/0.63)+(4/60)*5773920+(3/60)*5773920+(1/60)*5773920+(6.5/60)*5773920)*10^-6*50+(((28*60+28*2.65*130)/0.63)+(4/60)*5773920)*10^-6*50</f>
        <v>90.362933333333331</v>
      </c>
    </row>
    <row r="243" spans="4:17" ht="13.2">
      <c r="F243" s="10" t="s">
        <v>658</v>
      </c>
      <c r="G243" s="10">
        <v>2</v>
      </c>
      <c r="H243" s="10" t="s">
        <v>1416</v>
      </c>
      <c r="I243" s="10">
        <f>100*2</f>
        <v>200</v>
      </c>
      <c r="J243" s="43" t="e">
        <f t="array" aca="1" ref="J243" ca="1">_xludf.XLOOKUP(F243, analysis!A:A, analysis!I:I)</f>
        <v>#NAME?</v>
      </c>
      <c r="K243" s="10" t="e">
        <f t="array" aca="1" ref="K243" ca="1">_xludf.XLOOKUP(F243, analysis!A:A, analysis!J:J)</f>
        <v>#NAME?</v>
      </c>
      <c r="L243" s="10" t="e">
        <f t="shared" ca="1" si="14"/>
        <v>#NAME?</v>
      </c>
      <c r="M243" s="10" t="s">
        <v>1432</v>
      </c>
      <c r="N243" s="10">
        <f>((1.012*1.2923*10^-3*70000*160/0.63)/0.13+(15/60)*5773920)*(10^-6)*50</f>
        <v>81.116274188034183</v>
      </c>
    </row>
    <row r="244" spans="4:17" ht="13.2">
      <c r="F244" s="10" t="s">
        <v>737</v>
      </c>
      <c r="G244" s="10">
        <v>3</v>
      </c>
      <c r="H244" s="10" t="s">
        <v>1416</v>
      </c>
      <c r="I244" s="10">
        <f>4.4*3</f>
        <v>13.200000000000001</v>
      </c>
      <c r="J244" s="43" t="e">
        <f t="array" aca="1" ref="J244" ca="1">_xludf.XLOOKUP(F244, analysis!A:A, analysis!I:I)</f>
        <v>#NAME?</v>
      </c>
      <c r="K244" s="10" t="e">
        <f t="array" aca="1" ref="K244" ca="1">_xludf.XLOOKUP(F244, analysis!A:A, analysis!J:J)</f>
        <v>#NAME?</v>
      </c>
      <c r="L244" s="10" t="e">
        <f t="shared" ca="1" si="14"/>
        <v>#NAME?</v>
      </c>
      <c r="M244" s="10" t="s">
        <v>1433</v>
      </c>
    </row>
    <row r="245" spans="4:17" ht="13.2">
      <c r="F245" s="10" t="s">
        <v>1450</v>
      </c>
      <c r="G245" s="10" t="s">
        <v>1479</v>
      </c>
      <c r="H245" s="10" t="s">
        <v>1444</v>
      </c>
      <c r="I245" s="10">
        <v>454</v>
      </c>
      <c r="J245" s="43" t="e">
        <f t="array" aca="1" ref="J245" ca="1">_xludf.XLOOKUP(F245, analysis!A:A, analysis!I:I)</f>
        <v>#NAME?</v>
      </c>
      <c r="K245" s="10" t="e">
        <f t="array" aca="1" ref="K245" ca="1">_xludf.XLOOKUP(F245, analysis!A:A, analysis!J:J)</f>
        <v>#NAME?</v>
      </c>
      <c r="L245" s="10" t="e">
        <f t="shared" ca="1" si="14"/>
        <v>#NAME?</v>
      </c>
      <c r="M245" s="10" t="s">
        <v>1434</v>
      </c>
    </row>
    <row r="246" spans="4:17" ht="13.2">
      <c r="F246" s="10" t="s">
        <v>1449</v>
      </c>
      <c r="G246" s="10" t="s">
        <v>1510</v>
      </c>
      <c r="H246" s="10" t="s">
        <v>1444</v>
      </c>
      <c r="I246" s="10">
        <v>15</v>
      </c>
      <c r="J246" s="43" t="e">
        <f t="array" aca="1" ref="J246" ca="1">_xludf.XLOOKUP(F246, analysis!A:A, analysis!I:I)</f>
        <v>#NAME?</v>
      </c>
      <c r="K246" s="10" t="e">
        <f t="array" aca="1" ref="K246" ca="1">_xludf.XLOOKUP(F246, analysis!A:A, analysis!J:J)</f>
        <v>#NAME?</v>
      </c>
      <c r="L246" s="10" t="e">
        <f t="shared" ca="1" si="14"/>
        <v>#NAME?</v>
      </c>
      <c r="M246" s="10" t="s">
        <v>1437</v>
      </c>
      <c r="N246" s="10">
        <f>((10/60)*5773920)*(10^-6)*50</f>
        <v>48.116</v>
      </c>
    </row>
    <row r="247" spans="4:17" ht="13.2">
      <c r="M247" s="10" t="s">
        <v>1474</v>
      </c>
    </row>
    <row r="249" spans="4:17" ht="13.2">
      <c r="K249" s="10" t="s">
        <v>1441</v>
      </c>
      <c r="L249" s="10" t="e">
        <f ca="1">SUM(L236:L247)</f>
        <v>#NAME?</v>
      </c>
      <c r="M249" s="10" t="s">
        <v>1442</v>
      </c>
      <c r="N249" s="10">
        <f>SUM(N236:N247)</f>
        <v>219.59520752136751</v>
      </c>
    </row>
    <row r="251" spans="4:17" ht="13.2">
      <c r="F251" s="185" t="s">
        <v>1193</v>
      </c>
      <c r="G251" s="180"/>
      <c r="H251" s="180"/>
      <c r="I251" s="180"/>
      <c r="J251" s="180"/>
      <c r="K251" s="180"/>
      <c r="L251" s="180"/>
      <c r="M251" s="180"/>
      <c r="N251" s="180"/>
      <c r="O251" s="180"/>
    </row>
    <row r="252" spans="4:17" ht="13.2">
      <c r="F252" s="18" t="s">
        <v>1408</v>
      </c>
      <c r="G252" s="18" t="s">
        <v>543</v>
      </c>
      <c r="H252" s="10" t="s">
        <v>1409</v>
      </c>
      <c r="I252" s="10" t="s">
        <v>1410</v>
      </c>
      <c r="J252" s="10" t="s">
        <v>1411</v>
      </c>
      <c r="K252" s="10" t="s">
        <v>1412</v>
      </c>
      <c r="L252" s="10" t="s">
        <v>1413</v>
      </c>
      <c r="M252" s="179" t="s">
        <v>1468</v>
      </c>
      <c r="N252" s="180"/>
      <c r="O252" s="10" t="s">
        <v>1415</v>
      </c>
    </row>
    <row r="253" spans="4:17" ht="13.2">
      <c r="D253" s="18"/>
      <c r="E253" s="18"/>
      <c r="F253" s="18" t="s">
        <v>1516</v>
      </c>
      <c r="G253" s="18" t="s">
        <v>1517</v>
      </c>
      <c r="H253" s="10" t="s">
        <v>1444</v>
      </c>
      <c r="I253" s="10">
        <v>200</v>
      </c>
      <c r="J253" s="43" t="e">
        <f t="array" aca="1" ref="J253" ca="1">_xludf.XLOOKUP(F253, analysis!A:A, analysis!I:I)</f>
        <v>#NAME?</v>
      </c>
      <c r="K253" s="10" t="e">
        <f t="array" aca="1" ref="K253" ca="1">_xludf.XLOOKUP(F253, analysis!A:A, analysis!J:J)</f>
        <v>#NAME?</v>
      </c>
      <c r="L253" s="10" t="e">
        <f t="shared" ref="L253:L271" ca="1" si="15">K253*I253*J253/1000</f>
        <v>#NAME?</v>
      </c>
      <c r="M253" s="10" t="s">
        <v>1417</v>
      </c>
      <c r="P253" s="10" t="str">
        <f ca="1">IFERROR(__xludf.DUMMYFUNCTION("transpose(split(F253,CHAR(10)))"),"white rice")</f>
        <v>white rice</v>
      </c>
      <c r="Q253" s="10" t="str">
        <f ca="1">IFERROR(__xludf.DUMMYFUNCTION("transpose(split(G253,CHAR(10)))"),"200g")</f>
        <v>200g</v>
      </c>
    </row>
    <row r="254" spans="4:17" ht="13.2">
      <c r="F254" s="10" t="s">
        <v>652</v>
      </c>
      <c r="G254" s="10" t="s">
        <v>1512</v>
      </c>
      <c r="H254" s="10" t="s">
        <v>1444</v>
      </c>
      <c r="I254" s="10">
        <v>0</v>
      </c>
      <c r="J254" s="43" t="e">
        <f t="array" aca="1" ref="J254" ca="1">_xludf.XLOOKUP(F254, analysis!A:A, analysis!I:I)</f>
        <v>#NAME?</v>
      </c>
      <c r="K254" s="10" t="e">
        <f t="array" aca="1" ref="K254" ca="1">_xludf.XLOOKUP(F254, analysis!A:A, analysis!J:J)</f>
        <v>#NAME?</v>
      </c>
      <c r="L254" s="10" t="e">
        <f t="shared" ca="1" si="15"/>
        <v>#NAME?</v>
      </c>
      <c r="M254" s="10" t="s">
        <v>1420</v>
      </c>
    </row>
    <row r="255" spans="4:17" ht="13.2">
      <c r="F255" s="10" t="s">
        <v>651</v>
      </c>
      <c r="G255" s="10">
        <v>1</v>
      </c>
      <c r="H255" s="10" t="s">
        <v>1416</v>
      </c>
      <c r="I255" s="10">
        <v>70</v>
      </c>
      <c r="J255" s="43" t="e">
        <f t="array" aca="1" ref="J255" ca="1">_xludf.XLOOKUP(F255, analysis!A:A, analysis!I:I)</f>
        <v>#NAME?</v>
      </c>
      <c r="K255" s="10" t="e">
        <f t="array" aca="1" ref="K255" ca="1">_xludf.XLOOKUP(F255, analysis!A:A, analysis!J:J)</f>
        <v>#NAME?</v>
      </c>
      <c r="L255" s="10" t="e">
        <f t="shared" ca="1" si="15"/>
        <v>#NAME?</v>
      </c>
      <c r="M255" s="10" t="s">
        <v>1423</v>
      </c>
    </row>
    <row r="256" spans="4:17" ht="13.2">
      <c r="F256" s="10" t="s">
        <v>737</v>
      </c>
      <c r="G256" s="10">
        <v>4</v>
      </c>
      <c r="H256" s="10" t="s">
        <v>1416</v>
      </c>
      <c r="I256" s="10">
        <f>4.4*4</f>
        <v>17.600000000000001</v>
      </c>
      <c r="J256" s="43" t="e">
        <f t="array" aca="1" ref="J256" ca="1">_xludf.XLOOKUP(F256, analysis!A:A, analysis!I:I)</f>
        <v>#NAME?</v>
      </c>
      <c r="K256" s="10" t="e">
        <f t="array" aca="1" ref="K256" ca="1">_xludf.XLOOKUP(F256, analysis!A:A, analysis!J:J)</f>
        <v>#NAME?</v>
      </c>
      <c r="L256" s="10" t="e">
        <f t="shared" ca="1" si="15"/>
        <v>#NAME?</v>
      </c>
      <c r="M256" s="10" t="s">
        <v>1425</v>
      </c>
      <c r="N256" s="10">
        <f>((I259)*4.2*80/0.63+(15/60)*5773920)*(10^-6)*50</f>
        <v>83.373999999999995</v>
      </c>
    </row>
    <row r="257" spans="6:14" ht="13.2">
      <c r="F257" s="10" t="s">
        <v>646</v>
      </c>
      <c r="G257" s="10" t="s">
        <v>1509</v>
      </c>
      <c r="H257" s="10" t="s">
        <v>1489</v>
      </c>
      <c r="I257" s="10">
        <f>1.35*5</f>
        <v>6.75</v>
      </c>
      <c r="J257" s="43" t="e">
        <f t="array" aca="1" ref="J257" ca="1">_xludf.XLOOKUP(F257, analysis!A:A, analysis!I:I)</f>
        <v>#NAME?</v>
      </c>
      <c r="K257" s="10" t="e">
        <f t="array" aca="1" ref="K257" ca="1">_xludf.XLOOKUP(F257, analysis!A:A, analysis!J:J)</f>
        <v>#NAME?</v>
      </c>
      <c r="L257" s="10" t="e">
        <f t="shared" ca="1" si="15"/>
        <v>#NAME?</v>
      </c>
      <c r="M257" s="10" t="s">
        <v>1428</v>
      </c>
    </row>
    <row r="258" spans="6:14" ht="13.2">
      <c r="F258" s="10" t="s">
        <v>1518</v>
      </c>
      <c r="G258" s="10" t="s">
        <v>1519</v>
      </c>
      <c r="H258" s="10" t="s">
        <v>1489</v>
      </c>
      <c r="I258" s="10">
        <f>1/4*0.64</f>
        <v>0.16</v>
      </c>
      <c r="J258" s="43" t="e">
        <f t="array" aca="1" ref="J258" ca="1">_xludf.XLOOKUP(F258, analysis!A:A, analysis!I:I)</f>
        <v>#NAME?</v>
      </c>
      <c r="K258" s="10" t="e">
        <f t="array" aca="1" ref="K258" ca="1">_xludf.XLOOKUP(F258, analysis!A:A, analysis!J:J)</f>
        <v>#NAME?</v>
      </c>
      <c r="L258" s="10" t="e">
        <f t="shared" ca="1" si="15"/>
        <v>#NAME?</v>
      </c>
      <c r="M258" s="10" t="s">
        <v>1429</v>
      </c>
    </row>
    <row r="259" spans="6:14" ht="13.2">
      <c r="F259" s="10" t="s">
        <v>1520</v>
      </c>
      <c r="G259" s="10" t="s">
        <v>1521</v>
      </c>
      <c r="H259" s="10" t="s">
        <v>1422</v>
      </c>
      <c r="I259" s="10">
        <v>420</v>
      </c>
      <c r="J259" s="43" t="e">
        <f t="array" aca="1" ref="J259" ca="1">_xludf.XLOOKUP("water", analysis!A:A, analysis!I:I)</f>
        <v>#NAME?</v>
      </c>
      <c r="K259" s="10" t="e">
        <f t="array" aca="1" ref="K259" ca="1">_xludf.XLOOKUP("water", analysis!A:A, analysis!J:J)</f>
        <v>#NAME?</v>
      </c>
      <c r="L259" s="10" t="e">
        <f t="shared" ca="1" si="15"/>
        <v>#NAME?</v>
      </c>
      <c r="M259" s="10" t="s">
        <v>1430</v>
      </c>
      <c r="N259" s="10">
        <f>(((14*60+14*2.65*130)/0.63)+(2.5/60)*5773920+(3/60)*5773920+(1/60)*5773920+(1.5/60)*5773920)*10^-6*50+ (((28*60+28*2.65*130)/0.63)+(2.5/60)*5773920+(3/60)*5773920+(1/60)*5773920+(4/60)*5773920)*10^-6*50+((((14*60+14*2.65*130)/0.63)+(3.5/60)*5773920)*10^-6*50)</f>
        <v>107.65297777777778</v>
      </c>
    </row>
    <row r="260" spans="6:14" ht="13.2">
      <c r="F260" s="10" t="s">
        <v>711</v>
      </c>
      <c r="G260" s="10">
        <v>1</v>
      </c>
      <c r="H260" s="10" t="s">
        <v>1416</v>
      </c>
      <c r="I260" s="10">
        <v>0.25</v>
      </c>
      <c r="J260" s="43" t="e">
        <f t="array" aca="1" ref="J260" ca="1">_xludf.XLOOKUP(F260, analysis!A:A, analysis!I:I)</f>
        <v>#NAME?</v>
      </c>
      <c r="K260" s="10" t="e">
        <f t="array" aca="1" ref="K260" ca="1">_xludf.XLOOKUP(F260, analysis!A:A, analysis!J:J)</f>
        <v>#NAME?</v>
      </c>
      <c r="L260" s="10" t="e">
        <f t="shared" ca="1" si="15"/>
        <v>#NAME?</v>
      </c>
      <c r="M260" s="10" t="s">
        <v>1432</v>
      </c>
    </row>
    <row r="261" spans="6:14" ht="13.2">
      <c r="F261" s="10" t="s">
        <v>652</v>
      </c>
      <c r="G261" s="10" t="s">
        <v>1515</v>
      </c>
      <c r="H261" s="10" t="s">
        <v>1444</v>
      </c>
      <c r="I261" s="10">
        <v>42</v>
      </c>
      <c r="J261" s="43" t="e">
        <f t="array" aca="1" ref="J261" ca="1">_xludf.XLOOKUP(F261, analysis!A:A, analysis!I:I)</f>
        <v>#NAME?</v>
      </c>
      <c r="K261" s="10" t="e">
        <f t="array" aca="1" ref="K261" ca="1">_xludf.XLOOKUP(F261, analysis!A:A, analysis!J:J)</f>
        <v>#NAME?</v>
      </c>
      <c r="L261" s="10" t="e">
        <f t="shared" ca="1" si="15"/>
        <v>#NAME?</v>
      </c>
      <c r="M261" s="10" t="s">
        <v>1433</v>
      </c>
    </row>
    <row r="262" spans="6:14" ht="13.2">
      <c r="F262" s="10" t="s">
        <v>1445</v>
      </c>
      <c r="G262" s="10" t="s">
        <v>1522</v>
      </c>
      <c r="H262" s="10" t="s">
        <v>1444</v>
      </c>
      <c r="I262" s="10">
        <v>113</v>
      </c>
      <c r="J262" s="43" t="e">
        <f t="array" aca="1" ref="J262" ca="1">_xludf.XLOOKUP(F262, analysis!A:A, analysis!I:I)</f>
        <v>#NAME?</v>
      </c>
      <c r="K262" s="10" t="e">
        <f t="array" aca="1" ref="K262" ca="1">_xludf.XLOOKUP(F262, analysis!A:A, analysis!J:J)</f>
        <v>#NAME?</v>
      </c>
      <c r="L262" s="10" t="e">
        <f t="shared" ca="1" si="15"/>
        <v>#NAME?</v>
      </c>
      <c r="M262" s="10" t="s">
        <v>1434</v>
      </c>
    </row>
    <row r="263" spans="6:14" ht="13.2">
      <c r="F263" s="10" t="s">
        <v>1490</v>
      </c>
      <c r="G263" s="10">
        <v>1</v>
      </c>
      <c r="H263" s="10" t="s">
        <v>1416</v>
      </c>
      <c r="I263" s="10">
        <f>70*1</f>
        <v>70</v>
      </c>
      <c r="J263" s="43" t="e">
        <f t="array" aca="1" ref="J263" ca="1">_xludf.XLOOKUP(F263, analysis!A:A, analysis!I:I)</f>
        <v>#NAME?</v>
      </c>
      <c r="K263" s="10" t="e">
        <f t="array" aca="1" ref="K263" ca="1">_xludf.XLOOKUP(F263, analysis!A:A, analysis!J:J)</f>
        <v>#NAME?</v>
      </c>
      <c r="L263" s="10" t="e">
        <f t="shared" ca="1" si="15"/>
        <v>#NAME?</v>
      </c>
      <c r="M263" s="10" t="s">
        <v>1437</v>
      </c>
      <c r="N263" s="10">
        <f>((5/60)*5773920)*(10^-6)*50</f>
        <v>24.058</v>
      </c>
    </row>
    <row r="264" spans="6:14" ht="13.2">
      <c r="F264" s="10" t="s">
        <v>737</v>
      </c>
      <c r="G264" s="10">
        <v>4</v>
      </c>
      <c r="H264" s="10" t="s">
        <v>1416</v>
      </c>
      <c r="I264" s="10">
        <f>4.4*4</f>
        <v>17.600000000000001</v>
      </c>
      <c r="J264" s="43" t="e">
        <f t="array" aca="1" ref="J264" ca="1">_xludf.XLOOKUP(F264, analysis!A:A, analysis!I:I)</f>
        <v>#NAME?</v>
      </c>
      <c r="K264" s="10" t="e">
        <f t="array" aca="1" ref="K264" ca="1">_xludf.XLOOKUP(F264, analysis!A:A, analysis!J:J)</f>
        <v>#NAME?</v>
      </c>
      <c r="L264" s="10" t="e">
        <f t="shared" ca="1" si="15"/>
        <v>#NAME?</v>
      </c>
      <c r="M264" s="10" t="s">
        <v>1474</v>
      </c>
    </row>
    <row r="265" spans="6:14" ht="13.2">
      <c r="F265" s="10" t="s">
        <v>1450</v>
      </c>
      <c r="G265" s="10" t="s">
        <v>1523</v>
      </c>
      <c r="H265" s="10" t="s">
        <v>1444</v>
      </c>
      <c r="I265" s="10">
        <v>85</v>
      </c>
      <c r="J265" s="43" t="e">
        <f t="array" aca="1" ref="J265" ca="1">_xludf.XLOOKUP(F265, analysis!A:A, analysis!I:I)</f>
        <v>#NAME?</v>
      </c>
      <c r="K265" s="10" t="e">
        <f t="array" aca="1" ref="K265" ca="1">_xludf.XLOOKUP(F265, analysis!A:A, analysis!J:J)</f>
        <v>#NAME?</v>
      </c>
      <c r="L265" s="10" t="e">
        <f t="shared" ca="1" si="15"/>
        <v>#NAME?</v>
      </c>
    </row>
    <row r="266" spans="6:14" ht="13.2">
      <c r="F266" s="10" t="s">
        <v>1524</v>
      </c>
      <c r="G266" s="10" t="s">
        <v>1525</v>
      </c>
      <c r="H266" s="10" t="s">
        <v>1444</v>
      </c>
      <c r="I266" s="10">
        <v>397</v>
      </c>
      <c r="J266" s="43" t="e">
        <f t="array" aca="1" ref="J266" ca="1">_xludf.XLOOKUP(F266, analysis!A:A, analysis!I:I)</f>
        <v>#NAME?</v>
      </c>
      <c r="K266" s="10" t="e">
        <f t="array" aca="1" ref="K266" ca="1">_xludf.XLOOKUP(F266, analysis!A:A, analysis!J:J)</f>
        <v>#NAME?</v>
      </c>
      <c r="L266" s="10" t="e">
        <f t="shared" ca="1" si="15"/>
        <v>#NAME?</v>
      </c>
    </row>
    <row r="267" spans="6:14" ht="13.2">
      <c r="F267" s="10" t="s">
        <v>646</v>
      </c>
      <c r="G267" s="10" t="s">
        <v>1439</v>
      </c>
      <c r="H267" s="10">
        <v>0</v>
      </c>
      <c r="I267" s="10">
        <v>0</v>
      </c>
      <c r="J267" s="43" t="e">
        <f t="array" aca="1" ref="J267" ca="1">_xludf.XLOOKUP(F267, analysis!A:A, analysis!I:I)</f>
        <v>#NAME?</v>
      </c>
      <c r="K267" s="10" t="e">
        <f t="array" aca="1" ref="K267" ca="1">_xludf.XLOOKUP(F267, analysis!A:A, analysis!J:J)</f>
        <v>#NAME?</v>
      </c>
      <c r="L267" s="10" t="e">
        <f t="shared" ca="1" si="15"/>
        <v>#NAME?</v>
      </c>
    </row>
    <row r="268" spans="6:14" ht="13.2">
      <c r="F268" s="10" t="s">
        <v>1440</v>
      </c>
      <c r="G268" s="10" t="s">
        <v>1439</v>
      </c>
      <c r="H268" s="10">
        <v>0</v>
      </c>
      <c r="I268" s="10">
        <v>0</v>
      </c>
      <c r="J268" s="43" t="e">
        <f t="array" aca="1" ref="J268" ca="1">_xludf.XLOOKUP(F268, analysis!A:A, analysis!I:I)</f>
        <v>#NAME?</v>
      </c>
      <c r="K268" s="10" t="e">
        <f t="array" aca="1" ref="K268" ca="1">_xludf.XLOOKUP(F268, analysis!A:A, analysis!J:J)</f>
        <v>#NAME?</v>
      </c>
      <c r="L268" s="10" t="e">
        <f t="shared" ca="1" si="15"/>
        <v>#NAME?</v>
      </c>
    </row>
    <row r="269" spans="6:14" ht="13.2">
      <c r="F269" s="10" t="s">
        <v>1473</v>
      </c>
      <c r="G269" s="10" t="s">
        <v>1508</v>
      </c>
      <c r="H269" s="10" t="s">
        <v>1422</v>
      </c>
      <c r="I269" s="10">
        <v>120</v>
      </c>
      <c r="J269" s="43" t="e">
        <f t="array" aca="1" ref="J269" ca="1">_xludf.XLOOKUP(F269, analysis!A:A, analysis!I:I)</f>
        <v>#NAME?</v>
      </c>
      <c r="K269" s="10" t="e">
        <f t="array" aca="1" ref="K269" ca="1">_xludf.XLOOKUP(F269, analysis!A:A, analysis!J:J)</f>
        <v>#NAME?</v>
      </c>
      <c r="L269" s="10" t="e">
        <f t="shared" ca="1" si="15"/>
        <v>#NAME?</v>
      </c>
    </row>
    <row r="270" spans="6:14" ht="13.2">
      <c r="F270" s="10" t="s">
        <v>1526</v>
      </c>
      <c r="G270" s="10" t="s">
        <v>1527</v>
      </c>
      <c r="H270" s="10" t="s">
        <v>1444</v>
      </c>
      <c r="I270" s="10">
        <v>142</v>
      </c>
      <c r="J270" s="43" t="e">
        <f t="array" aca="1" ref="J270" ca="1">_xludf.XLOOKUP(F270, analysis!A:A, analysis!I:I)</f>
        <v>#NAME?</v>
      </c>
      <c r="K270" s="10" t="e">
        <f t="array" aca="1" ref="K270" ca="1">_xludf.XLOOKUP(F270, analysis!A:A, analysis!J:J)</f>
        <v>#NAME?</v>
      </c>
      <c r="L270" s="10" t="e">
        <f t="shared" ca="1" si="15"/>
        <v>#NAME?</v>
      </c>
    </row>
    <row r="271" spans="6:14" ht="13.2">
      <c r="F271" s="10" t="s">
        <v>1449</v>
      </c>
      <c r="G271" s="10" t="s">
        <v>1528</v>
      </c>
      <c r="H271" s="10" t="s">
        <v>1444</v>
      </c>
      <c r="I271" s="10">
        <v>21</v>
      </c>
      <c r="J271" s="43" t="e">
        <f t="array" aca="1" ref="J271" ca="1">_xludf.XLOOKUP(F271, analysis!A:A, analysis!I:I)</f>
        <v>#NAME?</v>
      </c>
      <c r="K271" s="10" t="e">
        <f t="array" aca="1" ref="K271" ca="1">_xludf.XLOOKUP(F271, analysis!A:A, analysis!J:J)</f>
        <v>#NAME?</v>
      </c>
      <c r="L271" s="10" t="e">
        <f t="shared" ca="1" si="15"/>
        <v>#NAME?</v>
      </c>
    </row>
    <row r="273" spans="4:17" ht="13.2">
      <c r="K273" s="10" t="s">
        <v>1441</v>
      </c>
      <c r="L273" s="10" t="e">
        <f ca="1">SUM(L253:L271)</f>
        <v>#NAME?</v>
      </c>
      <c r="M273" s="10" t="s">
        <v>1442</v>
      </c>
      <c r="N273" s="10">
        <f>SUM(N253:N264)</f>
        <v>215.08497777777777</v>
      </c>
    </row>
    <row r="275" spans="4:17" ht="13.2">
      <c r="F275" s="185" t="s">
        <v>1209</v>
      </c>
      <c r="G275" s="180"/>
      <c r="H275" s="180"/>
      <c r="I275" s="180"/>
      <c r="J275" s="180"/>
      <c r="K275" s="180"/>
      <c r="L275" s="180"/>
      <c r="M275" s="180"/>
      <c r="N275" s="180"/>
      <c r="O275" s="180"/>
    </row>
    <row r="276" spans="4:17" ht="13.2">
      <c r="F276" s="18" t="s">
        <v>1408</v>
      </c>
      <c r="G276" s="18" t="s">
        <v>543</v>
      </c>
      <c r="H276" s="10" t="s">
        <v>1409</v>
      </c>
      <c r="I276" s="10" t="s">
        <v>1410</v>
      </c>
      <c r="J276" s="10" t="s">
        <v>1411</v>
      </c>
      <c r="K276" s="10" t="s">
        <v>1412</v>
      </c>
      <c r="L276" s="10" t="s">
        <v>1413</v>
      </c>
      <c r="M276" s="179" t="s">
        <v>1468</v>
      </c>
      <c r="N276" s="180"/>
      <c r="O276" s="10" t="s">
        <v>1415</v>
      </c>
    </row>
    <row r="277" spans="4:17" ht="13.2">
      <c r="D277" s="18"/>
      <c r="E277" s="18"/>
      <c r="F277" s="18" t="s">
        <v>1426</v>
      </c>
      <c r="G277" s="18" t="s">
        <v>1497</v>
      </c>
      <c r="H277" s="10" t="s">
        <v>1444</v>
      </c>
      <c r="I277" s="10">
        <v>200</v>
      </c>
      <c r="J277" s="43" t="e">
        <f t="array" aca="1" ref="J277" ca="1">_xludf.XLOOKUP(F277, analysis!A:A, analysis!I:I)</f>
        <v>#NAME?</v>
      </c>
      <c r="K277" s="10" t="e">
        <f t="array" aca="1" ref="K277" ca="1">_xludf.XLOOKUP(F277, analysis!A:A, analysis!J:J)</f>
        <v>#NAME?</v>
      </c>
      <c r="L277" s="10" t="e">
        <f t="shared" ref="L277:L289" ca="1" si="16">K277*I277*J277/1000</f>
        <v>#NAME?</v>
      </c>
      <c r="M277" s="10" t="s">
        <v>1417</v>
      </c>
      <c r="P277" s="10" t="str">
        <f ca="1">IFERROR(__xludf.DUMMYFUNCTION("transpose(split(F277,CHAR(10)))"),"oxtail")</f>
        <v>oxtail</v>
      </c>
      <c r="Q277" s="10" t="str">
        <f ca="1">IFERROR(__xludf.DUMMYFUNCTION("transpose(split(G277,CHAR(10)))"),"907g")</f>
        <v>907g</v>
      </c>
    </row>
    <row r="278" spans="4:17" ht="13.2">
      <c r="F278" s="10" t="s">
        <v>646</v>
      </c>
      <c r="G278" s="10" t="s">
        <v>1439</v>
      </c>
      <c r="H278" s="10">
        <v>0</v>
      </c>
      <c r="I278" s="10">
        <v>0</v>
      </c>
      <c r="J278" s="43" t="e">
        <f t="array" aca="1" ref="J278" ca="1">_xludf.XLOOKUP(F278, analysis!A:A, analysis!I:I)</f>
        <v>#NAME?</v>
      </c>
      <c r="K278" s="10" t="e">
        <f t="array" aca="1" ref="K278" ca="1">_xludf.XLOOKUP(F278, analysis!A:A, analysis!J:J)</f>
        <v>#NAME?</v>
      </c>
      <c r="L278" s="10" t="e">
        <f t="shared" ca="1" si="16"/>
        <v>#NAME?</v>
      </c>
      <c r="M278" s="10" t="s">
        <v>1420</v>
      </c>
    </row>
    <row r="279" spans="4:17" ht="13.2">
      <c r="F279" s="10" t="s">
        <v>1440</v>
      </c>
      <c r="G279" s="10" t="s">
        <v>1439</v>
      </c>
      <c r="H279" s="10">
        <v>0</v>
      </c>
      <c r="I279" s="10">
        <v>0</v>
      </c>
      <c r="J279" s="43" t="e">
        <f t="array" aca="1" ref="J279" ca="1">_xludf.XLOOKUP(F279, analysis!A:A, analysis!I:I)</f>
        <v>#NAME?</v>
      </c>
      <c r="K279" s="10" t="e">
        <f t="array" aca="1" ref="K279" ca="1">_xludf.XLOOKUP(F279, analysis!A:A, analysis!J:J)</f>
        <v>#NAME?</v>
      </c>
      <c r="L279" s="10" t="e">
        <f t="shared" ca="1" si="16"/>
        <v>#NAME?</v>
      </c>
      <c r="M279" s="10" t="s">
        <v>1423</v>
      </c>
    </row>
    <row r="280" spans="4:17" ht="13.2">
      <c r="F280" s="10" t="s">
        <v>733</v>
      </c>
      <c r="G280" s="10" t="s">
        <v>746</v>
      </c>
      <c r="H280" s="10" t="s">
        <v>1422</v>
      </c>
      <c r="I280" s="10">
        <f>15*0.927</f>
        <v>13.905000000000001</v>
      </c>
      <c r="J280" s="43" t="e">
        <f t="array" aca="1" ref="J280" ca="1">_xludf.XLOOKUP(F280, analysis!A:A, analysis!I:I)</f>
        <v>#NAME?</v>
      </c>
      <c r="K280" s="10" t="e">
        <f t="array" aca="1" ref="K280" ca="1">_xludf.XLOOKUP(F280, analysis!A:A, analysis!J:J)</f>
        <v>#NAME?</v>
      </c>
      <c r="L280" s="10" t="e">
        <f t="shared" ca="1" si="16"/>
        <v>#NAME?</v>
      </c>
      <c r="M280" s="10" t="s">
        <v>1425</v>
      </c>
    </row>
    <row r="281" spans="4:17" ht="13.2">
      <c r="F281" s="10" t="s">
        <v>651</v>
      </c>
      <c r="G281" s="10">
        <v>2</v>
      </c>
      <c r="H281" s="10" t="s">
        <v>1416</v>
      </c>
      <c r="I281" s="10">
        <f>2*70</f>
        <v>140</v>
      </c>
      <c r="J281" s="43" t="e">
        <f t="array" aca="1" ref="J281" ca="1">_xludf.XLOOKUP(F281, analysis!A:A, analysis!I:I)</f>
        <v>#NAME?</v>
      </c>
      <c r="K281" s="10" t="e">
        <f t="array" aca="1" ref="K281" ca="1">_xludf.XLOOKUP(F281, analysis!A:A, analysis!J:J)</f>
        <v>#NAME?</v>
      </c>
      <c r="L281" s="10" t="e">
        <f t="shared" ca="1" si="16"/>
        <v>#NAME?</v>
      </c>
      <c r="M281" s="10" t="s">
        <v>1428</v>
      </c>
    </row>
    <row r="282" spans="4:17" ht="13.2">
      <c r="F282" s="10" t="s">
        <v>658</v>
      </c>
      <c r="G282" s="10">
        <v>3</v>
      </c>
      <c r="H282" s="10" t="s">
        <v>1416</v>
      </c>
      <c r="I282" s="10">
        <f>3*100</f>
        <v>300</v>
      </c>
      <c r="J282" s="43" t="e">
        <f t="array" aca="1" ref="J282" ca="1">_xludf.XLOOKUP(F282, analysis!A:A, analysis!I:I)</f>
        <v>#NAME?</v>
      </c>
      <c r="K282" s="10" t="e">
        <f t="array" aca="1" ref="K282" ca="1">_xludf.XLOOKUP(F282, analysis!A:A, analysis!J:J)</f>
        <v>#NAME?</v>
      </c>
      <c r="L282" s="10" t="e">
        <f t="shared" ca="1" si="16"/>
        <v>#NAME?</v>
      </c>
      <c r="M282" s="10" t="s">
        <v>1429</v>
      </c>
    </row>
    <row r="283" spans="4:17" ht="13.2">
      <c r="F283" s="10" t="s">
        <v>737</v>
      </c>
      <c r="G283" s="10">
        <v>4</v>
      </c>
      <c r="H283" s="10" t="s">
        <v>1416</v>
      </c>
      <c r="I283" s="10">
        <f>4*4.4</f>
        <v>17.600000000000001</v>
      </c>
      <c r="J283" s="43" t="e">
        <f t="array" aca="1" ref="J283" ca="1">_xludf.XLOOKUP(F283, analysis!A:A, analysis!I:I)</f>
        <v>#NAME?</v>
      </c>
      <c r="K283" s="10" t="e">
        <f t="array" aca="1" ref="K283" ca="1">_xludf.XLOOKUP(F283, analysis!A:A, analysis!J:J)</f>
        <v>#NAME?</v>
      </c>
      <c r="L283" s="10" t="e">
        <f t="shared" ca="1" si="16"/>
        <v>#NAME?</v>
      </c>
      <c r="M283" s="10" t="s">
        <v>1430</v>
      </c>
      <c r="N283" s="10">
        <f>(((I280*1.96*160)/0.63)+(7/60)*5773920+(2.5/60)*5773920+(5/60)*5773920+(1/60)*5773920+(4/60)*5773920)*10^-6*50</f>
        <v>94.172280000000001</v>
      </c>
    </row>
    <row r="284" spans="4:17" ht="13.2">
      <c r="F284" s="10" t="s">
        <v>1470</v>
      </c>
      <c r="G284" s="10" t="s">
        <v>1508</v>
      </c>
      <c r="H284" s="10" t="s">
        <v>1422</v>
      </c>
      <c r="I284" s="10">
        <f>120*0.99</f>
        <v>118.8</v>
      </c>
      <c r="J284" s="43" t="e">
        <f t="array" aca="1" ref="J284" ca="1">_xludf.XLOOKUP(F284, analysis!A:A, analysis!I:I)</f>
        <v>#NAME?</v>
      </c>
      <c r="K284" s="10" t="e">
        <f t="array" aca="1" ref="K284" ca="1">_xludf.XLOOKUP(F284, analysis!A:A, analysis!J:J)</f>
        <v>#NAME?</v>
      </c>
      <c r="L284" s="10" t="e">
        <f t="shared" ca="1" si="16"/>
        <v>#NAME?</v>
      </c>
      <c r="M284" s="10" t="s">
        <v>1432</v>
      </c>
    </row>
    <row r="285" spans="4:17" ht="13.2">
      <c r="F285" s="10" t="s">
        <v>1472</v>
      </c>
      <c r="G285" s="10" t="s">
        <v>746</v>
      </c>
      <c r="H285" s="10" t="s">
        <v>1422</v>
      </c>
      <c r="I285" s="10">
        <f>15*1.01</f>
        <v>15.15</v>
      </c>
      <c r="J285" s="43" t="e">
        <f t="array" aca="1" ref="J285" ca="1">_xludf.XLOOKUP(F285, analysis!A:A, analysis!I:I)</f>
        <v>#NAME?</v>
      </c>
      <c r="K285" s="10" t="e">
        <f t="array" aca="1" ref="K285" ca="1">_xludf.XLOOKUP(F285, analysis!A:A, analysis!J:J)</f>
        <v>#NAME?</v>
      </c>
      <c r="L285" s="10" t="e">
        <f t="shared" ca="1" si="16"/>
        <v>#NAME?</v>
      </c>
      <c r="M285" s="10" t="s">
        <v>1433</v>
      </c>
    </row>
    <row r="286" spans="4:17" ht="13.2">
      <c r="F286" s="10" t="s">
        <v>1473</v>
      </c>
      <c r="G286" s="10" t="s">
        <v>1529</v>
      </c>
      <c r="H286" s="10" t="s">
        <v>1422</v>
      </c>
      <c r="I286" s="10">
        <v>720</v>
      </c>
      <c r="J286" s="43" t="e">
        <f t="array" aca="1" ref="J286" ca="1">_xludf.XLOOKUP(F286, analysis!A:A, analysis!I:I)</f>
        <v>#NAME?</v>
      </c>
      <c r="K286" s="10" t="e">
        <f t="array" aca="1" ref="K286" ca="1">_xludf.XLOOKUP(F286, analysis!A:A, analysis!J:J)</f>
        <v>#NAME?</v>
      </c>
      <c r="L286" s="10" t="e">
        <f t="shared" ca="1" si="16"/>
        <v>#NAME?</v>
      </c>
      <c r="M286" s="10" t="s">
        <v>1434</v>
      </c>
    </row>
    <row r="287" spans="4:17" ht="13.2">
      <c r="F287" s="10" t="s">
        <v>711</v>
      </c>
      <c r="G287" s="10">
        <v>2</v>
      </c>
      <c r="H287" s="10" t="s">
        <v>1416</v>
      </c>
      <c r="I287" s="10">
        <f>2*0.25</f>
        <v>0.5</v>
      </c>
      <c r="J287" s="43" t="e">
        <f t="array" aca="1" ref="J287" ca="1">_xludf.XLOOKUP(F287, analysis!A:A, analysis!I:I)</f>
        <v>#NAME?</v>
      </c>
      <c r="K287" s="10" t="e">
        <f t="array" aca="1" ref="K287" ca="1">_xludf.XLOOKUP(F287, analysis!A:A, analysis!J:J)</f>
        <v>#NAME?</v>
      </c>
      <c r="L287" s="10" t="e">
        <f t="shared" ca="1" si="16"/>
        <v>#NAME?</v>
      </c>
      <c r="M287" s="10" t="s">
        <v>1437</v>
      </c>
      <c r="N287" s="10">
        <f>((150/60)*5773920+(17.5/60)*5773920)*(10^-6)*50</f>
        <v>805.94299999999987</v>
      </c>
    </row>
    <row r="288" spans="4:17" ht="13.2">
      <c r="F288" s="10" t="s">
        <v>1516</v>
      </c>
      <c r="G288" s="10" t="s">
        <v>753</v>
      </c>
      <c r="H288" s="10" t="s">
        <v>1444</v>
      </c>
      <c r="I288" s="10">
        <v>400</v>
      </c>
      <c r="J288" s="43" t="e">
        <f t="array" aca="1" ref="J288" ca="1">_xludf.XLOOKUP(F288, analysis!A:A, analysis!I:I)</f>
        <v>#NAME?</v>
      </c>
      <c r="K288" s="10" t="e">
        <f t="array" aca="1" ref="K288" ca="1">_xludf.XLOOKUP(F288, analysis!A:A, analysis!J:J)</f>
        <v>#NAME?</v>
      </c>
      <c r="L288" s="10" t="e">
        <f t="shared" ca="1" si="16"/>
        <v>#NAME?</v>
      </c>
      <c r="M288" s="10" t="s">
        <v>1474</v>
      </c>
    </row>
    <row r="289" spans="4:17" ht="13.2">
      <c r="F289" s="10" t="s">
        <v>1449</v>
      </c>
      <c r="G289" s="10" t="s">
        <v>1528</v>
      </c>
      <c r="H289" s="10" t="s">
        <v>1444</v>
      </c>
      <c r="I289" s="10">
        <v>21</v>
      </c>
      <c r="J289" s="43" t="e">
        <f t="array" aca="1" ref="J289" ca="1">_xludf.XLOOKUP(F289, analysis!A:A, analysis!I:I)</f>
        <v>#NAME?</v>
      </c>
      <c r="K289" s="10" t="e">
        <f t="array" aca="1" ref="K289" ca="1">_xludf.XLOOKUP(F289, analysis!A:A, analysis!J:J)</f>
        <v>#NAME?</v>
      </c>
      <c r="L289" s="10" t="e">
        <f t="shared" ca="1" si="16"/>
        <v>#NAME?</v>
      </c>
    </row>
    <row r="291" spans="4:17" ht="13.2">
      <c r="K291" s="10" t="s">
        <v>1441</v>
      </c>
      <c r="L291" s="10" t="e">
        <f ca="1">SUM(L277:L289)</f>
        <v>#NAME?</v>
      </c>
      <c r="M291" s="10" t="s">
        <v>1442</v>
      </c>
      <c r="N291" s="10">
        <f>SUM(N277:N288)</f>
        <v>900.11527999999987</v>
      </c>
    </row>
    <row r="293" spans="4:17" ht="13.2">
      <c r="F293" s="185" t="s">
        <v>785</v>
      </c>
      <c r="G293" s="180"/>
      <c r="H293" s="180"/>
      <c r="I293" s="180"/>
      <c r="J293" s="180"/>
      <c r="K293" s="180"/>
      <c r="L293" s="180"/>
      <c r="M293" s="180"/>
      <c r="N293" s="180"/>
      <c r="O293" s="180"/>
    </row>
    <row r="294" spans="4:17" ht="13.2">
      <c r="F294" s="18" t="s">
        <v>1408</v>
      </c>
      <c r="G294" s="18" t="s">
        <v>543</v>
      </c>
      <c r="H294" s="10" t="s">
        <v>1409</v>
      </c>
      <c r="I294" s="10" t="s">
        <v>1410</v>
      </c>
      <c r="J294" s="10" t="s">
        <v>1411</v>
      </c>
      <c r="K294" s="10" t="s">
        <v>1412</v>
      </c>
      <c r="L294" s="10" t="s">
        <v>1413</v>
      </c>
      <c r="M294" s="179" t="s">
        <v>1468</v>
      </c>
      <c r="N294" s="180"/>
      <c r="O294" s="10" t="s">
        <v>1415</v>
      </c>
    </row>
    <row r="295" spans="4:17" ht="13.2">
      <c r="D295" s="18"/>
      <c r="E295" s="18"/>
      <c r="F295" s="18" t="s">
        <v>1530</v>
      </c>
      <c r="G295" s="18" t="s">
        <v>1531</v>
      </c>
      <c r="H295" s="10" t="s">
        <v>1444</v>
      </c>
      <c r="I295" s="10">
        <v>200</v>
      </c>
      <c r="J295" s="43" t="e">
        <f t="array" aca="1" ref="J295" ca="1">_xludf.XLOOKUP(F295, analysis!A:A, analysis!I:I)</f>
        <v>#NAME?</v>
      </c>
      <c r="K295" s="10" t="e">
        <f t="array" aca="1" ref="K295" ca="1">_xludf.XLOOKUP(F295, analysis!A:A, analysis!J:J)</f>
        <v>#NAME?</v>
      </c>
      <c r="L295" s="10" t="e">
        <f t="shared" ref="L295:L307" ca="1" si="17">K295*I295*J295/1000</f>
        <v>#NAME?</v>
      </c>
      <c r="M295" s="10" t="s">
        <v>1417</v>
      </c>
      <c r="P295" s="10" t="str">
        <f ca="1">IFERROR(__xludf.DUMMYFUNCTION("transpose(split(F295,CHAR(10)))"),"cassava root")</f>
        <v>cassava root</v>
      </c>
      <c r="Q295" s="10" t="str">
        <f ca="1">IFERROR(__xludf.DUMMYFUNCTION("transpose(split(G295,CHAR(10)))"),"500g ")</f>
        <v xml:space="preserve">500g </v>
      </c>
    </row>
    <row r="296" spans="4:17" ht="13.2">
      <c r="F296" s="10" t="s">
        <v>652</v>
      </c>
      <c r="G296" s="10" t="s">
        <v>1532</v>
      </c>
      <c r="H296" s="10" t="s">
        <v>1422</v>
      </c>
      <c r="I296" s="10">
        <f>15*0.911</f>
        <v>13.665000000000001</v>
      </c>
      <c r="J296" s="43" t="e">
        <f t="array" aca="1" ref="J296" ca="1">_xludf.XLOOKUP(F296, analysis!A:A, analysis!I:I)</f>
        <v>#NAME?</v>
      </c>
      <c r="K296" s="10" t="e">
        <f t="array" aca="1" ref="K296" ca="1">_xludf.XLOOKUP(F296, analysis!A:A, analysis!J:J)</f>
        <v>#NAME?</v>
      </c>
      <c r="L296" s="10" t="e">
        <f t="shared" ca="1" si="17"/>
        <v>#NAME?</v>
      </c>
      <c r="M296" s="10" t="s">
        <v>1420</v>
      </c>
    </row>
    <row r="297" spans="4:17" ht="13.2">
      <c r="F297" s="10" t="s">
        <v>1467</v>
      </c>
      <c r="G297" s="10" t="s">
        <v>1533</v>
      </c>
      <c r="H297" s="10" t="s">
        <v>1422</v>
      </c>
      <c r="I297" s="10">
        <f>200*0.994</f>
        <v>198.8</v>
      </c>
      <c r="J297" s="43" t="e">
        <f t="array" aca="1" ref="J297" ca="1">_xludf.XLOOKUP(F297, analysis!A:A, analysis!I:I)</f>
        <v>#NAME?</v>
      </c>
      <c r="K297" s="10" t="e">
        <f t="array" aca="1" ref="K297" ca="1">_xludf.XLOOKUP(F297, analysis!A:A, analysis!J:J)</f>
        <v>#NAME?</v>
      </c>
      <c r="L297" s="10" t="e">
        <f t="shared" ca="1" si="17"/>
        <v>#NAME?</v>
      </c>
      <c r="M297" s="10" t="s">
        <v>1423</v>
      </c>
    </row>
    <row r="298" spans="4:17" ht="13.2">
      <c r="F298" s="10" t="s">
        <v>733</v>
      </c>
      <c r="G298" s="10" t="s">
        <v>1534</v>
      </c>
      <c r="H298" s="10" t="s">
        <v>1422</v>
      </c>
      <c r="I298" s="10">
        <f>30*0.927</f>
        <v>27.810000000000002</v>
      </c>
      <c r="J298" s="43" t="e">
        <f t="array" aca="1" ref="J298" ca="1">_xludf.XLOOKUP(F298, analysis!A:A, analysis!I:I)</f>
        <v>#NAME?</v>
      </c>
      <c r="K298" s="10" t="e">
        <f t="array" aca="1" ref="K298" ca="1">_xludf.XLOOKUP(F298, analysis!A:A, analysis!J:J)</f>
        <v>#NAME?</v>
      </c>
      <c r="L298" s="10" t="e">
        <f t="shared" ca="1" si="17"/>
        <v>#NAME?</v>
      </c>
      <c r="M298" s="10" t="s">
        <v>1425</v>
      </c>
      <c r="N298" s="10">
        <f>((2/3*1400)*4.2*80/0.63+(20/60)*5773920)*(10^-6)*50</f>
        <v>121.1208888888889</v>
      </c>
    </row>
    <row r="299" spans="4:17" ht="13.2">
      <c r="F299" s="10" t="s">
        <v>651</v>
      </c>
      <c r="G299" s="17">
        <v>46024</v>
      </c>
      <c r="H299" s="10" t="s">
        <v>1416</v>
      </c>
      <c r="I299" s="10">
        <f>1/2*70</f>
        <v>35</v>
      </c>
      <c r="J299" s="43" t="e">
        <f t="array" aca="1" ref="J299" ca="1">_xludf.XLOOKUP(F299, analysis!A:A, analysis!I:I)</f>
        <v>#NAME?</v>
      </c>
      <c r="K299" s="10" t="e">
        <f t="array" aca="1" ref="K299" ca="1">_xludf.XLOOKUP(F299, analysis!A:A, analysis!J:J)</f>
        <v>#NAME?</v>
      </c>
      <c r="L299" s="10" t="e">
        <f t="shared" ca="1" si="17"/>
        <v>#NAME?</v>
      </c>
      <c r="M299" s="10" t="s">
        <v>1428</v>
      </c>
    </row>
    <row r="300" spans="4:17" ht="13.2">
      <c r="F300" s="10" t="s">
        <v>1450</v>
      </c>
      <c r="G300" s="10" t="s">
        <v>726</v>
      </c>
      <c r="H300" s="10" t="s">
        <v>1444</v>
      </c>
      <c r="I300" s="10">
        <v>350</v>
      </c>
      <c r="J300" s="43" t="e">
        <f t="array" aca="1" ref="J300" ca="1">_xludf.XLOOKUP(F300, analysis!A:A, analysis!I:I)</f>
        <v>#NAME?</v>
      </c>
      <c r="K300" s="10" t="e">
        <f t="array" aca="1" ref="K300" ca="1">_xludf.XLOOKUP(F300, analysis!A:A, analysis!J:J)</f>
        <v>#NAME?</v>
      </c>
      <c r="L300" s="10" t="e">
        <f t="shared" ca="1" si="17"/>
        <v>#NAME?</v>
      </c>
      <c r="M300" s="10" t="s">
        <v>1429</v>
      </c>
    </row>
    <row r="301" spans="4:17" ht="13.2">
      <c r="F301" s="10" t="s">
        <v>737</v>
      </c>
      <c r="G301" s="10">
        <v>2</v>
      </c>
      <c r="H301" s="10" t="s">
        <v>1416</v>
      </c>
      <c r="I301" s="10">
        <f>4.4*2</f>
        <v>8.8000000000000007</v>
      </c>
      <c r="J301" s="43" t="e">
        <f t="array" aca="1" ref="J301" ca="1">_xludf.XLOOKUP(F301, analysis!A:A, analysis!I:I)</f>
        <v>#NAME?</v>
      </c>
      <c r="K301" s="10" t="e">
        <f t="array" aca="1" ref="K301" ca="1">_xludf.XLOOKUP(F301, analysis!A:A, analysis!J:J)</f>
        <v>#NAME?</v>
      </c>
      <c r="L301" s="10" t="e">
        <f t="shared" ca="1" si="17"/>
        <v>#NAME?</v>
      </c>
      <c r="M301" s="10" t="s">
        <v>1430</v>
      </c>
      <c r="N301" s="10">
        <f>(((I298*1.96*160)/0.63)+(9/60)*5773920+(5/60)*5773920+(3.5/60)*5773920)*10^-6*50</f>
        <v>84.89515999999999</v>
      </c>
    </row>
    <row r="302" spans="4:17" ht="13.2">
      <c r="F302" s="10" t="s">
        <v>658</v>
      </c>
      <c r="G302" s="10">
        <v>1</v>
      </c>
      <c r="H302" s="10" t="s">
        <v>1416</v>
      </c>
      <c r="I302" s="10">
        <v>100</v>
      </c>
      <c r="J302" s="43" t="e">
        <f t="array" aca="1" ref="J302" ca="1">_xludf.XLOOKUP(F302, analysis!A:A, analysis!I:I)</f>
        <v>#NAME?</v>
      </c>
      <c r="K302" s="10" t="e">
        <f t="array" aca="1" ref="K302" ca="1">_xludf.XLOOKUP(F302, analysis!A:A, analysis!J:J)</f>
        <v>#NAME?</v>
      </c>
      <c r="L302" s="10" t="e">
        <f t="shared" ca="1" si="17"/>
        <v>#NAME?</v>
      </c>
      <c r="M302" s="10" t="s">
        <v>1432</v>
      </c>
      <c r="N302" s="10">
        <f>((1.012*1.2923*10^-3*70000*170/0.63)/0.13+(12.5/60)*5773920)*(10^-6)*50</f>
        <v>69.646166324786336</v>
      </c>
    </row>
    <row r="303" spans="4:17" ht="13.2">
      <c r="F303" s="10" t="s">
        <v>1449</v>
      </c>
      <c r="G303" s="10" t="s">
        <v>1510</v>
      </c>
      <c r="H303" s="10" t="s">
        <v>1444</v>
      </c>
      <c r="I303" s="10">
        <v>15</v>
      </c>
      <c r="J303" s="43" t="e">
        <f t="array" aca="1" ref="J303" ca="1">_xludf.XLOOKUP(F303, analysis!A:A, analysis!I:I)</f>
        <v>#NAME?</v>
      </c>
      <c r="K303" s="10" t="e">
        <f t="array" aca="1" ref="K303" ca="1">_xludf.XLOOKUP(F303, analysis!A:A, analysis!J:J)</f>
        <v>#NAME?</v>
      </c>
      <c r="L303" s="10" t="e">
        <f t="shared" ca="1" si="17"/>
        <v>#NAME?</v>
      </c>
      <c r="M303" s="10" t="s">
        <v>1433</v>
      </c>
    </row>
    <row r="304" spans="4:17" ht="13.2">
      <c r="F304" s="10" t="s">
        <v>1535</v>
      </c>
      <c r="G304" s="10" t="s">
        <v>1536</v>
      </c>
      <c r="H304" s="10" t="s">
        <v>1444</v>
      </c>
      <c r="I304" s="10">
        <v>225</v>
      </c>
      <c r="J304" s="43" t="e">
        <f t="array" aca="1" ref="J304" ca="1">_xludf.XLOOKUP(F304, analysis!A:A, analysis!I:I)</f>
        <v>#NAME?</v>
      </c>
      <c r="K304" s="10" t="e">
        <f t="array" aca="1" ref="K304" ca="1">_xludf.XLOOKUP(F304, analysis!A:A, analysis!J:J)</f>
        <v>#NAME?</v>
      </c>
      <c r="L304" s="10" t="e">
        <f t="shared" ca="1" si="17"/>
        <v>#NAME?</v>
      </c>
      <c r="M304" s="10" t="s">
        <v>1434</v>
      </c>
    </row>
    <row r="305" spans="6:17" ht="13.2">
      <c r="F305" s="10" t="s">
        <v>1498</v>
      </c>
      <c r="G305" s="10" t="s">
        <v>1537</v>
      </c>
      <c r="H305" s="10" t="s">
        <v>1444</v>
      </c>
      <c r="I305" s="10">
        <v>115</v>
      </c>
      <c r="J305" s="43" t="e">
        <f t="array" aca="1" ref="J305" ca="1">_xludf.XLOOKUP(F305, analysis!A:A, analysis!I:I)</f>
        <v>#NAME?</v>
      </c>
      <c r="K305" s="10" t="e">
        <f t="array" aca="1" ref="K305" ca="1">_xludf.XLOOKUP(F305, analysis!A:A, analysis!J:J)</f>
        <v>#NAME?</v>
      </c>
      <c r="L305" s="10" t="e">
        <f t="shared" ca="1" si="17"/>
        <v>#NAME?</v>
      </c>
      <c r="M305" s="10" t="s">
        <v>1437</v>
      </c>
    </row>
    <row r="306" spans="6:17" ht="13.2">
      <c r="F306" s="10" t="s">
        <v>646</v>
      </c>
      <c r="G306" s="10" t="s">
        <v>1439</v>
      </c>
      <c r="H306" s="10">
        <v>0</v>
      </c>
      <c r="I306" s="10">
        <v>0</v>
      </c>
      <c r="J306" s="43" t="e">
        <f t="array" aca="1" ref="J306" ca="1">_xludf.XLOOKUP(F306, analysis!A:A, analysis!I:I)</f>
        <v>#NAME?</v>
      </c>
      <c r="K306" s="10" t="e">
        <f t="array" aca="1" ref="K306" ca="1">_xludf.XLOOKUP(F306, analysis!A:A, analysis!J:J)</f>
        <v>#NAME?</v>
      </c>
      <c r="L306" s="10" t="e">
        <f t="shared" ca="1" si="17"/>
        <v>#NAME?</v>
      </c>
      <c r="M306" s="10" t="s">
        <v>1474</v>
      </c>
    </row>
    <row r="307" spans="6:17" ht="13.2">
      <c r="F307" s="10" t="s">
        <v>1440</v>
      </c>
      <c r="G307" s="10" t="s">
        <v>1439</v>
      </c>
      <c r="H307" s="10">
        <v>0</v>
      </c>
      <c r="I307" s="10">
        <v>0</v>
      </c>
      <c r="J307" s="43" t="e">
        <f t="array" aca="1" ref="J307" ca="1">_xludf.XLOOKUP(F307, analysis!A:A, analysis!I:I)</f>
        <v>#NAME?</v>
      </c>
      <c r="K307" s="10" t="e">
        <f t="array" aca="1" ref="K307" ca="1">_xludf.XLOOKUP(F307, analysis!A:A, analysis!J:J)</f>
        <v>#NAME?</v>
      </c>
      <c r="L307" s="10" t="e">
        <f t="shared" ca="1" si="17"/>
        <v>#NAME?</v>
      </c>
    </row>
    <row r="309" spans="6:17" ht="13.2">
      <c r="K309" s="10" t="s">
        <v>1441</v>
      </c>
      <c r="L309" s="10" t="e">
        <f ca="1">SUM(L295:L307)</f>
        <v>#NAME?</v>
      </c>
      <c r="M309" s="10" t="s">
        <v>1442</v>
      </c>
      <c r="N309" s="10">
        <f>SUM(N295:N306)</f>
        <v>275.66221521367521</v>
      </c>
    </row>
    <row r="310" spans="6:17" ht="13.2">
      <c r="F310" s="184" t="s">
        <v>781</v>
      </c>
      <c r="G310" s="180"/>
      <c r="H310" s="180"/>
      <c r="I310" s="180"/>
      <c r="J310" s="180"/>
      <c r="K310" s="180"/>
      <c r="L310" s="180"/>
      <c r="M310" s="180"/>
      <c r="N310" s="180"/>
      <c r="O310" s="180"/>
    </row>
    <row r="311" spans="6:17" ht="13.2">
      <c r="F311" s="18" t="s">
        <v>1408</v>
      </c>
      <c r="G311" s="18" t="s">
        <v>543</v>
      </c>
      <c r="H311" s="10" t="s">
        <v>1409</v>
      </c>
      <c r="I311" s="10" t="s">
        <v>1410</v>
      </c>
      <c r="J311" s="10" t="s">
        <v>1411</v>
      </c>
      <c r="K311" s="10" t="s">
        <v>1412</v>
      </c>
      <c r="L311" s="10" t="s">
        <v>1413</v>
      </c>
      <c r="M311" s="179" t="s">
        <v>1468</v>
      </c>
      <c r="N311" s="180"/>
      <c r="O311" s="10" t="s">
        <v>1415</v>
      </c>
    </row>
    <row r="312" spans="6:17" ht="13.2">
      <c r="F312" s="10" t="s">
        <v>1538</v>
      </c>
      <c r="G312" s="10" t="s">
        <v>1539</v>
      </c>
      <c r="H312" s="10" t="s">
        <v>1444</v>
      </c>
      <c r="I312" s="10">
        <v>200</v>
      </c>
      <c r="J312" s="43" t="e">
        <f t="array" aca="1" ref="J312" ca="1">_xludf.XLOOKUP(F312, analysis!A:A, analysis!I:I)</f>
        <v>#NAME?</v>
      </c>
      <c r="K312" s="10" t="e">
        <f t="array" aca="1" ref="K312" ca="1">_xludf.XLOOKUP(F312, analysis!A:A, analysis!J:J)</f>
        <v>#NAME?</v>
      </c>
      <c r="L312" s="10" t="e">
        <f t="shared" ref="L312:L326" ca="1" si="18">K312*I312*J312/1000</f>
        <v>#NAME?</v>
      </c>
      <c r="M312" s="10" t="s">
        <v>1417</v>
      </c>
      <c r="P312" s="10" t="str">
        <f ca="1">IFERROR(__xludf.DUMMYFUNCTION("transpose(split(F312,CHAR(10)))"),"bulgur wheat")</f>
        <v>bulgur wheat</v>
      </c>
      <c r="Q312" s="10" t="str">
        <f ca="1">IFERROR(__xludf.DUMMYFUNCTION("transpose(split(G312,CHAR(10)))"),"250g")</f>
        <v>250g</v>
      </c>
    </row>
    <row r="313" spans="6:17" ht="13.2">
      <c r="F313" s="10" t="s">
        <v>1540</v>
      </c>
      <c r="G313" s="10" t="s">
        <v>1541</v>
      </c>
      <c r="H313" s="10" t="s">
        <v>1427</v>
      </c>
      <c r="I313" s="10">
        <v>1000</v>
      </c>
      <c r="J313" s="43" t="e">
        <f t="array" aca="1" ref="J313" ca="1">_xludf.XLOOKUP(F313, analysis!A:A, analysis!I:I)</f>
        <v>#NAME?</v>
      </c>
      <c r="K313" s="10" t="e">
        <f t="array" aca="1" ref="K313" ca="1">_xludf.XLOOKUP(F313, analysis!A:A, analysis!J:J)</f>
        <v>#NAME?</v>
      </c>
      <c r="L313" s="10" t="e">
        <f t="shared" ca="1" si="18"/>
        <v>#NAME?</v>
      </c>
      <c r="M313" s="10" t="s">
        <v>1420</v>
      </c>
    </row>
    <row r="314" spans="6:17" ht="13.2">
      <c r="F314" s="10" t="s">
        <v>651</v>
      </c>
      <c r="G314" s="10">
        <v>1</v>
      </c>
      <c r="H314" s="10" t="s">
        <v>1416</v>
      </c>
      <c r="I314" s="10">
        <v>70</v>
      </c>
      <c r="J314" s="43" t="e">
        <f t="array" aca="1" ref="J314" ca="1">_xludf.XLOOKUP(F314, analysis!A:A, analysis!I:I)</f>
        <v>#NAME?</v>
      </c>
      <c r="K314" s="10" t="e">
        <f t="array" aca="1" ref="K314" ca="1">_xludf.XLOOKUP(F314, analysis!A:A, analysis!J:J)</f>
        <v>#NAME?</v>
      </c>
      <c r="L314" s="10" t="e">
        <f t="shared" ca="1" si="18"/>
        <v>#NAME?</v>
      </c>
      <c r="M314" s="10" t="s">
        <v>1423</v>
      </c>
    </row>
    <row r="315" spans="6:17" ht="13.2">
      <c r="F315" s="10" t="s">
        <v>1542</v>
      </c>
      <c r="G315" s="10" t="s">
        <v>1537</v>
      </c>
      <c r="H315" s="10" t="s">
        <v>1444</v>
      </c>
      <c r="I315" s="10">
        <v>115</v>
      </c>
      <c r="J315" s="43" t="e">
        <f t="array" aca="1" ref="J315" ca="1">_xludf.XLOOKUP(F315, analysis!A:A, analysis!I:I)</f>
        <v>#NAME?</v>
      </c>
      <c r="K315" s="10" t="e">
        <f t="array" aca="1" ref="K315" ca="1">_xludf.XLOOKUP(F315, analysis!A:A, analysis!J:J)</f>
        <v>#NAME?</v>
      </c>
      <c r="L315" s="10" t="e">
        <f t="shared" ca="1" si="18"/>
        <v>#NAME?</v>
      </c>
      <c r="M315" s="10" t="s">
        <v>1425</v>
      </c>
    </row>
    <row r="316" spans="6:17" ht="13.2">
      <c r="F316" s="10" t="s">
        <v>1543</v>
      </c>
      <c r="G316" s="10" t="s">
        <v>1544</v>
      </c>
      <c r="H316" s="10" t="s">
        <v>1422</v>
      </c>
      <c r="I316" s="10">
        <f>3.75*0.48</f>
        <v>1.7999999999999998</v>
      </c>
      <c r="J316" s="43" t="e">
        <f t="array" aca="1" ref="J316" ca="1">_xludf.XLOOKUP(F316, analysis!A:A, analysis!I:I)</f>
        <v>#NAME?</v>
      </c>
      <c r="K316" s="10" t="e">
        <f t="array" aca="1" ref="K316" ca="1">_xludf.XLOOKUP(F316, analysis!A:A, analysis!J:J)</f>
        <v>#NAME?</v>
      </c>
      <c r="L316" s="10" t="e">
        <f t="shared" ca="1" si="18"/>
        <v>#NAME?</v>
      </c>
      <c r="M316" s="10" t="s">
        <v>1428</v>
      </c>
    </row>
    <row r="317" spans="6:17" ht="13.2">
      <c r="F317" s="10" t="s">
        <v>1545</v>
      </c>
      <c r="G317" s="10" t="s">
        <v>738</v>
      </c>
      <c r="H317" s="10" t="s">
        <v>1422</v>
      </c>
      <c r="I317" s="10">
        <f>5*0.47</f>
        <v>2.3499999999999996</v>
      </c>
      <c r="J317" s="43" t="e">
        <f t="array" aca="1" ref="J317" ca="1">_xludf.XLOOKUP(F317, analysis!A:A, analysis!I:I)</f>
        <v>#NAME?</v>
      </c>
      <c r="K317" s="10" t="e">
        <f t="array" aca="1" ref="K317" ca="1">_xludf.XLOOKUP(F317, analysis!A:A, analysis!J:J)</f>
        <v>#NAME?</v>
      </c>
      <c r="L317" s="10" t="e">
        <f t="shared" ca="1" si="18"/>
        <v>#NAME?</v>
      </c>
      <c r="M317" s="10" t="s">
        <v>1429</v>
      </c>
      <c r="N317" s="10">
        <f>((12^2*PI()*10*0.927*1.96*150/0.63)+(5/60)*5773920)*(10^-6)*50</f>
        <v>121.909814699892</v>
      </c>
    </row>
    <row r="318" spans="6:17" ht="13.2">
      <c r="F318" s="10" t="s">
        <v>1546</v>
      </c>
      <c r="G318" s="10" t="s">
        <v>738</v>
      </c>
      <c r="H318" s="10" t="s">
        <v>1422</v>
      </c>
      <c r="I318" s="10">
        <f>5*0.57</f>
        <v>2.8499999999999996</v>
      </c>
      <c r="J318" s="43" t="e">
        <f t="array" aca="1" ref="J318" ca="1">_xludf.XLOOKUP(F318, analysis!A:A, analysis!I:I)</f>
        <v>#NAME?</v>
      </c>
      <c r="K318" s="10" t="e">
        <f t="array" aca="1" ref="K318" ca="1">_xludf.XLOOKUP(F318, analysis!A:A, analysis!J:J)</f>
        <v>#NAME?</v>
      </c>
      <c r="L318" s="10" t="e">
        <f t="shared" ca="1" si="18"/>
        <v>#NAME?</v>
      </c>
      <c r="M318" s="10" t="s">
        <v>1430</v>
      </c>
      <c r="N318" s="10">
        <f>(((I321*1.96*160)/0.63)+(5/60)*5773920+(1/60)*5773920+(3.5/60)*5773920)*10^-6*50</f>
        <v>46.402360000000002</v>
      </c>
    </row>
    <row r="319" spans="6:17" ht="13.2">
      <c r="F319" s="10" t="s">
        <v>646</v>
      </c>
      <c r="G319" s="10" t="s">
        <v>738</v>
      </c>
      <c r="H319" s="10" t="s">
        <v>1422</v>
      </c>
      <c r="I319" s="10">
        <f>1.38*5</f>
        <v>6.8999999999999995</v>
      </c>
      <c r="J319" s="43" t="e">
        <f t="array" aca="1" ref="J319" ca="1">_xludf.XLOOKUP(F319, analysis!A:A, analysis!I:I)</f>
        <v>#NAME?</v>
      </c>
      <c r="K319" s="10" t="e">
        <f t="array" aca="1" ref="K319" ca="1">_xludf.XLOOKUP(F319, analysis!A:A, analysis!J:J)</f>
        <v>#NAME?</v>
      </c>
      <c r="L319" s="10" t="e">
        <f t="shared" ca="1" si="18"/>
        <v>#NAME?</v>
      </c>
      <c r="M319" s="10" t="s">
        <v>1432</v>
      </c>
    </row>
    <row r="320" spans="6:17" ht="13.2">
      <c r="F320" s="10" t="s">
        <v>733</v>
      </c>
      <c r="G320" s="10" t="s">
        <v>1439</v>
      </c>
      <c r="H320" s="10">
        <v>0</v>
      </c>
      <c r="I320" s="10">
        <v>0</v>
      </c>
      <c r="J320" s="43" t="e">
        <f t="array" aca="1" ref="J320" ca="1">_xludf.XLOOKUP(F320, analysis!A:A, analysis!I:I)</f>
        <v>#NAME?</v>
      </c>
      <c r="K320" s="10" t="e">
        <f t="array" aca="1" ref="K320" ca="1">_xludf.XLOOKUP(F320, analysis!A:A, analysis!J:J)</f>
        <v>#NAME?</v>
      </c>
      <c r="L320" s="10" t="e">
        <f t="shared" ca="1" si="18"/>
        <v>#NAME?</v>
      </c>
      <c r="M320" s="10" t="s">
        <v>1433</v>
      </c>
    </row>
    <row r="321" spans="6:17" ht="13.2">
      <c r="F321" s="10" t="s">
        <v>733</v>
      </c>
      <c r="G321" s="10" t="s">
        <v>1534</v>
      </c>
      <c r="H321" s="10" t="s">
        <v>1422</v>
      </c>
      <c r="I321" s="10">
        <f>0.927*30</f>
        <v>27.810000000000002</v>
      </c>
      <c r="J321" s="43" t="e">
        <f t="array" aca="1" ref="J321" ca="1">_xludf.XLOOKUP(F321, analysis!A:A, analysis!I:I)</f>
        <v>#NAME?</v>
      </c>
      <c r="K321" s="10" t="e">
        <f t="array" aca="1" ref="K321" ca="1">_xludf.XLOOKUP(F321, analysis!A:A, analysis!J:J)</f>
        <v>#NAME?</v>
      </c>
      <c r="L321" s="10" t="e">
        <f t="shared" ca="1" si="18"/>
        <v>#NAME?</v>
      </c>
      <c r="M321" s="10" t="s">
        <v>1434</v>
      </c>
    </row>
    <row r="322" spans="6:17" ht="13.2">
      <c r="F322" s="10" t="s">
        <v>651</v>
      </c>
      <c r="G322" s="17">
        <v>46024</v>
      </c>
      <c r="H322" s="10" t="s">
        <v>1416</v>
      </c>
      <c r="I322" s="10">
        <f>70*0.5</f>
        <v>35</v>
      </c>
      <c r="J322" s="43" t="e">
        <f t="array" aca="1" ref="J322" ca="1">_xludf.XLOOKUP(F322, analysis!A:A, analysis!I:I)</f>
        <v>#NAME?</v>
      </c>
      <c r="K322" s="10" t="e">
        <f t="array" aca="1" ref="K322" ca="1">_xludf.XLOOKUP(F322, analysis!A:A, analysis!J:J)</f>
        <v>#NAME?</v>
      </c>
      <c r="L322" s="10" t="e">
        <f t="shared" ca="1" si="18"/>
        <v>#NAME?</v>
      </c>
      <c r="M322" s="10" t="s">
        <v>1437</v>
      </c>
    </row>
    <row r="323" spans="6:17" ht="13.2">
      <c r="F323" s="10" t="s">
        <v>1547</v>
      </c>
      <c r="G323" s="10" t="s">
        <v>753</v>
      </c>
      <c r="H323" s="10" t="s">
        <v>1444</v>
      </c>
      <c r="I323" s="10">
        <v>400</v>
      </c>
      <c r="J323" s="43" t="e">
        <f t="array" aca="1" ref="J323" ca="1">_xludf.XLOOKUP(F323, analysis!A:A, analysis!I:I)</f>
        <v>#NAME?</v>
      </c>
      <c r="K323" s="10" t="e">
        <f t="array" aca="1" ref="K323" ca="1">_xludf.XLOOKUP(F323, analysis!A:A, analysis!J:J)</f>
        <v>#NAME?</v>
      </c>
      <c r="L323" s="10" t="e">
        <f t="shared" ca="1" si="18"/>
        <v>#NAME?</v>
      </c>
      <c r="M323" s="10" t="s">
        <v>1474</v>
      </c>
    </row>
    <row r="324" spans="6:17" ht="13.2">
      <c r="F324" s="10" t="s">
        <v>1548</v>
      </c>
      <c r="G324" s="10" t="s">
        <v>1549</v>
      </c>
      <c r="H324" s="10" t="s">
        <v>1444</v>
      </c>
      <c r="I324" s="10">
        <v>50</v>
      </c>
      <c r="J324" s="43" t="e">
        <f t="array" aca="1" ref="J324" ca="1">_xludf.XLOOKUP(F324, analysis!A:A, analysis!I:I)</f>
        <v>#NAME?</v>
      </c>
      <c r="K324" s="10" t="e">
        <f t="array" aca="1" ref="K324" ca="1">_xludf.XLOOKUP(F324, analysis!A:A, analysis!J:J)</f>
        <v>#NAME?</v>
      </c>
      <c r="L324" s="10" t="e">
        <f t="shared" ca="1" si="18"/>
        <v>#NAME?</v>
      </c>
    </row>
    <row r="325" spans="6:17" ht="13.2">
      <c r="F325" s="10" t="s">
        <v>1449</v>
      </c>
      <c r="G325" s="10" t="s">
        <v>1534</v>
      </c>
      <c r="H325" s="10" t="s">
        <v>1422</v>
      </c>
      <c r="I325" s="10">
        <f>0.11*30</f>
        <v>3.3</v>
      </c>
      <c r="J325" s="43" t="e">
        <f t="array" aca="1" ref="J325" ca="1">_xludf.XLOOKUP(F325, analysis!A:A, analysis!I:I)</f>
        <v>#NAME?</v>
      </c>
      <c r="K325" s="10" t="e">
        <f t="array" aca="1" ref="K325" ca="1">_xludf.XLOOKUP(F325, analysis!A:A, analysis!J:J)</f>
        <v>#NAME?</v>
      </c>
      <c r="L325" s="10" t="e">
        <f t="shared" ca="1" si="18"/>
        <v>#NAME?</v>
      </c>
    </row>
    <row r="326" spans="6:17" ht="13.2">
      <c r="F326" s="10" t="s">
        <v>1457</v>
      </c>
      <c r="G326" s="10" t="s">
        <v>1534</v>
      </c>
      <c r="H326" s="10" t="s">
        <v>1422</v>
      </c>
      <c r="I326" s="10">
        <f>0.44*30</f>
        <v>13.2</v>
      </c>
      <c r="J326" s="43" t="e">
        <f t="array" aca="1" ref="J326" ca="1">_xludf.XLOOKUP(F326, analysis!A:A, analysis!I:I)</f>
        <v>#NAME?</v>
      </c>
      <c r="K326" s="10" t="e">
        <f t="array" aca="1" ref="K326" ca="1">_xludf.XLOOKUP(F326, analysis!A:A, analysis!J:J)</f>
        <v>#NAME?</v>
      </c>
      <c r="L326" s="10" t="e">
        <f t="shared" ca="1" si="18"/>
        <v>#NAME?</v>
      </c>
    </row>
    <row r="328" spans="6:17" ht="13.2">
      <c r="K328" s="20" t="s">
        <v>1441</v>
      </c>
      <c r="L328" s="37" t="e">
        <f ca="1">SUM(L312:L326)</f>
        <v>#NAME?</v>
      </c>
      <c r="M328" s="20" t="s">
        <v>1442</v>
      </c>
      <c r="N328" s="37">
        <f>SUM(N312:N323)</f>
        <v>168.31217469989201</v>
      </c>
    </row>
    <row r="330" spans="6:17" ht="13.2">
      <c r="F330" s="184" t="s">
        <v>789</v>
      </c>
      <c r="G330" s="180"/>
      <c r="H330" s="180"/>
      <c r="I330" s="180"/>
      <c r="J330" s="180"/>
      <c r="K330" s="180"/>
      <c r="L330" s="180"/>
      <c r="M330" s="180"/>
      <c r="N330" s="180"/>
      <c r="O330" s="180"/>
    </row>
    <row r="331" spans="6:17" ht="13.2">
      <c r="F331" s="18" t="s">
        <v>1408</v>
      </c>
      <c r="G331" s="18" t="s">
        <v>543</v>
      </c>
      <c r="H331" s="10" t="s">
        <v>1409</v>
      </c>
      <c r="I331" s="10" t="s">
        <v>1410</v>
      </c>
      <c r="J331" s="10" t="s">
        <v>1411</v>
      </c>
      <c r="K331" s="10" t="s">
        <v>1412</v>
      </c>
      <c r="L331" s="10" t="s">
        <v>1413</v>
      </c>
      <c r="M331" s="179" t="s">
        <v>1468</v>
      </c>
      <c r="N331" s="180"/>
      <c r="O331" s="10" t="s">
        <v>1415</v>
      </c>
    </row>
    <row r="332" spans="6:17" ht="13.2">
      <c r="F332" s="10" t="s">
        <v>1463</v>
      </c>
      <c r="G332" s="10" t="s">
        <v>1550</v>
      </c>
      <c r="H332" s="10" t="s">
        <v>1444</v>
      </c>
      <c r="I332" s="10">
        <v>260</v>
      </c>
      <c r="J332" s="43" t="e">
        <f t="array" aca="1" ref="J332" ca="1">_xludf.XLOOKUP(F332, analysis!A:A, analysis!I:I)</f>
        <v>#NAME?</v>
      </c>
      <c r="K332" s="10" t="e">
        <f t="array" aca="1" ref="K332" ca="1">_xludf.XLOOKUP(F332, analysis!A:A, analysis!J:J)</f>
        <v>#NAME?</v>
      </c>
      <c r="L332" s="10" t="e">
        <f t="shared" ref="L332:L344" ca="1" si="19">K332*I332*J332/1000</f>
        <v>#NAME?</v>
      </c>
      <c r="M332" s="10" t="s">
        <v>1417</v>
      </c>
      <c r="P332" s="10" t="str">
        <f ca="1">IFERROR(__xludf.DUMMYFUNCTION("transpose(split(F332,CHAR(10)))"),"plain flour")</f>
        <v>plain flour</v>
      </c>
      <c r="Q332" s="10" t="str">
        <f ca="1">IFERROR(__xludf.DUMMYFUNCTION("transpose(split(G332,CHAR(10)))"),"260g")</f>
        <v>260g</v>
      </c>
    </row>
    <row r="333" spans="6:17" ht="13.2">
      <c r="F333" s="10" t="s">
        <v>646</v>
      </c>
      <c r="G333" s="10" t="s">
        <v>738</v>
      </c>
      <c r="H333" s="10" t="s">
        <v>1422</v>
      </c>
      <c r="I333" s="10">
        <f>1.38*5</f>
        <v>6.8999999999999995</v>
      </c>
      <c r="J333" s="43" t="e">
        <f t="array" aca="1" ref="J333" ca="1">_xludf.XLOOKUP(F333, analysis!A:A, analysis!I:I)</f>
        <v>#NAME?</v>
      </c>
      <c r="K333" s="10" t="e">
        <f t="array" aca="1" ref="K333" ca="1">_xludf.XLOOKUP(F333, analysis!A:A, analysis!J:J)</f>
        <v>#NAME?</v>
      </c>
      <c r="L333" s="10" t="e">
        <f t="shared" ca="1" si="19"/>
        <v>#NAME?</v>
      </c>
      <c r="M333" s="10" t="s">
        <v>1420</v>
      </c>
    </row>
    <row r="334" spans="6:17" ht="13.2">
      <c r="F334" s="10" t="s">
        <v>733</v>
      </c>
      <c r="G334" s="10" t="s">
        <v>1506</v>
      </c>
      <c r="H334" s="10" t="s">
        <v>1422</v>
      </c>
      <c r="I334" s="10">
        <f>0.927*30</f>
        <v>27.810000000000002</v>
      </c>
      <c r="J334" s="43" t="e">
        <f t="array" aca="1" ref="J334" ca="1">_xludf.XLOOKUP(F334, analysis!A:A, analysis!I:I)</f>
        <v>#NAME?</v>
      </c>
      <c r="K334" s="10" t="e">
        <f t="array" aca="1" ref="K334" ca="1">_xludf.XLOOKUP(F334, analysis!A:A, analysis!J:J)</f>
        <v>#NAME?</v>
      </c>
      <c r="L334" s="10" t="e">
        <f t="shared" ca="1" si="19"/>
        <v>#NAME?</v>
      </c>
      <c r="M334" s="10" t="s">
        <v>1423</v>
      </c>
    </row>
    <row r="335" spans="6:17" ht="13.2">
      <c r="F335" s="10" t="s">
        <v>1551</v>
      </c>
      <c r="G335" s="10" t="s">
        <v>738</v>
      </c>
      <c r="H335" s="10" t="s">
        <v>1422</v>
      </c>
      <c r="I335" s="10">
        <f>0.95*5</f>
        <v>4.75</v>
      </c>
      <c r="J335" s="43" t="e">
        <f t="array" aca="1" ref="J335" ca="1">_xludf.XLOOKUP(F335, analysis!A:A, analysis!I:I)</f>
        <v>#NAME?</v>
      </c>
      <c r="K335" s="10" t="e">
        <f t="array" aca="1" ref="K335" ca="1">_xludf.XLOOKUP(F335, analysis!A:A, analysis!J:J)</f>
        <v>#NAME?</v>
      </c>
      <c r="L335" s="10" t="e">
        <f t="shared" ca="1" si="19"/>
        <v>#NAME?</v>
      </c>
      <c r="M335" s="10" t="s">
        <v>1425</v>
      </c>
      <c r="N335" s="10">
        <f>((I337)*4.2*30/0.63)*(10^-6)*50</f>
        <v>1.2</v>
      </c>
    </row>
    <row r="336" spans="6:17" ht="13.2">
      <c r="F336" s="10" t="s">
        <v>1552</v>
      </c>
      <c r="G336" s="10" t="s">
        <v>746</v>
      </c>
      <c r="H336" s="10" t="s">
        <v>1422</v>
      </c>
      <c r="I336" s="10">
        <f>1.01*15</f>
        <v>15.15</v>
      </c>
      <c r="J336" s="43" t="e">
        <f t="array" aca="1" ref="J336" ca="1">_xludf.XLOOKUP(F336, analysis!A:A, analysis!I:I)</f>
        <v>#NAME?</v>
      </c>
      <c r="K336" s="10" t="e">
        <f t="array" aca="1" ref="K336" ca="1">_xludf.XLOOKUP(F336, analysis!A:A, analysis!J:J)</f>
        <v>#NAME?</v>
      </c>
      <c r="L336" s="10" t="e">
        <f t="shared" ca="1" si="19"/>
        <v>#NAME?</v>
      </c>
      <c r="M336" s="10" t="s">
        <v>1428</v>
      </c>
    </row>
    <row r="337" spans="6:17" ht="13.2">
      <c r="F337" s="10" t="s">
        <v>1553</v>
      </c>
      <c r="G337" s="10" t="s">
        <v>1508</v>
      </c>
      <c r="H337" s="10" t="s">
        <v>1422</v>
      </c>
      <c r="I337" s="10">
        <v>120</v>
      </c>
      <c r="J337" s="43" t="e">
        <f t="array" aca="1" ref="J337" ca="1">_xludf.XLOOKUP("water", analysis!A:A, analysis!I:I)</f>
        <v>#NAME?</v>
      </c>
      <c r="K337" s="10" t="e">
        <f t="array" aca="1" ref="K337" ca="1">_xludf.XLOOKUP("water", analysis!A:A, analysis!J:J)</f>
        <v>#NAME?</v>
      </c>
      <c r="L337" s="10" t="e">
        <f t="shared" ca="1" si="19"/>
        <v>#NAME?</v>
      </c>
      <c r="M337" s="10" t="s">
        <v>1429</v>
      </c>
      <c r="N337" s="10">
        <f>((12^2*PI()*7.5*0.927*1.96*170/0.63)+(5/60)*5773920)*(10^-6)*50</f>
        <v>107.23204249490821</v>
      </c>
    </row>
    <row r="338" spans="6:17" ht="13.2">
      <c r="F338" s="10" t="s">
        <v>651</v>
      </c>
      <c r="G338" s="17">
        <v>46026</v>
      </c>
      <c r="H338" s="10" t="s">
        <v>1416</v>
      </c>
      <c r="I338" s="10">
        <f>1/4*70</f>
        <v>17.5</v>
      </c>
      <c r="J338" s="43" t="e">
        <f t="array" aca="1" ref="J338" ca="1">_xludf.XLOOKUP(F338, analysis!A:A, analysis!I:I)</f>
        <v>#NAME?</v>
      </c>
      <c r="K338" s="10" t="e">
        <f t="array" aca="1" ref="K338" ca="1">_xludf.XLOOKUP(F338, analysis!A:A, analysis!J:J)</f>
        <v>#NAME?</v>
      </c>
      <c r="L338" s="10" t="e">
        <f t="shared" ca="1" si="19"/>
        <v>#NAME?</v>
      </c>
      <c r="M338" s="10" t="s">
        <v>1430</v>
      </c>
      <c r="N338" s="10">
        <f>(((I334*1.96*160)/0.63)+(5/60)*5773920+(5/60)*5773920)*10^-6*50</f>
        <v>48.808159999999994</v>
      </c>
    </row>
    <row r="339" spans="6:17" ht="13.2">
      <c r="F339" s="10" t="s">
        <v>1547</v>
      </c>
      <c r="G339" s="10" t="s">
        <v>753</v>
      </c>
      <c r="H339" s="10" t="s">
        <v>1444</v>
      </c>
      <c r="I339" s="10">
        <v>400</v>
      </c>
      <c r="J339" s="43" t="e">
        <f t="array" aca="1" ref="J339" ca="1">_xludf.XLOOKUP(F339, analysis!A:A, analysis!I:I)</f>
        <v>#NAME?</v>
      </c>
      <c r="K339" s="10" t="e">
        <f t="array" aca="1" ref="K339" ca="1">_xludf.XLOOKUP(F339, analysis!A:A, analysis!J:J)</f>
        <v>#NAME?</v>
      </c>
      <c r="L339" s="10" t="e">
        <f t="shared" ca="1" si="19"/>
        <v>#NAME?</v>
      </c>
      <c r="M339" s="10" t="s">
        <v>1432</v>
      </c>
    </row>
    <row r="340" spans="6:17" ht="13.2">
      <c r="F340" s="10" t="s">
        <v>737</v>
      </c>
      <c r="G340" s="10">
        <v>2</v>
      </c>
      <c r="H340" s="10" t="s">
        <v>1416</v>
      </c>
      <c r="I340" s="10">
        <f>2*4.4</f>
        <v>8.8000000000000007</v>
      </c>
      <c r="J340" s="43" t="e">
        <f t="array" aca="1" ref="J340" ca="1">_xludf.XLOOKUP(F340, analysis!A:A, analysis!I:I)</f>
        <v>#NAME?</v>
      </c>
      <c r="K340" s="10" t="e">
        <f t="array" aca="1" ref="K340" ca="1">_xludf.XLOOKUP(F340, analysis!A:A, analysis!J:J)</f>
        <v>#NAME?</v>
      </c>
      <c r="L340" s="10" t="e">
        <f t="shared" ca="1" si="19"/>
        <v>#NAME?</v>
      </c>
      <c r="M340" s="10" t="s">
        <v>1433</v>
      </c>
    </row>
    <row r="341" spans="6:17" ht="13.2">
      <c r="F341" s="10" t="s">
        <v>1554</v>
      </c>
      <c r="G341" s="10" t="s">
        <v>1555</v>
      </c>
      <c r="H341" s="10" t="s">
        <v>1444</v>
      </c>
      <c r="I341" s="10">
        <v>40</v>
      </c>
      <c r="J341" s="43" t="e">
        <f t="array" aca="1" ref="J341" ca="1">_xludf.XLOOKUP(F341, analysis!A:A, analysis!I:I)</f>
        <v>#NAME?</v>
      </c>
      <c r="K341" s="10" t="e">
        <f t="array" aca="1" ref="K341" ca="1">_xludf.XLOOKUP(F341, analysis!A:A, analysis!J:J)</f>
        <v>#NAME?</v>
      </c>
      <c r="L341" s="10" t="e">
        <f t="shared" ca="1" si="19"/>
        <v>#NAME?</v>
      </c>
      <c r="M341" s="10" t="s">
        <v>1434</v>
      </c>
    </row>
    <row r="342" spans="6:17" ht="13.2">
      <c r="F342" s="10" t="s">
        <v>1449</v>
      </c>
      <c r="G342" s="10" t="s">
        <v>746</v>
      </c>
      <c r="H342" s="10" t="s">
        <v>1422</v>
      </c>
      <c r="I342" s="10">
        <f>0.11*15</f>
        <v>1.65</v>
      </c>
      <c r="J342" s="43" t="e">
        <f t="array" aca="1" ref="J342" ca="1">_xludf.XLOOKUP(F342, analysis!A:A, analysis!I:I)</f>
        <v>#NAME?</v>
      </c>
      <c r="K342" s="10" t="e">
        <f t="array" aca="1" ref="K342" ca="1">_xludf.XLOOKUP(F342, analysis!A:A, analysis!J:J)</f>
        <v>#NAME?</v>
      </c>
      <c r="L342" s="10" t="e">
        <f t="shared" ca="1" si="19"/>
        <v>#NAME?</v>
      </c>
      <c r="M342" s="10" t="s">
        <v>1437</v>
      </c>
    </row>
    <row r="343" spans="6:17" ht="13.2">
      <c r="F343" s="10" t="s">
        <v>1457</v>
      </c>
      <c r="G343" s="10" t="s">
        <v>746</v>
      </c>
      <c r="H343" s="10" t="s">
        <v>1422</v>
      </c>
      <c r="I343" s="10">
        <f>0.44*15</f>
        <v>6.6</v>
      </c>
      <c r="J343" s="43" t="e">
        <f t="array" aca="1" ref="J343" ca="1">_xludf.XLOOKUP(F343, analysis!A:A, analysis!I:I)</f>
        <v>#NAME?</v>
      </c>
      <c r="K343" s="10" t="e">
        <f t="array" aca="1" ref="K343" ca="1">_xludf.XLOOKUP(F343, analysis!A:A, analysis!J:J)</f>
        <v>#NAME?</v>
      </c>
      <c r="L343" s="10" t="e">
        <f t="shared" ca="1" si="19"/>
        <v>#NAME?</v>
      </c>
      <c r="M343" s="10" t="s">
        <v>1474</v>
      </c>
    </row>
    <row r="344" spans="6:17" ht="13.2">
      <c r="F344" s="10" t="s">
        <v>1440</v>
      </c>
      <c r="G344" s="10" t="s">
        <v>1439</v>
      </c>
      <c r="H344" s="10">
        <v>0</v>
      </c>
      <c r="I344" s="10">
        <v>0</v>
      </c>
      <c r="J344" s="43" t="e">
        <f t="array" aca="1" ref="J344" ca="1">_xludf.XLOOKUP(F344, analysis!A:A, analysis!I:I)</f>
        <v>#NAME?</v>
      </c>
      <c r="K344" s="10" t="e">
        <f t="array" aca="1" ref="K344" ca="1">_xludf.XLOOKUP(F344, analysis!A:A, analysis!J:J)</f>
        <v>#NAME?</v>
      </c>
      <c r="L344" s="10" t="e">
        <f t="shared" ca="1" si="19"/>
        <v>#NAME?</v>
      </c>
    </row>
    <row r="346" spans="6:17" ht="13.2">
      <c r="K346" s="20" t="s">
        <v>1441</v>
      </c>
      <c r="L346" s="37" t="e">
        <f ca="1">SUM(L332:L344)</f>
        <v>#NAME?</v>
      </c>
      <c r="M346" s="20" t="s">
        <v>1442</v>
      </c>
      <c r="N346" s="37">
        <f>SUM(N332:N343)</f>
        <v>157.2402024949082</v>
      </c>
    </row>
    <row r="348" spans="6:17" ht="13.2">
      <c r="F348" s="184" t="s">
        <v>915</v>
      </c>
      <c r="G348" s="180"/>
      <c r="H348" s="180"/>
      <c r="I348" s="180"/>
      <c r="J348" s="180"/>
      <c r="K348" s="180"/>
      <c r="L348" s="180"/>
      <c r="M348" s="180"/>
      <c r="N348" s="180"/>
      <c r="O348" s="180"/>
    </row>
    <row r="349" spans="6:17" ht="13.2">
      <c r="F349" s="18" t="s">
        <v>1408</v>
      </c>
      <c r="G349" s="18" t="s">
        <v>543</v>
      </c>
      <c r="H349" s="10" t="s">
        <v>1409</v>
      </c>
      <c r="I349" s="10" t="s">
        <v>1410</v>
      </c>
      <c r="J349" s="10" t="s">
        <v>1411</v>
      </c>
      <c r="K349" s="10" t="s">
        <v>1412</v>
      </c>
      <c r="L349" s="10" t="s">
        <v>1413</v>
      </c>
      <c r="M349" s="179" t="s">
        <v>1468</v>
      </c>
      <c r="N349" s="180"/>
      <c r="O349" s="10" t="s">
        <v>1415</v>
      </c>
    </row>
    <row r="350" spans="6:17" ht="13.2">
      <c r="F350" s="10" t="s">
        <v>1556</v>
      </c>
      <c r="G350" s="10">
        <v>1</v>
      </c>
      <c r="H350" s="10" t="s">
        <v>1416</v>
      </c>
      <c r="I350" s="10">
        <v>70</v>
      </c>
      <c r="J350" s="43" t="e">
        <f t="array" aca="1" ref="J350" ca="1">_xludf.XLOOKUP(F350, analysis!A:A, analysis!I:I)</f>
        <v>#NAME?</v>
      </c>
      <c r="K350" s="10" t="e">
        <f t="array" aca="1" ref="K350" ca="1">_xludf.XLOOKUP(F350, analysis!A:A, analysis!J:J)</f>
        <v>#NAME?</v>
      </c>
      <c r="L350" s="10" t="e">
        <f t="shared" ref="L350:L357" ca="1" si="20">K350*I350*J350/1000</f>
        <v>#NAME?</v>
      </c>
      <c r="M350" s="10" t="s">
        <v>1417</v>
      </c>
      <c r="P350" s="10" t="str">
        <f ca="1">IFERROR(__xludf.DUMMYFUNCTION("transpose(split(F350,CHAR(10)))"),"pork chop")</f>
        <v>pork chop</v>
      </c>
      <c r="Q350" s="10">
        <f ca="1">IFERROR(__xludf.DUMMYFUNCTION("transpose(split(G350,CHAR(10)))"),1)</f>
        <v>1</v>
      </c>
    </row>
    <row r="351" spans="6:17" ht="13.2">
      <c r="F351" s="10" t="s">
        <v>1495</v>
      </c>
      <c r="G351" s="17">
        <v>46024</v>
      </c>
      <c r="H351" s="10" t="s">
        <v>1416</v>
      </c>
      <c r="I351" s="10">
        <f>0.5*84</f>
        <v>42</v>
      </c>
      <c r="J351" s="43" t="e">
        <f t="array" aca="1" ref="J351" ca="1">_xludf.XLOOKUP(F351, analysis!A:A, analysis!I:I)</f>
        <v>#NAME?</v>
      </c>
      <c r="K351" s="10" t="e">
        <f t="array" aca="1" ref="K351" ca="1">_xludf.XLOOKUP(F351, analysis!A:A, analysis!J:J)</f>
        <v>#NAME?</v>
      </c>
      <c r="L351" s="10" t="e">
        <f t="shared" ca="1" si="20"/>
        <v>#NAME?</v>
      </c>
      <c r="M351" s="10" t="s">
        <v>1420</v>
      </c>
    </row>
    <row r="352" spans="6:17" ht="13.2">
      <c r="F352" s="10" t="s">
        <v>737</v>
      </c>
      <c r="G352" s="10">
        <v>1</v>
      </c>
      <c r="H352" s="10" t="s">
        <v>1416</v>
      </c>
      <c r="I352" s="10">
        <v>4.4000000000000004</v>
      </c>
      <c r="J352" s="43" t="e">
        <f t="array" aca="1" ref="J352" ca="1">_xludf.XLOOKUP(F352, analysis!A:A, analysis!I:I)</f>
        <v>#NAME?</v>
      </c>
      <c r="K352" s="10" t="e">
        <f t="array" aca="1" ref="K352" ca="1">_xludf.XLOOKUP(F352, analysis!A:A, analysis!J:J)</f>
        <v>#NAME?</v>
      </c>
      <c r="L352" s="10" t="e">
        <f t="shared" ca="1" si="20"/>
        <v>#NAME?</v>
      </c>
      <c r="M352" s="10" t="s">
        <v>1423</v>
      </c>
    </row>
    <row r="353" spans="6:17" ht="13.2">
      <c r="F353" s="10" t="s">
        <v>1421</v>
      </c>
      <c r="G353" s="10" t="s">
        <v>738</v>
      </c>
      <c r="H353" s="10" t="s">
        <v>1422</v>
      </c>
      <c r="I353" s="10">
        <f>0.914*5</f>
        <v>4.57</v>
      </c>
      <c r="J353" s="43" t="e">
        <f t="array" aca="1" ref="J353" ca="1">_xludf.XLOOKUP(F353, analysis!A:A, analysis!I:I)</f>
        <v>#NAME?</v>
      </c>
      <c r="K353" s="10" t="e">
        <f t="array" aca="1" ref="K353" ca="1">_xludf.XLOOKUP(F353, analysis!A:A, analysis!J:J)</f>
        <v>#NAME?</v>
      </c>
      <c r="L353" s="10" t="e">
        <f t="shared" ca="1" si="20"/>
        <v>#NAME?</v>
      </c>
      <c r="M353" s="10" t="s">
        <v>1425</v>
      </c>
    </row>
    <row r="354" spans="6:17" ht="13.2">
      <c r="F354" s="10" t="s">
        <v>646</v>
      </c>
      <c r="G354" s="10" t="s">
        <v>1439</v>
      </c>
      <c r="H354" s="10">
        <v>0</v>
      </c>
      <c r="I354" s="10">
        <v>0</v>
      </c>
      <c r="J354" s="43" t="e">
        <f t="array" aca="1" ref="J354" ca="1">_xludf.XLOOKUP(F354, analysis!A:A, analysis!I:I)</f>
        <v>#NAME?</v>
      </c>
      <c r="K354" s="10" t="e">
        <f t="array" aca="1" ref="K354" ca="1">_xludf.XLOOKUP(F354, analysis!A:A, analysis!J:J)</f>
        <v>#NAME?</v>
      </c>
      <c r="L354" s="10" t="e">
        <f t="shared" ca="1" si="20"/>
        <v>#NAME?</v>
      </c>
      <c r="M354" s="10" t="s">
        <v>1428</v>
      </c>
    </row>
    <row r="355" spans="6:17" ht="13.2">
      <c r="F355" s="10" t="s">
        <v>1440</v>
      </c>
      <c r="G355" s="10" t="s">
        <v>1439</v>
      </c>
      <c r="H355" s="10">
        <v>0</v>
      </c>
      <c r="I355" s="10">
        <v>0</v>
      </c>
      <c r="J355" s="43" t="e">
        <f t="array" aca="1" ref="J355" ca="1">_xludf.XLOOKUP(F355, analysis!A:A, analysis!I:I)</f>
        <v>#NAME?</v>
      </c>
      <c r="K355" s="10" t="e">
        <f t="array" aca="1" ref="K355" ca="1">_xludf.XLOOKUP(F355, analysis!A:A, analysis!J:J)</f>
        <v>#NAME?</v>
      </c>
      <c r="L355" s="10" t="e">
        <f t="shared" ca="1" si="20"/>
        <v>#NAME?</v>
      </c>
      <c r="M355" s="10" t="s">
        <v>1429</v>
      </c>
    </row>
    <row r="356" spans="6:17" ht="13.2">
      <c r="F356" s="10" t="s">
        <v>1449</v>
      </c>
      <c r="G356" s="10" t="s">
        <v>1557</v>
      </c>
      <c r="H356" s="10" t="s">
        <v>1422</v>
      </c>
      <c r="I356" s="10">
        <f>0.11*10</f>
        <v>1.1000000000000001</v>
      </c>
      <c r="J356" s="43" t="e">
        <f t="array" aca="1" ref="J356" ca="1">_xludf.XLOOKUP(F356, analysis!A:A, analysis!I:I)</f>
        <v>#NAME?</v>
      </c>
      <c r="K356" s="10" t="e">
        <f t="array" aca="1" ref="K356" ca="1">_xludf.XLOOKUP(F356, analysis!A:A, analysis!J:J)</f>
        <v>#NAME?</v>
      </c>
      <c r="L356" s="10" t="e">
        <f t="shared" ca="1" si="20"/>
        <v>#NAME?</v>
      </c>
      <c r="M356" s="10" t="s">
        <v>1430</v>
      </c>
      <c r="N356" s="10">
        <f>((5/60)*5773920)*(10^-6)*50</f>
        <v>24.058</v>
      </c>
    </row>
    <row r="357" spans="6:17" ht="13.2">
      <c r="F357" s="10" t="s">
        <v>1495</v>
      </c>
      <c r="G357" s="10" t="s">
        <v>1439</v>
      </c>
      <c r="H357" s="10">
        <v>0</v>
      </c>
      <c r="I357" s="10">
        <v>0</v>
      </c>
      <c r="J357" s="43" t="e">
        <f t="array" aca="1" ref="J357" ca="1">_xludf.XLOOKUP(F357, analysis!A:A, analysis!I:I)</f>
        <v>#NAME?</v>
      </c>
      <c r="K357" s="10" t="e">
        <f t="array" aca="1" ref="K357" ca="1">_xludf.XLOOKUP(F357, analysis!A:A, analysis!J:J)</f>
        <v>#NAME?</v>
      </c>
      <c r="L357" s="10" t="e">
        <f t="shared" ca="1" si="20"/>
        <v>#NAME?</v>
      </c>
      <c r="M357" s="10" t="s">
        <v>1432</v>
      </c>
      <c r="N357" s="10">
        <f>((1.012*1.2923*10^-3*70000*180/0.63)/0.13+(10/60)*5773920)*(10^-6)*50</f>
        <v>58.17605846153846</v>
      </c>
    </row>
    <row r="358" spans="6:17" ht="13.2">
      <c r="M358" s="10" t="s">
        <v>1433</v>
      </c>
    </row>
    <row r="359" spans="6:17" ht="13.2">
      <c r="M359" s="10" t="s">
        <v>1434</v>
      </c>
    </row>
    <row r="360" spans="6:17" ht="13.2">
      <c r="M360" s="10" t="s">
        <v>1437</v>
      </c>
    </row>
    <row r="361" spans="6:17" ht="13.2">
      <c r="M361" s="10" t="s">
        <v>1474</v>
      </c>
    </row>
    <row r="364" spans="6:17" ht="13.2">
      <c r="K364" s="20" t="s">
        <v>1441</v>
      </c>
      <c r="L364" s="37" t="e">
        <f ca="1">SUM(L350:L362)</f>
        <v>#NAME?</v>
      </c>
      <c r="M364" s="20" t="s">
        <v>1442</v>
      </c>
      <c r="N364" s="37">
        <f>SUM(N350:N361)</f>
        <v>82.234058461538467</v>
      </c>
    </row>
    <row r="366" spans="6:17" ht="13.2">
      <c r="F366" s="184" t="s">
        <v>919</v>
      </c>
      <c r="G366" s="180"/>
      <c r="H366" s="180"/>
      <c r="I366" s="180"/>
      <c r="J366" s="180"/>
      <c r="K366" s="180"/>
      <c r="L366" s="180"/>
      <c r="M366" s="180"/>
      <c r="N366" s="180"/>
      <c r="O366" s="180"/>
    </row>
    <row r="367" spans="6:17" ht="13.2">
      <c r="F367" s="18" t="s">
        <v>1408</v>
      </c>
      <c r="G367" s="18" t="s">
        <v>543</v>
      </c>
      <c r="H367" s="10" t="s">
        <v>1409</v>
      </c>
      <c r="I367" s="10" t="s">
        <v>1410</v>
      </c>
      <c r="J367" s="10" t="s">
        <v>1411</v>
      </c>
      <c r="K367" s="10" t="s">
        <v>1412</v>
      </c>
      <c r="L367" s="10" t="s">
        <v>1413</v>
      </c>
      <c r="M367" s="179" t="s">
        <v>1468</v>
      </c>
      <c r="N367" s="180"/>
      <c r="O367" s="10" t="s">
        <v>1415</v>
      </c>
    </row>
    <row r="368" spans="6:17" ht="13.2">
      <c r="F368" s="10" t="s">
        <v>1558</v>
      </c>
      <c r="G368" s="10" t="s">
        <v>1559</v>
      </c>
      <c r="H368" s="10" t="s">
        <v>1444</v>
      </c>
      <c r="I368" s="10">
        <v>300</v>
      </c>
      <c r="J368" s="43" t="e">
        <f t="array" aca="1" ref="J368" ca="1">_xludf.XLOOKUP(F368, analysis!A:A, analysis!I:I)</f>
        <v>#NAME?</v>
      </c>
      <c r="K368" s="10" t="e">
        <f t="array" aca="1" ref="K368" ca="1">_xludf.XLOOKUP(F368, analysis!A:A, analysis!J:J)</f>
        <v>#NAME?</v>
      </c>
      <c r="L368" s="10" t="e">
        <f t="shared" ref="L368:L379" ca="1" si="21">K368*I368*J368/1000</f>
        <v>#NAME?</v>
      </c>
      <c r="M368" s="10" t="s">
        <v>1417</v>
      </c>
      <c r="P368" s="10" t="str">
        <f ca="1">IFERROR(__xludf.DUMMYFUNCTION("transpose(split(F368,CHAR(10)))"),"pork ribs")</f>
        <v>pork ribs</v>
      </c>
      <c r="Q368" s="10" t="str">
        <f ca="1">IFERROR(__xludf.DUMMYFUNCTION("transpose(split(G368,CHAR(10)))"),"300g")</f>
        <v>300g</v>
      </c>
    </row>
    <row r="369" spans="6:15" ht="13.2">
      <c r="F369" s="10" t="s">
        <v>1450</v>
      </c>
      <c r="G369" s="10" t="s">
        <v>1559</v>
      </c>
      <c r="H369" s="10" t="s">
        <v>1444</v>
      </c>
      <c r="I369" s="10">
        <v>300</v>
      </c>
      <c r="J369" s="43" t="e">
        <f t="array" aca="1" ref="J369" ca="1">_xludf.XLOOKUP(F369, analysis!A:A, analysis!I:I)</f>
        <v>#NAME?</v>
      </c>
      <c r="K369" s="10" t="e">
        <f t="array" aca="1" ref="K369" ca="1">_xludf.XLOOKUP(F369, analysis!A:A, analysis!J:J)</f>
        <v>#NAME?</v>
      </c>
      <c r="L369" s="10" t="e">
        <f t="shared" ca="1" si="21"/>
        <v>#NAME?</v>
      </c>
      <c r="M369" s="10" t="s">
        <v>1420</v>
      </c>
    </row>
    <row r="370" spans="6:15" ht="13.2">
      <c r="F370" s="10" t="s">
        <v>1560</v>
      </c>
      <c r="G370" s="10" t="s">
        <v>1559</v>
      </c>
      <c r="H370" s="10" t="s">
        <v>1444</v>
      </c>
      <c r="I370" s="10">
        <v>300</v>
      </c>
      <c r="J370" s="43" t="e">
        <f t="array" aca="1" ref="J370" ca="1">_xludf.XLOOKUP(F370, analysis!A:A, analysis!I:I)</f>
        <v>#NAME?</v>
      </c>
      <c r="K370" s="10" t="e">
        <f t="array" aca="1" ref="K370" ca="1">_xludf.XLOOKUP(F370, analysis!A:A, analysis!J:J)</f>
        <v>#NAME?</v>
      </c>
      <c r="L370" s="10" t="e">
        <f t="shared" ca="1" si="21"/>
        <v>#NAME?</v>
      </c>
      <c r="M370" s="10" t="s">
        <v>1423</v>
      </c>
    </row>
    <row r="371" spans="6:15" ht="13.2">
      <c r="F371" s="10" t="s">
        <v>1454</v>
      </c>
      <c r="G371" s="10" t="s">
        <v>753</v>
      </c>
      <c r="H371" s="10" t="s">
        <v>1444</v>
      </c>
      <c r="I371" s="10">
        <v>400</v>
      </c>
      <c r="J371" s="43" t="e">
        <f t="array" aca="1" ref="J371" ca="1">_xludf.XLOOKUP(F371, analysis!A:A, analysis!I:I)</f>
        <v>#NAME?</v>
      </c>
      <c r="K371" s="10" t="e">
        <f t="array" aca="1" ref="K371" ca="1">_xludf.XLOOKUP(F371, analysis!A:A, analysis!J:J)</f>
        <v>#NAME?</v>
      </c>
      <c r="L371" s="10" t="e">
        <f t="shared" ca="1" si="21"/>
        <v>#NAME?</v>
      </c>
      <c r="M371" s="10" t="s">
        <v>1425</v>
      </c>
      <c r="N371" s="10">
        <f>((2/3*1400)*4.2*30/0.63+(52.5/60)*5773920)*(10^-6)*50</f>
        <v>261.94233333333329</v>
      </c>
    </row>
    <row r="372" spans="6:15" ht="13.2">
      <c r="F372" s="10" t="s">
        <v>1561</v>
      </c>
      <c r="G372" s="10" t="s">
        <v>741</v>
      </c>
      <c r="H372" s="10" t="s">
        <v>1452</v>
      </c>
      <c r="I372" s="10">
        <v>1000</v>
      </c>
      <c r="J372" s="43" t="e">
        <f t="array" aca="1" ref="J372" ca="1">_xludf.XLOOKUP(F372, analysis!A:A, analysis!I:I)</f>
        <v>#NAME?</v>
      </c>
      <c r="K372" s="10" t="e">
        <f t="array" aca="1" ref="K372" ca="1">_xludf.XLOOKUP(F372, analysis!A:A, analysis!J:J)</f>
        <v>#NAME?</v>
      </c>
      <c r="L372" s="10" t="e">
        <f t="shared" ca="1" si="21"/>
        <v>#NAME?</v>
      </c>
      <c r="M372" s="10" t="s">
        <v>1428</v>
      </c>
    </row>
    <row r="373" spans="6:15" ht="13.2">
      <c r="F373" s="10" t="s">
        <v>711</v>
      </c>
      <c r="G373" s="10">
        <v>3</v>
      </c>
      <c r="H373" s="10" t="s">
        <v>1416</v>
      </c>
      <c r="I373" s="10">
        <f>0.25*3</f>
        <v>0.75</v>
      </c>
      <c r="J373" s="43" t="e">
        <f t="array" aca="1" ref="J373" ca="1">_xludf.XLOOKUP(F373, analysis!A:A, analysis!I:I)</f>
        <v>#NAME?</v>
      </c>
      <c r="K373" s="10" t="e">
        <f t="array" aca="1" ref="K373" ca="1">_xludf.XLOOKUP(F373, analysis!A:A, analysis!J:J)</f>
        <v>#NAME?</v>
      </c>
      <c r="L373" s="10" t="e">
        <f t="shared" ca="1" si="21"/>
        <v>#NAME?</v>
      </c>
      <c r="M373" s="10" t="s">
        <v>1429</v>
      </c>
    </row>
    <row r="374" spans="6:15" ht="13.2">
      <c r="F374" s="10" t="s">
        <v>733</v>
      </c>
      <c r="G374" s="10" t="s">
        <v>734</v>
      </c>
      <c r="H374" s="10" t="s">
        <v>1422</v>
      </c>
      <c r="I374" s="10">
        <f>0.927*45</f>
        <v>41.715000000000003</v>
      </c>
      <c r="J374" s="43" t="e">
        <f t="array" aca="1" ref="J374" ca="1">_xludf.XLOOKUP(F374, analysis!A:A, analysis!I:I)</f>
        <v>#NAME?</v>
      </c>
      <c r="K374" s="10" t="e">
        <f t="array" aca="1" ref="K374" ca="1">_xludf.XLOOKUP(F374, analysis!A:A, analysis!J:J)</f>
        <v>#NAME?</v>
      </c>
      <c r="L374" s="10" t="e">
        <f t="shared" ca="1" si="21"/>
        <v>#NAME?</v>
      </c>
      <c r="M374" s="10" t="s">
        <v>1430</v>
      </c>
      <c r="N374" s="10">
        <f>(((I374*1.96*160)/0.63)+(11/60)*5773920+(30/60)*5773920)*10^-6*50</f>
        <v>198.31384</v>
      </c>
    </row>
    <row r="375" spans="6:15" ht="13.2">
      <c r="F375" s="10" t="s">
        <v>651</v>
      </c>
      <c r="G375" s="10">
        <v>1</v>
      </c>
      <c r="H375" s="10" t="s">
        <v>1416</v>
      </c>
      <c r="I375" s="10">
        <f>70</f>
        <v>70</v>
      </c>
      <c r="J375" s="43" t="e">
        <f t="array" aca="1" ref="J375" ca="1">_xludf.XLOOKUP(F375, analysis!A:A, analysis!I:I)</f>
        <v>#NAME?</v>
      </c>
      <c r="K375" s="10" t="e">
        <f t="array" aca="1" ref="K375" ca="1">_xludf.XLOOKUP(F375, analysis!A:A, analysis!J:J)</f>
        <v>#NAME?</v>
      </c>
      <c r="L375" s="10" t="e">
        <f t="shared" ca="1" si="21"/>
        <v>#NAME?</v>
      </c>
      <c r="M375" s="10" t="s">
        <v>1432</v>
      </c>
    </row>
    <row r="376" spans="6:15" ht="13.2">
      <c r="F376" s="10" t="s">
        <v>737</v>
      </c>
      <c r="G376" s="10">
        <v>5</v>
      </c>
      <c r="H376" s="10" t="s">
        <v>1416</v>
      </c>
      <c r="I376" s="10">
        <f>4.4*5</f>
        <v>22</v>
      </c>
      <c r="J376" s="43" t="e">
        <f t="array" aca="1" ref="J376" ca="1">_xludf.XLOOKUP(F376, analysis!A:A, analysis!I:I)</f>
        <v>#NAME?</v>
      </c>
      <c r="K376" s="10" t="e">
        <f t="array" aca="1" ref="K376" ca="1">_xludf.XLOOKUP(F376, analysis!A:A, analysis!J:J)</f>
        <v>#NAME?</v>
      </c>
      <c r="L376" s="10" t="e">
        <f t="shared" ca="1" si="21"/>
        <v>#NAME?</v>
      </c>
      <c r="M376" s="10" t="s">
        <v>1433</v>
      </c>
    </row>
    <row r="377" spans="6:15" ht="13.2">
      <c r="F377" s="10" t="s">
        <v>646</v>
      </c>
      <c r="G377" s="10" t="s">
        <v>1439</v>
      </c>
      <c r="H377" s="10">
        <v>0</v>
      </c>
      <c r="I377" s="10">
        <v>0</v>
      </c>
      <c r="J377" s="43" t="e">
        <f t="array" aca="1" ref="J377" ca="1">_xludf.XLOOKUP(F377, analysis!A:A, analysis!I:I)</f>
        <v>#NAME?</v>
      </c>
      <c r="K377" s="10" t="e">
        <f t="array" aca="1" ref="K377" ca="1">_xludf.XLOOKUP(F377, analysis!A:A, analysis!J:J)</f>
        <v>#NAME?</v>
      </c>
      <c r="L377" s="10" t="e">
        <f t="shared" ca="1" si="21"/>
        <v>#NAME?</v>
      </c>
      <c r="M377" s="10" t="s">
        <v>1434</v>
      </c>
    </row>
    <row r="378" spans="6:15" ht="13.2">
      <c r="F378" s="10" t="s">
        <v>678</v>
      </c>
      <c r="G378" s="10">
        <v>6</v>
      </c>
      <c r="H378" s="10" t="s">
        <v>1416</v>
      </c>
      <c r="I378" s="10">
        <f>6*180</f>
        <v>1080</v>
      </c>
      <c r="J378" s="43" t="e">
        <f t="array" aca="1" ref="J378" ca="1">_xludf.XLOOKUP(F378, analysis!A:A, analysis!I:I)</f>
        <v>#NAME?</v>
      </c>
      <c r="K378" s="10" t="e">
        <f t="array" aca="1" ref="K378" ca="1">_xludf.XLOOKUP(F378, analysis!A:A, analysis!J:J)</f>
        <v>#NAME?</v>
      </c>
      <c r="L378" s="10" t="e">
        <f t="shared" ca="1" si="21"/>
        <v>#NAME?</v>
      </c>
      <c r="M378" s="10" t="s">
        <v>1437</v>
      </c>
      <c r="N378" s="10">
        <f>((210/60)*5773920)*(10^-6)*50</f>
        <v>1010.4359999999999</v>
      </c>
    </row>
    <row r="379" spans="6:15" ht="13.2">
      <c r="F379" s="10" t="s">
        <v>1445</v>
      </c>
      <c r="G379" s="10" t="s">
        <v>1562</v>
      </c>
      <c r="H379" s="10">
        <v>0</v>
      </c>
      <c r="I379" s="10">
        <v>0</v>
      </c>
      <c r="J379" s="43" t="e">
        <f t="array" aca="1" ref="J379" ca="1">_xludf.XLOOKUP(F379, analysis!A:A, analysis!I:I)</f>
        <v>#NAME?</v>
      </c>
      <c r="K379" s="10" t="e">
        <f t="array" aca="1" ref="K379" ca="1">_xludf.XLOOKUP(F379, analysis!A:A, analysis!J:J)</f>
        <v>#NAME?</v>
      </c>
      <c r="L379" s="10" t="e">
        <f t="shared" ca="1" si="21"/>
        <v>#NAME?</v>
      </c>
      <c r="M379" s="10" t="s">
        <v>1474</v>
      </c>
    </row>
    <row r="381" spans="6:15" ht="13.2">
      <c r="K381" s="20" t="s">
        <v>1441</v>
      </c>
      <c r="L381" s="37" t="e">
        <f ca="1">SUM(L368:L379)</f>
        <v>#NAME?</v>
      </c>
      <c r="M381" s="20" t="s">
        <v>1442</v>
      </c>
      <c r="N381" s="37">
        <f>SUM(N368:N379)</f>
        <v>1470.6921733333334</v>
      </c>
    </row>
    <row r="383" spans="6:15" ht="13.2">
      <c r="F383" s="185" t="s">
        <v>1128</v>
      </c>
      <c r="G383" s="180"/>
      <c r="H383" s="180"/>
      <c r="I383" s="180"/>
      <c r="J383" s="180"/>
      <c r="K383" s="180"/>
      <c r="L383" s="180"/>
      <c r="M383" s="180"/>
      <c r="N383" s="180"/>
      <c r="O383" s="180"/>
    </row>
    <row r="384" spans="6:15" ht="13.2">
      <c r="F384" s="18" t="s">
        <v>1408</v>
      </c>
      <c r="G384" s="18" t="s">
        <v>543</v>
      </c>
      <c r="H384" s="10" t="s">
        <v>1409</v>
      </c>
      <c r="I384" s="10" t="s">
        <v>1410</v>
      </c>
      <c r="J384" s="10" t="s">
        <v>1411</v>
      </c>
      <c r="K384" s="10" t="s">
        <v>1412</v>
      </c>
      <c r="L384" s="10" t="s">
        <v>1413</v>
      </c>
      <c r="M384" s="179" t="s">
        <v>1468</v>
      </c>
      <c r="N384" s="180"/>
      <c r="O384" s="10" t="s">
        <v>1415</v>
      </c>
    </row>
    <row r="385" spans="4:17" ht="13.2">
      <c r="D385" s="18"/>
      <c r="E385" s="18"/>
      <c r="F385" s="18" t="s">
        <v>1495</v>
      </c>
      <c r="G385" s="18">
        <v>2</v>
      </c>
      <c r="H385" s="10" t="s">
        <v>1444</v>
      </c>
      <c r="I385" s="10">
        <f>2*84</f>
        <v>168</v>
      </c>
      <c r="J385" s="43" t="e">
        <f t="array" aca="1" ref="J385" ca="1">_xludf.XLOOKUP(F385, analysis!A:A, analysis!I:I)</f>
        <v>#NAME?</v>
      </c>
      <c r="K385" s="10" t="e">
        <f t="array" aca="1" ref="K385" ca="1">_xludf.XLOOKUP(F385, analysis!A:A, analysis!J:J)</f>
        <v>#NAME?</v>
      </c>
      <c r="L385" s="10" t="e">
        <f t="shared" ref="L385:L392" ca="1" si="22">K385*I385*J385/1000</f>
        <v>#NAME?</v>
      </c>
      <c r="M385" s="10" t="s">
        <v>1417</v>
      </c>
      <c r="P385" s="10" t="str">
        <f ca="1">IFERROR(__xludf.DUMMYFUNCTION("transpose(split(F385,CHAR(10)))"),"lime")</f>
        <v>lime</v>
      </c>
      <c r="Q385" s="10">
        <f ca="1">IFERROR(__xludf.DUMMYFUNCTION("transpose(split(G385,CHAR(10)))"),2)</f>
        <v>2</v>
      </c>
    </row>
    <row r="386" spans="4:17" ht="13.2">
      <c r="F386" s="10" t="s">
        <v>1563</v>
      </c>
      <c r="G386" s="10" t="s">
        <v>746</v>
      </c>
      <c r="H386" s="10" t="s">
        <v>1422</v>
      </c>
      <c r="I386" s="10">
        <f>1.43*15</f>
        <v>21.45</v>
      </c>
      <c r="J386" s="43" t="e">
        <f t="array" aca="1" ref="J386" ca="1">_xludf.XLOOKUP(F386, analysis!A:A, analysis!I:I)</f>
        <v>#NAME?</v>
      </c>
      <c r="K386" s="10" t="e">
        <f t="array" aca="1" ref="K386" ca="1">_xludf.XLOOKUP(F386, analysis!A:A, analysis!J:J)</f>
        <v>#NAME?</v>
      </c>
      <c r="L386" s="10" t="e">
        <f t="shared" ca="1" si="22"/>
        <v>#NAME?</v>
      </c>
      <c r="M386" s="10" t="s">
        <v>1420</v>
      </c>
    </row>
    <row r="387" spans="4:17" ht="13.2">
      <c r="F387" s="10" t="s">
        <v>1551</v>
      </c>
      <c r="G387" s="10" t="s">
        <v>1564</v>
      </c>
      <c r="H387" s="10" t="s">
        <v>1422</v>
      </c>
      <c r="I387" s="10">
        <f>0.95*80</f>
        <v>76</v>
      </c>
      <c r="J387" s="43" t="e">
        <f t="array" aca="1" ref="J387" ca="1">_xludf.XLOOKUP(F387, analysis!A:A, analysis!I:I)</f>
        <v>#NAME?</v>
      </c>
      <c r="K387" s="10" t="e">
        <f t="array" aca="1" ref="K387" ca="1">_xludf.XLOOKUP(F387, analysis!A:A, analysis!J:J)</f>
        <v>#NAME?</v>
      </c>
      <c r="L387" s="10" t="e">
        <f t="shared" ca="1" si="22"/>
        <v>#NAME?</v>
      </c>
      <c r="M387" s="10" t="s">
        <v>1423</v>
      </c>
    </row>
    <row r="388" spans="4:17" ht="13.2">
      <c r="F388" s="10" t="s">
        <v>737</v>
      </c>
      <c r="G388" s="10">
        <v>8</v>
      </c>
      <c r="H388" s="10" t="s">
        <v>1416</v>
      </c>
      <c r="I388" s="10">
        <f>8*4.4</f>
        <v>35.200000000000003</v>
      </c>
      <c r="J388" s="43" t="e">
        <f t="array" aca="1" ref="J388" ca="1">_xludf.XLOOKUP(F388, analysis!A:A, analysis!I:I)</f>
        <v>#NAME?</v>
      </c>
      <c r="K388" s="10" t="e">
        <f t="array" aca="1" ref="K388" ca="1">_xludf.XLOOKUP(F388, analysis!A:A, analysis!J:J)</f>
        <v>#NAME?</v>
      </c>
      <c r="L388" s="10" t="e">
        <f t="shared" ca="1" si="22"/>
        <v>#NAME?</v>
      </c>
      <c r="M388" s="10" t="s">
        <v>1425</v>
      </c>
    </row>
    <row r="389" spans="4:17" ht="13.2">
      <c r="F389" s="10" t="s">
        <v>646</v>
      </c>
      <c r="G389" s="10" t="s">
        <v>1439</v>
      </c>
      <c r="H389" s="10">
        <v>0</v>
      </c>
      <c r="I389" s="10">
        <v>0</v>
      </c>
      <c r="J389" s="43" t="e">
        <f t="array" aca="1" ref="J389" ca="1">_xludf.XLOOKUP(F389, analysis!A:A, analysis!I:I)</f>
        <v>#NAME?</v>
      </c>
      <c r="K389" s="10" t="e">
        <f t="array" aca="1" ref="K389" ca="1">_xludf.XLOOKUP(F389, analysis!A:A, analysis!J:J)</f>
        <v>#NAME?</v>
      </c>
      <c r="L389" s="10" t="e">
        <f t="shared" ca="1" si="22"/>
        <v>#NAME?</v>
      </c>
      <c r="M389" s="10" t="s">
        <v>1428</v>
      </c>
    </row>
    <row r="390" spans="4:17" ht="13.2">
      <c r="F390" s="10" t="s">
        <v>1440</v>
      </c>
      <c r="G390" s="10" t="s">
        <v>1439</v>
      </c>
      <c r="H390" s="10">
        <v>0</v>
      </c>
      <c r="I390" s="10">
        <v>0</v>
      </c>
      <c r="J390" s="43" t="e">
        <f t="array" aca="1" ref="J390" ca="1">_xludf.XLOOKUP(F390, analysis!A:A, analysis!I:I)</f>
        <v>#NAME?</v>
      </c>
      <c r="K390" s="10" t="e">
        <f t="array" aca="1" ref="K390" ca="1">_xludf.XLOOKUP(F390, analysis!A:A, analysis!J:J)</f>
        <v>#NAME?</v>
      </c>
      <c r="L390" s="10" t="e">
        <f t="shared" ca="1" si="22"/>
        <v>#NAME?</v>
      </c>
      <c r="M390" s="10" t="s">
        <v>1429</v>
      </c>
    </row>
    <row r="391" spans="4:17" ht="13.2">
      <c r="F391" s="10" t="s">
        <v>1565</v>
      </c>
      <c r="G391" s="10" t="s">
        <v>1497</v>
      </c>
      <c r="H391" s="10" t="s">
        <v>1444</v>
      </c>
      <c r="I391" s="10">
        <v>907</v>
      </c>
      <c r="J391" s="43" t="e">
        <f t="array" aca="1" ref="J391" ca="1">_xludf.XLOOKUP(F391, analysis!A:A, analysis!I:I)</f>
        <v>#NAME?</v>
      </c>
      <c r="K391" s="10" t="e">
        <f t="array" aca="1" ref="K391" ca="1">_xludf.XLOOKUP(F391, analysis!A:A, analysis!J:J)</f>
        <v>#NAME?</v>
      </c>
      <c r="L391" s="10" t="e">
        <f t="shared" ca="1" si="22"/>
        <v>#NAME?</v>
      </c>
      <c r="M391" s="10" t="s">
        <v>1430</v>
      </c>
      <c r="N391" s="10">
        <f>(((I392*1.97*160)/0.63)+(8/60)*5773920)*10^-6*50</f>
        <v>39.178735238095236</v>
      </c>
    </row>
    <row r="392" spans="4:17" ht="13.2">
      <c r="F392" s="10" t="s">
        <v>1421</v>
      </c>
      <c r="G392" s="10" t="s">
        <v>1506</v>
      </c>
      <c r="H392" s="10" t="s">
        <v>1422</v>
      </c>
      <c r="I392" s="10">
        <f>0.914*30</f>
        <v>27.42</v>
      </c>
      <c r="J392" s="43" t="e">
        <f t="array" aca="1" ref="J392" ca="1">_xludf.XLOOKUP(F392, analysis!A:A, analysis!I:I)</f>
        <v>#NAME?</v>
      </c>
      <c r="K392" s="10" t="e">
        <f t="array" aca="1" ref="K392" ca="1">_xludf.XLOOKUP(F392, analysis!A:A, analysis!J:J)</f>
        <v>#NAME?</v>
      </c>
      <c r="L392" s="10" t="e">
        <f t="shared" ca="1" si="22"/>
        <v>#NAME?</v>
      </c>
      <c r="M392" s="10" t="s">
        <v>1432</v>
      </c>
      <c r="N392" s="10">
        <f>((1.012*1.2923*10^-3*70000*170/0.63)/0.13+(37.5/60)*5773920)*(10^-6)*50</f>
        <v>189.93616632478631</v>
      </c>
    </row>
    <row r="393" spans="4:17" ht="13.2">
      <c r="M393" s="10" t="s">
        <v>1433</v>
      </c>
    </row>
    <row r="394" spans="4:17" ht="13.2">
      <c r="M394" s="10" t="s">
        <v>1434</v>
      </c>
    </row>
    <row r="395" spans="4:17" ht="13.2">
      <c r="M395" s="10" t="s">
        <v>1437</v>
      </c>
    </row>
    <row r="396" spans="4:17" ht="13.2">
      <c r="M396" s="10" t="s">
        <v>1474</v>
      </c>
    </row>
    <row r="398" spans="4:17" ht="13.2">
      <c r="K398" s="20" t="s">
        <v>1441</v>
      </c>
      <c r="L398" s="37" t="e">
        <f ca="1">SUM(L384:L395)</f>
        <v>#NAME?</v>
      </c>
      <c r="M398" s="20" t="s">
        <v>1442</v>
      </c>
      <c r="N398" s="37">
        <f>SUM(N385:N396)</f>
        <v>229.11490156288156</v>
      </c>
    </row>
    <row r="399" spans="4:17" ht="13.2">
      <c r="F399" s="185" t="s">
        <v>1132</v>
      </c>
      <c r="G399" s="180"/>
      <c r="H399" s="180"/>
      <c r="I399" s="180"/>
      <c r="J399" s="180"/>
      <c r="K399" s="180"/>
      <c r="L399" s="180"/>
      <c r="M399" s="180"/>
      <c r="N399" s="180"/>
      <c r="O399" s="180"/>
    </row>
    <row r="400" spans="4:17" ht="13.2">
      <c r="F400" s="18" t="s">
        <v>1408</v>
      </c>
      <c r="G400" s="18" t="s">
        <v>543</v>
      </c>
      <c r="H400" s="10" t="s">
        <v>1409</v>
      </c>
      <c r="I400" s="10" t="s">
        <v>1410</v>
      </c>
      <c r="J400" s="10" t="s">
        <v>1411</v>
      </c>
      <c r="K400" s="10" t="s">
        <v>1412</v>
      </c>
      <c r="L400" s="10" t="s">
        <v>1413</v>
      </c>
      <c r="M400" s="179" t="s">
        <v>1468</v>
      </c>
      <c r="N400" s="180"/>
      <c r="O400" s="10" t="s">
        <v>1415</v>
      </c>
    </row>
    <row r="401" spans="4:17" ht="13.2">
      <c r="D401" s="18"/>
      <c r="E401" s="18"/>
      <c r="F401" s="18" t="s">
        <v>1421</v>
      </c>
      <c r="G401" s="18" t="s">
        <v>1566</v>
      </c>
      <c r="H401" s="10" t="s">
        <v>1489</v>
      </c>
      <c r="I401" s="10">
        <f>0.914*5</f>
        <v>4.57</v>
      </c>
      <c r="J401" s="43" t="e">
        <f t="array" aca="1" ref="J401" ca="1">_xludf.XLOOKUP(F401, analysis!A:A, analysis!I:I)</f>
        <v>#NAME?</v>
      </c>
      <c r="K401" s="10" t="e">
        <f t="array" aca="1" ref="K401" ca="1">_xludf.XLOOKUP(F401, analysis!A:A, analysis!J:J)</f>
        <v>#NAME?</v>
      </c>
      <c r="L401" s="10" t="e">
        <f t="shared" ref="L401:L414" ca="1" si="23">K401*I401*J401/1000</f>
        <v>#NAME?</v>
      </c>
      <c r="M401" s="10" t="s">
        <v>1417</v>
      </c>
      <c r="P401" s="10" t="str">
        <f ca="1">IFERROR(__xludf.DUMMYFUNCTION("transpose(split(F401,CHAR(10)))"),"olive oil")</f>
        <v>olive oil</v>
      </c>
      <c r="Q401" s="10" t="str">
        <f ca="1">IFERROR(__xludf.DUMMYFUNCTION("transpose(split(G401,CHAR(10)))"),"1 tsp")</f>
        <v>1 tsp</v>
      </c>
    </row>
    <row r="402" spans="4:17" ht="13.2">
      <c r="F402" s="10" t="s">
        <v>1445</v>
      </c>
      <c r="G402" s="10" t="s">
        <v>1522</v>
      </c>
      <c r="H402" s="10" t="s">
        <v>1444</v>
      </c>
      <c r="I402" s="10">
        <v>113</v>
      </c>
      <c r="J402" s="43" t="e">
        <f t="array" aca="1" ref="J402" ca="1">_xludf.XLOOKUP(F402, analysis!A:A, analysis!I:I)</f>
        <v>#NAME?</v>
      </c>
      <c r="K402" s="10" t="e">
        <f t="array" aca="1" ref="K402" ca="1">_xludf.XLOOKUP(F402, analysis!A:A, analysis!J:J)</f>
        <v>#NAME?</v>
      </c>
      <c r="L402" s="10" t="e">
        <f t="shared" ca="1" si="23"/>
        <v>#NAME?</v>
      </c>
      <c r="M402" s="10" t="s">
        <v>1420</v>
      </c>
    </row>
    <row r="403" spans="4:17" ht="13.2">
      <c r="F403" s="10" t="s">
        <v>1454</v>
      </c>
      <c r="G403" s="10" t="s">
        <v>1479</v>
      </c>
      <c r="H403" s="10" t="s">
        <v>1444</v>
      </c>
      <c r="I403" s="10">
        <v>454</v>
      </c>
      <c r="J403" s="43" t="e">
        <f t="array" aca="1" ref="J403" ca="1">_xludf.XLOOKUP(F403, analysis!A:A, analysis!I:I)</f>
        <v>#NAME?</v>
      </c>
      <c r="K403" s="10" t="e">
        <f t="array" aca="1" ref="K403" ca="1">_xludf.XLOOKUP(F403, analysis!A:A, analysis!J:J)</f>
        <v>#NAME?</v>
      </c>
      <c r="L403" s="10" t="e">
        <f t="shared" ca="1" si="23"/>
        <v>#NAME?</v>
      </c>
      <c r="M403" s="10" t="s">
        <v>1423</v>
      </c>
    </row>
    <row r="404" spans="4:17" ht="13.2">
      <c r="F404" s="10" t="s">
        <v>651</v>
      </c>
      <c r="G404" s="10">
        <v>1</v>
      </c>
      <c r="H404" s="10" t="s">
        <v>1416</v>
      </c>
      <c r="I404" s="10">
        <v>70</v>
      </c>
      <c r="J404" s="43" t="e">
        <f t="array" aca="1" ref="J404" ca="1">_xludf.XLOOKUP(F404, analysis!A:A, analysis!I:I)</f>
        <v>#NAME?</v>
      </c>
      <c r="K404" s="10" t="e">
        <f t="array" aca="1" ref="K404" ca="1">_xludf.XLOOKUP(F404, analysis!A:A, analysis!J:J)</f>
        <v>#NAME?</v>
      </c>
      <c r="L404" s="10" t="e">
        <f t="shared" ca="1" si="23"/>
        <v>#NAME?</v>
      </c>
      <c r="M404" s="10" t="s">
        <v>1425</v>
      </c>
    </row>
    <row r="405" spans="4:17" ht="13.2">
      <c r="F405" s="10" t="s">
        <v>677</v>
      </c>
      <c r="G405" s="10">
        <v>1</v>
      </c>
      <c r="H405" s="10" t="s">
        <v>1416</v>
      </c>
      <c r="I405" s="10">
        <v>120</v>
      </c>
      <c r="J405" s="43" t="e">
        <f t="array" aca="1" ref="J405" ca="1">_xludf.XLOOKUP(F405, analysis!A:A, analysis!I:I)</f>
        <v>#NAME?</v>
      </c>
      <c r="K405" s="10" t="e">
        <f t="array" aca="1" ref="K405" ca="1">_xludf.XLOOKUP(F405, analysis!A:A, analysis!J:J)</f>
        <v>#NAME?</v>
      </c>
      <c r="L405" s="10" t="e">
        <f t="shared" ca="1" si="23"/>
        <v>#NAME?</v>
      </c>
      <c r="M405" s="10" t="s">
        <v>1428</v>
      </c>
    </row>
    <row r="406" spans="4:17" ht="13.2">
      <c r="F406" s="10" t="s">
        <v>1567</v>
      </c>
      <c r="G406" s="10">
        <v>1</v>
      </c>
      <c r="H406" s="10" t="s">
        <v>1416</v>
      </c>
      <c r="I406" s="10">
        <v>55</v>
      </c>
      <c r="J406" s="43" t="e">
        <f t="array" aca="1" ref="J406" ca="1">_xludf.XLOOKUP(F406, analysis!A:A, analysis!I:I)</f>
        <v>#NAME?</v>
      </c>
      <c r="K406" s="10" t="e">
        <f t="array" aca="1" ref="K406" ca="1">_xludf.XLOOKUP(F406, analysis!A:A, analysis!J:J)</f>
        <v>#NAME?</v>
      </c>
      <c r="L406" s="10" t="e">
        <f t="shared" ca="1" si="23"/>
        <v>#NAME?</v>
      </c>
      <c r="M406" s="10" t="s">
        <v>1429</v>
      </c>
    </row>
    <row r="407" spans="4:17" ht="13.2">
      <c r="F407" s="10" t="s">
        <v>737</v>
      </c>
      <c r="G407" s="10">
        <v>3</v>
      </c>
      <c r="H407" s="10" t="s">
        <v>1416</v>
      </c>
      <c r="I407" s="10">
        <f>4.4*3</f>
        <v>13.200000000000001</v>
      </c>
      <c r="J407" s="43" t="e">
        <f t="array" aca="1" ref="J407" ca="1">_xludf.XLOOKUP(F407, analysis!A:A, analysis!I:I)</f>
        <v>#NAME?</v>
      </c>
      <c r="K407" s="10" t="e">
        <f t="array" aca="1" ref="K407" ca="1">_xludf.XLOOKUP(F407, analysis!A:A, analysis!J:J)</f>
        <v>#NAME?</v>
      </c>
      <c r="L407" s="10" t="e">
        <f t="shared" ca="1" si="23"/>
        <v>#NAME?</v>
      </c>
      <c r="M407" s="10" t="s">
        <v>1430</v>
      </c>
      <c r="N407" s="10">
        <f>(((I401*1.97*160)/0.63)+(4/60)*5773920+(6.5/60)*5773920+(5/60)*5773920+(1/60)*5773920+(37.5/60)*5773920)*10^-6*50</f>
        <v>259.94072253968255</v>
      </c>
    </row>
    <row r="408" spans="4:17" ht="13.2">
      <c r="F408" s="10" t="s">
        <v>646</v>
      </c>
      <c r="G408" s="10" t="s">
        <v>1439</v>
      </c>
      <c r="H408" s="10">
        <v>0</v>
      </c>
      <c r="I408" s="10">
        <v>0</v>
      </c>
      <c r="J408" s="43" t="e">
        <f t="array" aca="1" ref="J408" ca="1">_xludf.XLOOKUP(F408, analysis!A:A, analysis!I:I)</f>
        <v>#NAME?</v>
      </c>
      <c r="K408" s="10" t="e">
        <f t="array" aca="1" ref="K408" ca="1">_xludf.XLOOKUP(F408, analysis!A:A, analysis!J:J)</f>
        <v>#NAME?</v>
      </c>
      <c r="L408" s="10" t="e">
        <f t="shared" ca="1" si="23"/>
        <v>#NAME?</v>
      </c>
      <c r="M408" s="10" t="s">
        <v>1432</v>
      </c>
    </row>
    <row r="409" spans="4:17" ht="13.2">
      <c r="F409" s="10" t="s">
        <v>1440</v>
      </c>
      <c r="G409" s="10" t="s">
        <v>1439</v>
      </c>
      <c r="H409" s="10">
        <v>0</v>
      </c>
      <c r="I409" s="10">
        <v>0</v>
      </c>
      <c r="J409" s="43" t="e">
        <f t="array" aca="1" ref="J409" ca="1">_xludf.XLOOKUP(F409, analysis!A:A, analysis!I:I)</f>
        <v>#NAME?</v>
      </c>
      <c r="K409" s="10" t="e">
        <f t="array" aca="1" ref="K409" ca="1">_xludf.XLOOKUP(F409, analysis!A:A, analysis!J:J)</f>
        <v>#NAME?</v>
      </c>
      <c r="L409" s="10" t="e">
        <f t="shared" ca="1" si="23"/>
        <v>#NAME?</v>
      </c>
      <c r="M409" s="10" t="s">
        <v>1433</v>
      </c>
    </row>
    <row r="410" spans="4:17" ht="13.2">
      <c r="F410" s="10" t="s">
        <v>1503</v>
      </c>
      <c r="G410" s="10" t="s">
        <v>1504</v>
      </c>
      <c r="H410" s="10" t="s">
        <v>1489</v>
      </c>
      <c r="I410" s="10">
        <f>1/4*5*0.57</f>
        <v>0.71249999999999991</v>
      </c>
      <c r="J410" s="43" t="e">
        <f t="array" aca="1" ref="J410" ca="1">_xludf.XLOOKUP(F410, analysis!A:A, analysis!I:I)</f>
        <v>#NAME?</v>
      </c>
      <c r="K410" s="10" t="e">
        <f t="array" aca="1" ref="K410" ca="1">_xludf.XLOOKUP(F410, analysis!A:A, analysis!J:J)</f>
        <v>#NAME?</v>
      </c>
      <c r="L410" s="10" t="e">
        <f t="shared" ca="1" si="23"/>
        <v>#NAME?</v>
      </c>
      <c r="M410" s="10" t="s">
        <v>1434</v>
      </c>
    </row>
    <row r="411" spans="4:17" ht="13.2">
      <c r="F411" s="10" t="s">
        <v>1568</v>
      </c>
      <c r="G411" s="10" t="s">
        <v>1569</v>
      </c>
      <c r="H411" s="10" t="s">
        <v>1444</v>
      </c>
      <c r="I411" s="10">
        <v>234</v>
      </c>
      <c r="J411" s="43" t="e">
        <f t="array" aca="1" ref="J411" ca="1">_xludf.XLOOKUP(F411, analysis!A:A, analysis!I:I)</f>
        <v>#NAME?</v>
      </c>
      <c r="K411" s="10" t="e">
        <f t="array" aca="1" ref="K411" ca="1">_xludf.XLOOKUP(F411, analysis!A:A, analysis!J:J)</f>
        <v>#NAME?</v>
      </c>
      <c r="L411" s="10" t="e">
        <f t="shared" ca="1" si="23"/>
        <v>#NAME?</v>
      </c>
      <c r="M411" s="10" t="s">
        <v>1437</v>
      </c>
    </row>
    <row r="412" spans="4:17" ht="13.2">
      <c r="F412" s="10" t="s">
        <v>667</v>
      </c>
      <c r="G412" s="10" t="s">
        <v>1570</v>
      </c>
      <c r="H412" s="10" t="s">
        <v>1571</v>
      </c>
      <c r="I412" s="10">
        <v>1600</v>
      </c>
      <c r="J412" s="43" t="e">
        <f t="array" aca="1" ref="J412" ca="1">_xludf.XLOOKUP(F412, analysis!A:A, analysis!I:I)</f>
        <v>#NAME?</v>
      </c>
      <c r="K412" s="10" t="e">
        <f t="array" aca="1" ref="K412" ca="1">_xludf.XLOOKUP(F412, analysis!A:A, analysis!J:J)</f>
        <v>#NAME?</v>
      </c>
      <c r="L412" s="10" t="e">
        <f t="shared" ca="1" si="23"/>
        <v>#NAME?</v>
      </c>
      <c r="M412" s="10" t="s">
        <v>1474</v>
      </c>
    </row>
    <row r="413" spans="4:17" ht="13.2">
      <c r="F413" s="10" t="s">
        <v>652</v>
      </c>
      <c r="G413" s="10" t="s">
        <v>1572</v>
      </c>
      <c r="H413" s="10" t="s">
        <v>1444</v>
      </c>
      <c r="I413" s="10">
        <v>28</v>
      </c>
      <c r="J413" s="43" t="e">
        <f t="array" aca="1" ref="J413" ca="1">_xludf.XLOOKUP(F413, analysis!A:A, analysis!I:I)</f>
        <v>#NAME?</v>
      </c>
      <c r="K413" s="10" t="e">
        <f t="array" aca="1" ref="K413" ca="1">_xludf.XLOOKUP(F413, analysis!A:A, analysis!J:J)</f>
        <v>#NAME?</v>
      </c>
      <c r="L413" s="10" t="e">
        <f t="shared" ca="1" si="23"/>
        <v>#NAME?</v>
      </c>
    </row>
    <row r="414" spans="4:17" ht="13.2">
      <c r="F414" s="10" t="s">
        <v>1449</v>
      </c>
      <c r="G414" s="10" t="s">
        <v>1510</v>
      </c>
      <c r="H414" s="10" t="s">
        <v>1444</v>
      </c>
      <c r="I414" s="10">
        <v>15</v>
      </c>
      <c r="J414" s="43" t="e">
        <f t="array" aca="1" ref="J414" ca="1">_xludf.XLOOKUP(F414, analysis!A:A, analysis!I:I)</f>
        <v>#NAME?</v>
      </c>
      <c r="K414" s="10" t="e">
        <f t="array" aca="1" ref="K414" ca="1">_xludf.XLOOKUP(F414, analysis!A:A, analysis!J:J)</f>
        <v>#NAME?</v>
      </c>
      <c r="L414" s="10" t="e">
        <f t="shared" ca="1" si="23"/>
        <v>#NAME?</v>
      </c>
    </row>
    <row r="416" spans="4:17" ht="13.2">
      <c r="K416" s="20" t="s">
        <v>1441</v>
      </c>
      <c r="L416" s="37" t="e">
        <f ca="1">SUM(L402:L413)</f>
        <v>#NAME?</v>
      </c>
      <c r="M416" s="20" t="s">
        <v>1442</v>
      </c>
      <c r="N416" s="37">
        <f>SUM(N403:N414)</f>
        <v>259.94072253968255</v>
      </c>
    </row>
    <row r="417" spans="4:17" ht="13.2">
      <c r="F417" s="185" t="s">
        <v>1136</v>
      </c>
      <c r="G417" s="180"/>
      <c r="H417" s="180"/>
      <c r="I417" s="180"/>
      <c r="J417" s="180"/>
      <c r="K417" s="180"/>
      <c r="L417" s="180"/>
      <c r="M417" s="180"/>
      <c r="N417" s="180"/>
      <c r="O417" s="180"/>
    </row>
    <row r="418" spans="4:17" ht="13.2">
      <c r="F418" s="18" t="s">
        <v>1408</v>
      </c>
      <c r="G418" s="18" t="s">
        <v>543</v>
      </c>
      <c r="H418" s="10" t="s">
        <v>1409</v>
      </c>
      <c r="I418" s="10" t="s">
        <v>1410</v>
      </c>
      <c r="J418" s="10" t="s">
        <v>1411</v>
      </c>
      <c r="K418" s="10" t="s">
        <v>1412</v>
      </c>
      <c r="L418" s="10" t="s">
        <v>1413</v>
      </c>
      <c r="M418" s="179" t="s">
        <v>1468</v>
      </c>
      <c r="N418" s="180"/>
      <c r="O418" s="10" t="s">
        <v>1415</v>
      </c>
    </row>
    <row r="419" spans="4:17" ht="13.2">
      <c r="D419" s="18"/>
      <c r="E419" s="18"/>
      <c r="F419" s="18" t="s">
        <v>1573</v>
      </c>
      <c r="G419" s="18" t="s">
        <v>1574</v>
      </c>
      <c r="H419" s="10" t="s">
        <v>1427</v>
      </c>
      <c r="I419" s="10">
        <v>2650</v>
      </c>
      <c r="J419" s="43" t="e">
        <f t="array" aca="1" ref="J419" ca="1">_xludf.XLOOKUP(F419, analysis!A:A, analysis!I:I)</f>
        <v>#NAME?</v>
      </c>
      <c r="K419" s="10" t="e">
        <f t="array" aca="1" ref="K419" ca="1">_xludf.XLOOKUP(F419, analysis!A:A, analysis!J:J)</f>
        <v>#NAME?</v>
      </c>
      <c r="L419" s="10" t="e">
        <f t="shared" ref="L419:L436" ca="1" si="24">K419*I419*J419/1000</f>
        <v>#NAME?</v>
      </c>
      <c r="M419" s="10" t="s">
        <v>1417</v>
      </c>
      <c r="P419" s="10" t="str">
        <f ca="1">IFERROR(__xludf.DUMMYFUNCTION("transpose(split(F419,CHAR(10)))"),"pork shoulder")</f>
        <v>pork shoulder</v>
      </c>
      <c r="Q419" s="10" t="str">
        <f ca="1">IFERROR(__xludf.DUMMYFUNCTION("transpose(split(G419,CHAR(10)))"),"2.3-3Kg")</f>
        <v>2.3-3Kg</v>
      </c>
    </row>
    <row r="420" spans="4:17" ht="13.2">
      <c r="F420" s="10" t="s">
        <v>1575</v>
      </c>
      <c r="G420" s="10" t="s">
        <v>1492</v>
      </c>
      <c r="H420" s="10" t="s">
        <v>1422</v>
      </c>
      <c r="I420" s="10">
        <v>240</v>
      </c>
      <c r="J420" s="43" t="e">
        <f t="array" aca="1" ref="J420" ca="1">_xludf.XLOOKUP(F420, analysis!A:A, analysis!I:I)</f>
        <v>#NAME?</v>
      </c>
      <c r="K420" s="10" t="e">
        <f t="array" aca="1" ref="K420" ca="1">_xludf.XLOOKUP(F420, analysis!A:A, analysis!J:J)</f>
        <v>#NAME?</v>
      </c>
      <c r="L420" s="10" t="e">
        <f t="shared" ca="1" si="24"/>
        <v>#NAME?</v>
      </c>
      <c r="M420" s="10" t="s">
        <v>1420</v>
      </c>
      <c r="N420" s="10">
        <f>1.1*(5/60)*59.9</f>
        <v>5.4908333333333337</v>
      </c>
    </row>
    <row r="421" spans="4:17" ht="13.2">
      <c r="F421" s="10" t="s">
        <v>737</v>
      </c>
      <c r="G421" s="10">
        <v>11</v>
      </c>
      <c r="H421" s="10" t="s">
        <v>1416</v>
      </c>
      <c r="I421" s="10">
        <f>11*4.4</f>
        <v>48.400000000000006</v>
      </c>
      <c r="J421" s="43" t="e">
        <f t="array" aca="1" ref="J421" ca="1">_xludf.XLOOKUP(F421, analysis!A:A, analysis!I:I)</f>
        <v>#NAME?</v>
      </c>
      <c r="K421" s="10" t="e">
        <f t="array" aca="1" ref="K421" ca="1">_xludf.XLOOKUP(F421, analysis!A:A, analysis!J:J)</f>
        <v>#NAME?</v>
      </c>
      <c r="L421" s="10" t="e">
        <f t="shared" ca="1" si="24"/>
        <v>#NAME?</v>
      </c>
      <c r="M421" s="10" t="s">
        <v>1423</v>
      </c>
    </row>
    <row r="422" spans="4:17" ht="13.2">
      <c r="F422" s="10" t="s">
        <v>651</v>
      </c>
      <c r="G422" s="10">
        <v>1</v>
      </c>
      <c r="H422" s="10" t="s">
        <v>1416</v>
      </c>
      <c r="I422" s="10">
        <v>70</v>
      </c>
      <c r="J422" s="43" t="e">
        <f t="array" aca="1" ref="J422" ca="1">_xludf.XLOOKUP(F422, analysis!A:A, analysis!I:I)</f>
        <v>#NAME?</v>
      </c>
      <c r="K422" s="10" t="e">
        <f t="array" aca="1" ref="K422" ca="1">_xludf.XLOOKUP(F422, analysis!A:A, analysis!J:J)</f>
        <v>#NAME?</v>
      </c>
      <c r="L422" s="10" t="e">
        <f t="shared" ca="1" si="24"/>
        <v>#NAME?</v>
      </c>
      <c r="M422" s="10" t="s">
        <v>1425</v>
      </c>
    </row>
    <row r="423" spans="4:17" ht="13.2">
      <c r="F423" s="10" t="s">
        <v>1503</v>
      </c>
      <c r="G423" s="10" t="s">
        <v>1512</v>
      </c>
      <c r="H423" s="10" t="s">
        <v>1444</v>
      </c>
      <c r="I423" s="10">
        <v>14</v>
      </c>
      <c r="J423" s="43" t="e">
        <f t="array" aca="1" ref="J423" ca="1">_xludf.XLOOKUP(F423, analysis!A:A, analysis!I:I)</f>
        <v>#NAME?</v>
      </c>
      <c r="K423" s="10" t="e">
        <f t="array" aca="1" ref="K423" ca="1">_xludf.XLOOKUP(F423, analysis!A:A, analysis!J:J)</f>
        <v>#NAME?</v>
      </c>
      <c r="L423" s="10" t="e">
        <f t="shared" ca="1" si="24"/>
        <v>#NAME?</v>
      </c>
      <c r="M423" s="10" t="s">
        <v>1428</v>
      </c>
    </row>
    <row r="424" spans="4:17" ht="13.2">
      <c r="F424" s="10" t="s">
        <v>1421</v>
      </c>
      <c r="G424" s="10" t="s">
        <v>1508</v>
      </c>
      <c r="H424" s="10" t="s">
        <v>1422</v>
      </c>
      <c r="I424" s="10">
        <f>120*0.914</f>
        <v>109.68</v>
      </c>
      <c r="J424" s="43" t="e">
        <f t="array" aca="1" ref="J424" ca="1">_xludf.XLOOKUP(F424, analysis!A:A, analysis!I:I)</f>
        <v>#NAME?</v>
      </c>
      <c r="K424" s="10" t="e">
        <f t="array" aca="1" ref="K424" ca="1">_xludf.XLOOKUP(F424, analysis!A:A, analysis!J:J)</f>
        <v>#NAME?</v>
      </c>
      <c r="L424" s="10" t="e">
        <f t="shared" ca="1" si="24"/>
        <v>#NAME?</v>
      </c>
      <c r="M424" s="10" t="s">
        <v>1429</v>
      </c>
    </row>
    <row r="425" spans="4:17" ht="13.2">
      <c r="F425" s="10" t="s">
        <v>1576</v>
      </c>
      <c r="G425" s="10" t="s">
        <v>1577</v>
      </c>
      <c r="H425" s="10" t="s">
        <v>1416</v>
      </c>
      <c r="I425" s="10">
        <f>2.5*4</f>
        <v>10</v>
      </c>
      <c r="J425" s="43" t="e">
        <f t="array" aca="1" ref="J425" ca="1">_xludf.XLOOKUP(F425, analysis!A:A, analysis!I:I)</f>
        <v>#NAME?</v>
      </c>
      <c r="K425" s="10" t="e">
        <f t="array" aca="1" ref="K425" ca="1">_xludf.XLOOKUP(F425, analysis!A:A, analysis!J:J)</f>
        <v>#NAME?</v>
      </c>
      <c r="L425" s="10" t="e">
        <f t="shared" ca="1" si="24"/>
        <v>#NAME?</v>
      </c>
      <c r="M425" s="10" t="s">
        <v>1430</v>
      </c>
    </row>
    <row r="426" spans="4:17" ht="13.2">
      <c r="F426" s="10" t="s">
        <v>646</v>
      </c>
      <c r="G426" s="10" t="s">
        <v>1439</v>
      </c>
      <c r="H426" s="10">
        <v>0</v>
      </c>
      <c r="I426" s="10">
        <v>0</v>
      </c>
      <c r="J426" s="43" t="e">
        <f t="array" aca="1" ref="J426" ca="1">_xludf.XLOOKUP(F426, analysis!A:A, analysis!I:I)</f>
        <v>#NAME?</v>
      </c>
      <c r="K426" s="10" t="e">
        <f t="array" aca="1" ref="K426" ca="1">_xludf.XLOOKUP(F426, analysis!A:A, analysis!J:J)</f>
        <v>#NAME?</v>
      </c>
      <c r="L426" s="10" t="e">
        <f t="shared" ca="1" si="24"/>
        <v>#NAME?</v>
      </c>
      <c r="M426" s="10" t="s">
        <v>1432</v>
      </c>
      <c r="N426" s="10">
        <f>((1.012*1.2923*10^-3*70000*130/0.63)/0.13+(150/60)*5773920+(5/60)*5773920)*(10^-6)*50</f>
        <v>753.06359777777777</v>
      </c>
    </row>
    <row r="427" spans="4:17" ht="13.2">
      <c r="F427" s="10" t="s">
        <v>1440</v>
      </c>
      <c r="G427" s="10" t="s">
        <v>1439</v>
      </c>
      <c r="H427" s="10">
        <v>0</v>
      </c>
      <c r="I427" s="10">
        <v>0</v>
      </c>
      <c r="J427" s="43" t="e">
        <f t="array" aca="1" ref="J427" ca="1">_xludf.XLOOKUP(F427, analysis!A:A, analysis!I:I)</f>
        <v>#NAME?</v>
      </c>
      <c r="K427" s="10" t="e">
        <f t="array" aca="1" ref="K427" ca="1">_xludf.XLOOKUP(F427, analysis!A:A, analysis!J:J)</f>
        <v>#NAME?</v>
      </c>
      <c r="L427" s="10" t="e">
        <f t="shared" ca="1" si="24"/>
        <v>#NAME?</v>
      </c>
      <c r="M427" s="10" t="s">
        <v>1433</v>
      </c>
    </row>
    <row r="428" spans="4:17" ht="13.2">
      <c r="F428" s="10" t="s">
        <v>653</v>
      </c>
      <c r="G428" s="10" t="s">
        <v>1492</v>
      </c>
      <c r="H428" s="10" t="s">
        <v>1422</v>
      </c>
      <c r="I428" s="10">
        <v>240</v>
      </c>
      <c r="J428" s="43" t="e">
        <f t="array" aca="1" ref="J428" ca="1">_xludf.XLOOKUP(F428, analysis!A:A, analysis!I:I)</f>
        <v>#NAME?</v>
      </c>
      <c r="K428" s="10" t="e">
        <f t="array" aca="1" ref="K428" ca="1">_xludf.XLOOKUP(F428, analysis!A:A, analysis!J:J)</f>
        <v>#NAME?</v>
      </c>
      <c r="L428" s="10" t="e">
        <f t="shared" ca="1" si="24"/>
        <v>#NAME?</v>
      </c>
      <c r="M428" s="10" t="s">
        <v>1434</v>
      </c>
    </row>
    <row r="429" spans="4:17" ht="13.2">
      <c r="F429" s="10" t="s">
        <v>653</v>
      </c>
      <c r="G429" s="10" t="s">
        <v>749</v>
      </c>
      <c r="H429" s="10" t="s">
        <v>1422</v>
      </c>
      <c r="I429" s="10">
        <v>200</v>
      </c>
      <c r="J429" s="43" t="e">
        <f t="array" aca="1" ref="J429" ca="1">_xludf.XLOOKUP(F429, analysis!A:A, analysis!I:I)</f>
        <v>#NAME?</v>
      </c>
      <c r="K429" s="10" t="e">
        <f t="array" aca="1" ref="K429" ca="1">_xludf.XLOOKUP(F429, analysis!A:A, analysis!J:J)</f>
        <v>#NAME?</v>
      </c>
      <c r="L429" s="10" t="e">
        <f t="shared" ca="1" si="24"/>
        <v>#NAME?</v>
      </c>
      <c r="M429" s="10" t="s">
        <v>1437</v>
      </c>
      <c r="N429" s="10">
        <f>((10/60)*5773920+(5/60)*5773920)*(10^-6)*50</f>
        <v>72.173999999999992</v>
      </c>
    </row>
    <row r="430" spans="4:17" ht="13.2">
      <c r="F430" s="10" t="s">
        <v>1575</v>
      </c>
      <c r="G430" s="10" t="s">
        <v>1508</v>
      </c>
      <c r="H430" s="10" t="s">
        <v>1422</v>
      </c>
      <c r="I430" s="10">
        <v>120</v>
      </c>
      <c r="J430" s="43" t="e">
        <f t="array" aca="1" ref="J430" ca="1">_xludf.XLOOKUP(F430, analysis!A:A, analysis!I:I)</f>
        <v>#NAME?</v>
      </c>
      <c r="K430" s="10" t="e">
        <f t="array" aca="1" ref="K430" ca="1">_xludf.XLOOKUP(F430, analysis!A:A, analysis!J:J)</f>
        <v>#NAME?</v>
      </c>
      <c r="L430" s="10" t="e">
        <f t="shared" ca="1" si="24"/>
        <v>#NAME?</v>
      </c>
      <c r="M430" s="10" t="s">
        <v>1474</v>
      </c>
    </row>
    <row r="431" spans="4:17" ht="13.2">
      <c r="F431" s="10" t="s">
        <v>708</v>
      </c>
      <c r="G431" s="10" t="s">
        <v>1578</v>
      </c>
      <c r="H431" s="10" t="s">
        <v>1444</v>
      </c>
      <c r="I431" s="10">
        <v>55</v>
      </c>
      <c r="J431" s="43" t="e">
        <f t="array" aca="1" ref="J431" ca="1">_xludf.XLOOKUP(F431, analysis!A:A, analysis!I:I)</f>
        <v>#NAME?</v>
      </c>
      <c r="K431" s="10" t="e">
        <f t="array" aca="1" ref="K431" ca="1">_xludf.XLOOKUP(F431, analysis!A:A, analysis!J:J)</f>
        <v>#NAME?</v>
      </c>
      <c r="L431" s="10" t="e">
        <f t="shared" ca="1" si="24"/>
        <v>#NAME?</v>
      </c>
    </row>
    <row r="432" spans="4:17" ht="13.2">
      <c r="F432" s="10" t="s">
        <v>1579</v>
      </c>
      <c r="G432" s="10" t="s">
        <v>1506</v>
      </c>
      <c r="H432" s="10" t="s">
        <v>1422</v>
      </c>
      <c r="I432" s="10">
        <f>1.01*30</f>
        <v>30.3</v>
      </c>
      <c r="J432" s="43" t="e">
        <f t="array" aca="1" ref="J432" ca="1">_xludf.XLOOKUP(F432, analysis!A:A, analysis!I:I)</f>
        <v>#NAME?</v>
      </c>
      <c r="K432" s="10" t="e">
        <f t="array" aca="1" ref="K432" ca="1">_xludf.XLOOKUP(F432, analysis!A:A, analysis!J:J)</f>
        <v>#NAME?</v>
      </c>
      <c r="L432" s="10" t="e">
        <f t="shared" ca="1" si="24"/>
        <v>#NAME?</v>
      </c>
    </row>
    <row r="433" spans="4:17" ht="13.2">
      <c r="F433" s="10" t="s">
        <v>1580</v>
      </c>
      <c r="G433" s="10">
        <v>1</v>
      </c>
      <c r="H433" s="10" t="s">
        <v>1416</v>
      </c>
      <c r="I433" s="10">
        <v>700</v>
      </c>
      <c r="J433" s="43" t="e">
        <f t="array" aca="1" ref="J433" ca="1">_xludf.XLOOKUP(F433, analysis!A:A, analysis!I:I)</f>
        <v>#NAME?</v>
      </c>
      <c r="K433" s="10" t="e">
        <f t="array" aca="1" ref="K433" ca="1">_xludf.XLOOKUP(F433, analysis!A:A, analysis!J:J)</f>
        <v>#NAME?</v>
      </c>
      <c r="L433" s="10" t="e">
        <f t="shared" ca="1" si="24"/>
        <v>#NAME?</v>
      </c>
    </row>
    <row r="434" spans="4:17" ht="13.2">
      <c r="F434" s="10" t="s">
        <v>646</v>
      </c>
      <c r="G434" s="10" t="s">
        <v>1480</v>
      </c>
      <c r="H434" s="10">
        <v>0</v>
      </c>
      <c r="I434" s="10">
        <v>0</v>
      </c>
      <c r="J434" s="43" t="e">
        <f t="array" aca="1" ref="J434" ca="1">_xludf.XLOOKUP(F434, analysis!A:A, analysis!I:I)</f>
        <v>#NAME?</v>
      </c>
      <c r="K434" s="10" t="e">
        <f t="array" aca="1" ref="K434" ca="1">_xludf.XLOOKUP(F434, analysis!A:A, analysis!J:J)</f>
        <v>#NAME?</v>
      </c>
      <c r="L434" s="10" t="e">
        <f t="shared" ca="1" si="24"/>
        <v>#NAME?</v>
      </c>
    </row>
    <row r="435" spans="4:17" ht="13.2">
      <c r="F435" s="10" t="s">
        <v>1440</v>
      </c>
      <c r="G435" s="10" t="s">
        <v>1439</v>
      </c>
      <c r="H435" s="10">
        <v>0</v>
      </c>
      <c r="I435" s="10">
        <v>0</v>
      </c>
      <c r="J435" s="43" t="e">
        <f t="array" aca="1" ref="J435" ca="1">_xludf.XLOOKUP(F435, analysis!A:A, analysis!I:I)</f>
        <v>#NAME?</v>
      </c>
      <c r="K435" s="10" t="e">
        <f t="array" aca="1" ref="K435" ca="1">_xludf.XLOOKUP(F435, analysis!A:A, analysis!J:J)</f>
        <v>#NAME?</v>
      </c>
      <c r="L435" s="10" t="e">
        <f t="shared" ca="1" si="24"/>
        <v>#NAME?</v>
      </c>
    </row>
    <row r="436" spans="4:17" ht="13.2">
      <c r="F436" s="10" t="s">
        <v>694</v>
      </c>
      <c r="G436" s="10" t="s">
        <v>1505</v>
      </c>
      <c r="H436" s="10" t="s">
        <v>1444</v>
      </c>
      <c r="I436" s="10">
        <v>8</v>
      </c>
      <c r="J436" s="43" t="e">
        <f t="array" aca="1" ref="J436" ca="1">_xludf.XLOOKUP(F436, analysis!A:A, analysis!I:I)</f>
        <v>#NAME?</v>
      </c>
      <c r="K436" s="10" t="e">
        <f t="array" aca="1" ref="K436" ca="1">_xludf.XLOOKUP(F436, analysis!A:A, analysis!J:J)</f>
        <v>#NAME?</v>
      </c>
      <c r="L436" s="10" t="e">
        <f t="shared" ca="1" si="24"/>
        <v>#NAME?</v>
      </c>
    </row>
    <row r="438" spans="4:17" ht="13.2">
      <c r="K438" s="20" t="s">
        <v>1441</v>
      </c>
      <c r="L438" s="37" t="e">
        <f ca="1">SUM(L419:L436)</f>
        <v>#NAME?</v>
      </c>
      <c r="M438" s="20" t="s">
        <v>1442</v>
      </c>
      <c r="N438" s="37">
        <f>SUM(N419:N430)</f>
        <v>830.72843111111104</v>
      </c>
    </row>
    <row r="440" spans="4:17" ht="13.2">
      <c r="F440" s="185" t="s">
        <v>1201</v>
      </c>
      <c r="G440" s="180"/>
      <c r="H440" s="180"/>
      <c r="I440" s="180"/>
      <c r="J440" s="180"/>
      <c r="K440" s="180"/>
      <c r="L440" s="180"/>
      <c r="M440" s="180"/>
      <c r="N440" s="180"/>
      <c r="O440" s="180"/>
    </row>
    <row r="441" spans="4:17" ht="13.2">
      <c r="F441" s="18" t="s">
        <v>1408</v>
      </c>
      <c r="G441" s="18" t="s">
        <v>543</v>
      </c>
      <c r="H441" s="10" t="s">
        <v>1409</v>
      </c>
      <c r="I441" s="10" t="s">
        <v>1410</v>
      </c>
      <c r="J441" s="10" t="s">
        <v>1411</v>
      </c>
      <c r="K441" s="10" t="s">
        <v>1412</v>
      </c>
      <c r="L441" s="10" t="s">
        <v>1413</v>
      </c>
      <c r="M441" s="179" t="s">
        <v>1468</v>
      </c>
      <c r="N441" s="180"/>
      <c r="O441" s="10" t="s">
        <v>1415</v>
      </c>
    </row>
    <row r="442" spans="4:17" ht="13.2">
      <c r="D442" s="18"/>
      <c r="E442" s="18"/>
      <c r="F442" s="18" t="s">
        <v>1421</v>
      </c>
      <c r="G442" s="18" t="s">
        <v>1509</v>
      </c>
      <c r="H442" s="10" t="s">
        <v>1489</v>
      </c>
      <c r="I442" s="10">
        <f>5*0.914</f>
        <v>4.57</v>
      </c>
      <c r="J442" s="43" t="e">
        <f t="array" aca="1" ref="J442" ca="1">_xludf.XLOOKUP(F442, analysis!A:A, analysis!I:I)</f>
        <v>#NAME?</v>
      </c>
      <c r="K442" s="10" t="e">
        <f t="array" aca="1" ref="K442" ca="1">_xludf.XLOOKUP(F442, analysis!A:A, analysis!J:J)</f>
        <v>#NAME?</v>
      </c>
      <c r="L442" s="10" t="e">
        <f t="shared" ref="L442:L472" ca="1" si="25">K442*I442*J442/1000</f>
        <v>#NAME?</v>
      </c>
      <c r="M442" s="10" t="s">
        <v>1417</v>
      </c>
      <c r="P442" s="10" t="str">
        <f ca="1">IFERROR(__xludf.DUMMYFUNCTION("transpose(split(F442,CHAR(10)))"),"olive oil")</f>
        <v>olive oil</v>
      </c>
      <c r="Q442" s="10" t="str">
        <f ca="1">IFERROR(__xludf.DUMMYFUNCTION("transpose(split(G442,CHAR(10)))"),"1tsp")</f>
        <v>1tsp</v>
      </c>
    </row>
    <row r="443" spans="4:17" ht="13.2">
      <c r="F443" s="10" t="s">
        <v>1445</v>
      </c>
      <c r="G443" s="10" t="s">
        <v>1523</v>
      </c>
      <c r="H443" s="10" t="s">
        <v>1444</v>
      </c>
      <c r="I443" s="10">
        <v>85</v>
      </c>
      <c r="J443" s="43" t="e">
        <f t="array" aca="1" ref="J443" ca="1">_xludf.XLOOKUP(F443, analysis!A:A, analysis!I:I)</f>
        <v>#NAME?</v>
      </c>
      <c r="K443" s="10" t="e">
        <f t="array" aca="1" ref="K443" ca="1">_xludf.XLOOKUP(F443, analysis!A:A, analysis!J:J)</f>
        <v>#NAME?</v>
      </c>
      <c r="L443" s="10" t="e">
        <f t="shared" ca="1" si="25"/>
        <v>#NAME?</v>
      </c>
      <c r="M443" s="10" t="s">
        <v>1420</v>
      </c>
      <c r="N443" s="10">
        <f>1.1*(5/60)*59.9</f>
        <v>5.4908333333333337</v>
      </c>
    </row>
    <row r="444" spans="4:17" ht="13.2">
      <c r="F444" s="10" t="s">
        <v>651</v>
      </c>
      <c r="G444" s="10">
        <v>1</v>
      </c>
      <c r="H444" s="10" t="s">
        <v>1416</v>
      </c>
      <c r="I444" s="10">
        <v>70</v>
      </c>
      <c r="J444" s="43" t="e">
        <f t="array" aca="1" ref="J444" ca="1">_xludf.XLOOKUP(F444, analysis!A:A, analysis!I:I)</f>
        <v>#NAME?</v>
      </c>
      <c r="K444" s="10" t="e">
        <f t="array" aca="1" ref="K444" ca="1">_xludf.XLOOKUP(F444, analysis!A:A, analysis!J:J)</f>
        <v>#NAME?</v>
      </c>
      <c r="L444" s="10" t="e">
        <f t="shared" ca="1" si="25"/>
        <v>#NAME?</v>
      </c>
      <c r="M444" s="10" t="s">
        <v>1423</v>
      </c>
    </row>
    <row r="445" spans="4:17" ht="13.2">
      <c r="F445" s="10" t="s">
        <v>737</v>
      </c>
      <c r="G445" s="10">
        <v>3</v>
      </c>
      <c r="H445" s="10" t="s">
        <v>1416</v>
      </c>
      <c r="I445" s="10">
        <f>3*4.4</f>
        <v>13.200000000000001</v>
      </c>
      <c r="J445" s="43" t="e">
        <f t="array" aca="1" ref="J445" ca="1">_xludf.XLOOKUP(F445, analysis!A:A, analysis!I:I)</f>
        <v>#NAME?</v>
      </c>
      <c r="K445" s="10" t="e">
        <f t="array" aca="1" ref="K445" ca="1">_xludf.XLOOKUP(F445, analysis!A:A, analysis!J:J)</f>
        <v>#NAME?</v>
      </c>
      <c r="L445" s="10" t="e">
        <f t="shared" ca="1" si="25"/>
        <v>#NAME?</v>
      </c>
      <c r="M445" s="10" t="s">
        <v>1425</v>
      </c>
      <c r="N445" s="10">
        <f>(I457*4.2*80/0.63+(20/60)*5773920)*(10^-6)*50</f>
        <v>118.63200000000001</v>
      </c>
    </row>
    <row r="446" spans="4:17" ht="13.2">
      <c r="F446" s="10" t="s">
        <v>1581</v>
      </c>
      <c r="G446" s="10" t="s">
        <v>1582</v>
      </c>
      <c r="H446" s="10" t="s">
        <v>1444</v>
      </c>
      <c r="I446" s="10">
        <v>307</v>
      </c>
      <c r="J446" s="43" t="e">
        <f t="array" aca="1" ref="J446" ca="1">_xludf.XLOOKUP(F446, analysis!A:A, analysis!I:I)</f>
        <v>#NAME?</v>
      </c>
      <c r="K446" s="10" t="e">
        <f t="array" aca="1" ref="K446" ca="1">_xludf.XLOOKUP(F446, analysis!A:A, analysis!J:J)</f>
        <v>#NAME?</v>
      </c>
      <c r="L446" s="10" t="e">
        <f t="shared" ca="1" si="25"/>
        <v>#NAME?</v>
      </c>
      <c r="M446" s="10" t="s">
        <v>1428</v>
      </c>
    </row>
    <row r="447" spans="4:17" ht="13.2">
      <c r="F447" s="10" t="s">
        <v>653</v>
      </c>
      <c r="G447" s="10" t="s">
        <v>1583</v>
      </c>
      <c r="H447" s="10" t="s">
        <v>1584</v>
      </c>
      <c r="I447" s="10">
        <v>1000</v>
      </c>
      <c r="J447" s="43" t="e">
        <f t="array" aca="1" ref="J447" ca="1">_xludf.XLOOKUP(F447, analysis!A:A, analysis!I:I)</f>
        <v>#NAME?</v>
      </c>
      <c r="K447" s="10" t="e">
        <f t="array" aca="1" ref="K447" ca="1">_xludf.XLOOKUP(F447, analysis!A:A, analysis!J:J)</f>
        <v>#NAME?</v>
      </c>
      <c r="L447" s="10" t="e">
        <f t="shared" ca="1" si="25"/>
        <v>#NAME?</v>
      </c>
      <c r="M447" s="10" t="s">
        <v>1429</v>
      </c>
      <c r="N447" s="10">
        <f>((12^2*PI()*8*0.927*1.96*160/0.63)+(5/60)*5773920)*(10^-6)*50</f>
        <v>107.55821521057452</v>
      </c>
    </row>
    <row r="448" spans="4:17" ht="13.2">
      <c r="F448" s="10" t="s">
        <v>711</v>
      </c>
      <c r="G448" s="10">
        <v>2</v>
      </c>
      <c r="H448" s="10" t="s">
        <v>1416</v>
      </c>
      <c r="I448" s="10">
        <f>0.25*2</f>
        <v>0.5</v>
      </c>
      <c r="J448" s="43" t="e">
        <f t="array" aca="1" ref="J448" ca="1">_xludf.XLOOKUP(F448, analysis!A:A, analysis!I:I)</f>
        <v>#NAME?</v>
      </c>
      <c r="K448" s="10" t="e">
        <f t="array" aca="1" ref="K448" ca="1">_xludf.XLOOKUP(F448, analysis!A:A, analysis!J:J)</f>
        <v>#NAME?</v>
      </c>
      <c r="L448" s="10" t="e">
        <f t="shared" ca="1" si="25"/>
        <v>#NAME?</v>
      </c>
      <c r="M448" s="10" t="s">
        <v>1430</v>
      </c>
      <c r="N448" s="10">
        <f>(((I442*1.97*160)/0.63)+(4/60)*5773920+(2.5/60)*5773920+(0.5/60)*5773920)*10^-6*50+(((I452*1.96*160)/0.63)+(2.5/60)*5773920+(0.5/60)*5773920+(1.5/60)*5773920)*10^-6*50+(((I459*1.97*160)/0.63)+(1/60)*5773920+(5/60)*5773920)*10^-6*50+(((I471*1.96*160)/0.63)+(3.5/60)*5773920+(3.5/60)*5773920+(10/60)*5773920)*10^-6*50</f>
        <v>167.83558539682537</v>
      </c>
    </row>
    <row r="449" spans="6:14" ht="13.2">
      <c r="F449" s="10" t="s">
        <v>1585</v>
      </c>
      <c r="G449" s="10" t="s">
        <v>1586</v>
      </c>
      <c r="H449" s="10" t="s">
        <v>1444</v>
      </c>
      <c r="I449" s="10">
        <v>105</v>
      </c>
      <c r="J449" s="43" t="e">
        <f t="array" aca="1" ref="J449" ca="1">_xludf.XLOOKUP(F449, analysis!A:A, analysis!I:I)</f>
        <v>#NAME?</v>
      </c>
      <c r="K449" s="10" t="e">
        <f t="array" aca="1" ref="K449" ca="1">_xludf.XLOOKUP(F449, analysis!A:A, analysis!J:J)</f>
        <v>#NAME?</v>
      </c>
      <c r="L449" s="10" t="e">
        <f t="shared" ca="1" si="25"/>
        <v>#NAME?</v>
      </c>
      <c r="M449" s="10" t="s">
        <v>1432</v>
      </c>
    </row>
    <row r="450" spans="6:14" ht="13.2">
      <c r="F450" s="10" t="s">
        <v>646</v>
      </c>
      <c r="G450" s="10" t="s">
        <v>1439</v>
      </c>
      <c r="H450" s="10">
        <v>0</v>
      </c>
      <c r="I450" s="10">
        <v>0</v>
      </c>
      <c r="J450" s="43" t="e">
        <f t="array" aca="1" ref="J450" ca="1">_xludf.XLOOKUP(F450, analysis!A:A, analysis!I:I)</f>
        <v>#NAME?</v>
      </c>
      <c r="K450" s="10" t="e">
        <f t="array" aca="1" ref="K450" ca="1">_xludf.XLOOKUP(F450, analysis!A:A, analysis!J:J)</f>
        <v>#NAME?</v>
      </c>
      <c r="L450" s="10" t="e">
        <f t="shared" ca="1" si="25"/>
        <v>#NAME?</v>
      </c>
      <c r="M450" s="10" t="s">
        <v>1433</v>
      </c>
    </row>
    <row r="451" spans="6:14" ht="13.2">
      <c r="F451" s="10" t="s">
        <v>1440</v>
      </c>
      <c r="G451" s="10" t="s">
        <v>1439</v>
      </c>
      <c r="H451" s="10">
        <v>0</v>
      </c>
      <c r="I451" s="10">
        <v>0</v>
      </c>
      <c r="J451" s="43" t="e">
        <f t="array" aca="1" ref="J451" ca="1">_xludf.XLOOKUP(F451, analysis!A:A, analysis!I:I)</f>
        <v>#NAME?</v>
      </c>
      <c r="K451" s="10" t="e">
        <f t="array" aca="1" ref="K451" ca="1">_xludf.XLOOKUP(F451, analysis!A:A, analysis!J:J)</f>
        <v>#NAME?</v>
      </c>
      <c r="L451" s="10" t="e">
        <f t="shared" ca="1" si="25"/>
        <v>#NAME?</v>
      </c>
      <c r="M451" s="10" t="s">
        <v>1434</v>
      </c>
      <c r="N451" s="10">
        <f>(((1000)*4.2*100/0.63)+(20/60)*5773920)*(10^-6)*50</f>
        <v>129.56533333333331</v>
      </c>
    </row>
    <row r="452" spans="6:14" ht="13.2">
      <c r="F452" s="10" t="s">
        <v>733</v>
      </c>
      <c r="G452" s="10" t="s">
        <v>746</v>
      </c>
      <c r="H452" s="10" t="s">
        <v>1422</v>
      </c>
      <c r="I452" s="10">
        <f>15*0.927</f>
        <v>13.905000000000001</v>
      </c>
      <c r="J452" s="43" t="e">
        <f t="array" aca="1" ref="J452" ca="1">_xludf.XLOOKUP(F452, analysis!A:A, analysis!I:I)</f>
        <v>#NAME?</v>
      </c>
      <c r="K452" s="10" t="e">
        <f t="array" aca="1" ref="K452" ca="1">_xludf.XLOOKUP(F452, analysis!A:A, analysis!J:J)</f>
        <v>#NAME?</v>
      </c>
      <c r="L452" s="10" t="e">
        <f t="shared" ca="1" si="25"/>
        <v>#NAME?</v>
      </c>
      <c r="M452" s="10" t="s">
        <v>1437</v>
      </c>
    </row>
    <row r="453" spans="6:14" ht="13.2">
      <c r="F453" s="10" t="s">
        <v>651</v>
      </c>
      <c r="G453" s="10">
        <v>1</v>
      </c>
      <c r="H453" s="10" t="s">
        <v>1416</v>
      </c>
      <c r="I453" s="10">
        <v>70</v>
      </c>
      <c r="J453" s="43" t="e">
        <f t="array" aca="1" ref="J453" ca="1">_xludf.XLOOKUP(F453, analysis!A:A, analysis!I:I)</f>
        <v>#NAME?</v>
      </c>
      <c r="K453" s="10" t="e">
        <f t="array" aca="1" ref="K453" ca="1">_xludf.XLOOKUP(F453, analysis!A:A, analysis!J:J)</f>
        <v>#NAME?</v>
      </c>
      <c r="L453" s="10" t="e">
        <f t="shared" ca="1" si="25"/>
        <v>#NAME?</v>
      </c>
      <c r="M453" s="10" t="s">
        <v>1474</v>
      </c>
    </row>
    <row r="454" spans="6:14" ht="13.2">
      <c r="F454" s="10" t="s">
        <v>737</v>
      </c>
      <c r="G454" s="10">
        <v>3</v>
      </c>
      <c r="H454" s="10" t="s">
        <v>1416</v>
      </c>
      <c r="I454" s="10">
        <f>3*4.4</f>
        <v>13.200000000000001</v>
      </c>
      <c r="J454" s="43" t="e">
        <f t="array" aca="1" ref="J454" ca="1">_xludf.XLOOKUP(F454, analysis!A:A, analysis!I:I)</f>
        <v>#NAME?</v>
      </c>
      <c r="K454" s="10" t="e">
        <f t="array" aca="1" ref="K454" ca="1">_xludf.XLOOKUP(F454, analysis!A:A, analysis!J:J)</f>
        <v>#NAME?</v>
      </c>
      <c r="L454" s="10" t="e">
        <f t="shared" ca="1" si="25"/>
        <v>#NAME?</v>
      </c>
    </row>
    <row r="455" spans="6:14" ht="13.2">
      <c r="F455" s="10" t="s">
        <v>1516</v>
      </c>
      <c r="G455" s="10" t="s">
        <v>753</v>
      </c>
      <c r="H455" s="10" t="s">
        <v>1444</v>
      </c>
      <c r="I455" s="10">
        <v>400</v>
      </c>
      <c r="J455" s="43" t="e">
        <f t="array" aca="1" ref="J455" ca="1">_xludf.XLOOKUP(F455, analysis!A:A, analysis!I:I)</f>
        <v>#NAME?</v>
      </c>
      <c r="K455" s="10" t="e">
        <f t="array" aca="1" ref="K455" ca="1">_xludf.XLOOKUP(F455, analysis!A:A, analysis!J:J)</f>
        <v>#NAME?</v>
      </c>
      <c r="L455" s="10" t="e">
        <f t="shared" ca="1" si="25"/>
        <v>#NAME?</v>
      </c>
    </row>
    <row r="456" spans="6:14" ht="13.2">
      <c r="F456" s="10" t="s">
        <v>646</v>
      </c>
      <c r="G456" s="10" t="s">
        <v>1439</v>
      </c>
      <c r="H456" s="10">
        <v>0</v>
      </c>
      <c r="I456" s="10">
        <v>0</v>
      </c>
      <c r="J456" s="43" t="e">
        <f t="array" aca="1" ref="J456" ca="1">_xludf.XLOOKUP(F456, analysis!A:A, analysis!I:I)</f>
        <v>#NAME?</v>
      </c>
      <c r="K456" s="10" t="e">
        <f t="array" aca="1" ref="K456" ca="1">_xludf.XLOOKUP(F456, analysis!A:A, analysis!J:J)</f>
        <v>#NAME?</v>
      </c>
      <c r="L456" s="10" t="e">
        <f t="shared" ca="1" si="25"/>
        <v>#NAME?</v>
      </c>
    </row>
    <row r="457" spans="6:14" ht="13.2">
      <c r="F457" s="10" t="s">
        <v>1520</v>
      </c>
      <c r="G457" s="10" t="s">
        <v>1587</v>
      </c>
      <c r="H457" s="10" t="s">
        <v>1422</v>
      </c>
      <c r="I457" s="10">
        <v>840</v>
      </c>
      <c r="J457" s="43" t="e">
        <f t="array" aca="1" ref="J457" ca="1">_xludf.XLOOKUP("water", analysis!A:A, analysis!I:I)</f>
        <v>#NAME?</v>
      </c>
      <c r="K457" s="10" t="e">
        <f t="array" aca="1" ref="K457" ca="1">_xludf.XLOOKUP("water", analysis!A:A, analysis!J:J)</f>
        <v>#NAME?</v>
      </c>
      <c r="L457" s="10" t="e">
        <f t="shared" ca="1" si="25"/>
        <v>#NAME?</v>
      </c>
    </row>
    <row r="458" spans="6:14" ht="13.2">
      <c r="F458" s="10" t="s">
        <v>1588</v>
      </c>
      <c r="G458" s="10" t="s">
        <v>1589</v>
      </c>
      <c r="H458" s="10" t="s">
        <v>1590</v>
      </c>
      <c r="I458" s="10">
        <v>42</v>
      </c>
      <c r="J458" s="43" t="e">
        <f t="array" aca="1" ref="J458" ca="1">_xludf.XLOOKUP(F458, analysis!A:A, analysis!I:I)</f>
        <v>#NAME?</v>
      </c>
      <c r="K458" s="10" t="e">
        <f t="array" aca="1" ref="K458" ca="1">_xludf.XLOOKUP(F458, analysis!A:A, analysis!J:J)</f>
        <v>#NAME?</v>
      </c>
      <c r="L458" s="10" t="e">
        <f t="shared" ca="1" si="25"/>
        <v>#NAME?</v>
      </c>
    </row>
    <row r="459" spans="6:14" ht="13.2">
      <c r="F459" s="10" t="s">
        <v>1421</v>
      </c>
      <c r="G459" s="10" t="s">
        <v>734</v>
      </c>
      <c r="H459" s="10" t="s">
        <v>1422</v>
      </c>
      <c r="I459" s="10">
        <f>45*0.914</f>
        <v>41.13</v>
      </c>
      <c r="J459" s="43" t="e">
        <f t="array" aca="1" ref="J459" ca="1">_xludf.XLOOKUP(F459, analysis!A:A, analysis!I:I)</f>
        <v>#NAME?</v>
      </c>
      <c r="K459" s="10" t="e">
        <f t="array" aca="1" ref="K459" ca="1">_xludf.XLOOKUP(F459, analysis!A:A, analysis!J:J)</f>
        <v>#NAME?</v>
      </c>
      <c r="L459" s="10" t="e">
        <f t="shared" ca="1" si="25"/>
        <v>#NAME?</v>
      </c>
    </row>
    <row r="460" spans="6:14" ht="13.2">
      <c r="F460" s="10" t="s">
        <v>737</v>
      </c>
      <c r="G460" s="10">
        <v>4</v>
      </c>
      <c r="H460" s="10" t="s">
        <v>1416</v>
      </c>
      <c r="I460" s="10">
        <f>4*4.4</f>
        <v>17.600000000000001</v>
      </c>
      <c r="J460" s="43" t="e">
        <f t="array" aca="1" ref="J460" ca="1">_xludf.XLOOKUP(F460, analysis!A:A, analysis!I:I)</f>
        <v>#NAME?</v>
      </c>
      <c r="K460" s="10" t="e">
        <f t="array" aca="1" ref="K460" ca="1">_xludf.XLOOKUP(F460, analysis!A:A, analysis!J:J)</f>
        <v>#NAME?</v>
      </c>
      <c r="L460" s="10" t="e">
        <f t="shared" ca="1" si="25"/>
        <v>#NAME?</v>
      </c>
    </row>
    <row r="461" spans="6:14" ht="13.2">
      <c r="F461" s="10" t="s">
        <v>646</v>
      </c>
      <c r="G461" s="10" t="s">
        <v>1439</v>
      </c>
      <c r="H461" s="10">
        <v>0</v>
      </c>
      <c r="I461" s="10">
        <v>0</v>
      </c>
      <c r="J461" s="43" t="e">
        <f t="array" aca="1" ref="J461" ca="1">_xludf.XLOOKUP(F461, analysis!A:A, analysis!I:I)</f>
        <v>#NAME?</v>
      </c>
      <c r="K461" s="10" t="e">
        <f t="array" aca="1" ref="K461" ca="1">_xludf.XLOOKUP(F461, analysis!A:A, analysis!J:J)</f>
        <v>#NAME?</v>
      </c>
      <c r="L461" s="10" t="e">
        <f t="shared" ca="1" si="25"/>
        <v>#NAME?</v>
      </c>
    </row>
    <row r="462" spans="6:14" ht="13.2">
      <c r="F462" s="10" t="s">
        <v>1463</v>
      </c>
      <c r="G462" s="10" t="s">
        <v>1591</v>
      </c>
      <c r="H462" s="10" t="s">
        <v>1444</v>
      </c>
      <c r="I462" s="10">
        <v>94</v>
      </c>
      <c r="J462" s="43" t="e">
        <f t="array" aca="1" ref="J462" ca="1">_xludf.XLOOKUP(F462, analysis!A:A, analysis!I:I)</f>
        <v>#NAME?</v>
      </c>
      <c r="K462" s="10" t="e">
        <f t="array" aca="1" ref="K462" ca="1">_xludf.XLOOKUP(F462, analysis!A:A, analysis!J:J)</f>
        <v>#NAME?</v>
      </c>
      <c r="L462" s="10" t="e">
        <f t="shared" ca="1" si="25"/>
        <v>#NAME?</v>
      </c>
    </row>
    <row r="463" spans="6:14" ht="13.2">
      <c r="F463" s="10" t="s">
        <v>642</v>
      </c>
      <c r="G463" s="10">
        <v>2</v>
      </c>
      <c r="H463" s="10" t="s">
        <v>1416</v>
      </c>
      <c r="I463" s="10">
        <f>2*45</f>
        <v>90</v>
      </c>
      <c r="J463" s="43" t="e">
        <f t="array" aca="1" ref="J463" ca="1">_xludf.XLOOKUP(F463, analysis!A:A, analysis!I:I)</f>
        <v>#NAME?</v>
      </c>
      <c r="K463" s="10" t="e">
        <f t="array" aca="1" ref="K463" ca="1">_xludf.XLOOKUP(F463, analysis!A:A, analysis!J:J)</f>
        <v>#NAME?</v>
      </c>
      <c r="L463" s="10" t="e">
        <f t="shared" ca="1" si="25"/>
        <v>#NAME?</v>
      </c>
    </row>
    <row r="464" spans="6:14" ht="13.2">
      <c r="F464" s="10" t="s">
        <v>700</v>
      </c>
      <c r="G464" s="10" t="s">
        <v>1592</v>
      </c>
      <c r="H464" s="10" t="s">
        <v>1444</v>
      </c>
      <c r="I464" s="10">
        <v>81</v>
      </c>
      <c r="J464" s="43" t="e">
        <f t="array" aca="1" ref="J464" ca="1">_xludf.XLOOKUP(F464, analysis!A:A, analysis!I:I)</f>
        <v>#NAME?</v>
      </c>
      <c r="K464" s="10" t="e">
        <f t="array" aca="1" ref="K464" ca="1">_xludf.XLOOKUP(F464, analysis!A:A, analysis!J:J)</f>
        <v>#NAME?</v>
      </c>
      <c r="L464" s="10" t="e">
        <f t="shared" ca="1" si="25"/>
        <v>#NAME?</v>
      </c>
    </row>
    <row r="465" spans="6:17" ht="13.2">
      <c r="F465" s="10" t="s">
        <v>646</v>
      </c>
      <c r="G465" s="10" t="s">
        <v>1509</v>
      </c>
      <c r="H465" s="10" t="s">
        <v>1489</v>
      </c>
      <c r="I465" s="10">
        <f>5*1.38</f>
        <v>6.8999999999999995</v>
      </c>
      <c r="J465" s="43" t="e">
        <f t="array" aca="1" ref="J465" ca="1">_xludf.XLOOKUP(F465, analysis!A:A, analysis!I:I)</f>
        <v>#NAME?</v>
      </c>
      <c r="K465" s="10" t="e">
        <f t="array" aca="1" ref="K465" ca="1">_xludf.XLOOKUP(F465, analysis!A:A, analysis!J:J)</f>
        <v>#NAME?</v>
      </c>
      <c r="L465" s="10" t="e">
        <f t="shared" ca="1" si="25"/>
        <v>#NAME?</v>
      </c>
    </row>
    <row r="466" spans="6:17" ht="13.2">
      <c r="F466" s="10" t="s">
        <v>581</v>
      </c>
      <c r="G466" s="10">
        <v>2</v>
      </c>
      <c r="H466" s="10" t="s">
        <v>1416</v>
      </c>
      <c r="I466" s="10">
        <f>75*20</f>
        <v>1500</v>
      </c>
      <c r="J466" s="43" t="e">
        <f t="array" aca="1" ref="J466" ca="1">_xludf.XLOOKUP(F466, analysis!A:A, analysis!I:I)</f>
        <v>#NAME?</v>
      </c>
      <c r="K466" s="10" t="e">
        <f t="array" aca="1" ref="K466" ca="1">_xludf.XLOOKUP(F466, analysis!A:A, analysis!J:J)</f>
        <v>#NAME?</v>
      </c>
      <c r="L466" s="10" t="e">
        <f t="shared" ca="1" si="25"/>
        <v>#NAME?</v>
      </c>
    </row>
    <row r="467" spans="6:17" ht="13.2">
      <c r="F467" s="10" t="s">
        <v>733</v>
      </c>
      <c r="G467" s="10" t="s">
        <v>1439</v>
      </c>
      <c r="H467" s="10">
        <v>0</v>
      </c>
      <c r="I467" s="10">
        <v>0</v>
      </c>
      <c r="J467" s="43" t="e">
        <f t="array" aca="1" ref="J467" ca="1">_xludf.XLOOKUP(F467, analysis!A:A, analysis!I:I)</f>
        <v>#NAME?</v>
      </c>
      <c r="K467" s="10" t="e">
        <f t="array" aca="1" ref="K467" ca="1">_xludf.XLOOKUP(F467, analysis!A:A, analysis!J:J)</f>
        <v>#NAME?</v>
      </c>
      <c r="L467" s="10" t="e">
        <f t="shared" ca="1" si="25"/>
        <v>#NAME?</v>
      </c>
    </row>
    <row r="468" spans="6:17" ht="13.2">
      <c r="F468" s="10" t="s">
        <v>1556</v>
      </c>
      <c r="G468" s="10">
        <v>4</v>
      </c>
      <c r="H468" s="10" t="s">
        <v>1416</v>
      </c>
      <c r="I468" s="10">
        <f>4*70</f>
        <v>280</v>
      </c>
      <c r="J468" s="43" t="e">
        <f t="array" aca="1" ref="J468" ca="1">_xludf.XLOOKUP(F468, analysis!A:A, analysis!I:I)</f>
        <v>#NAME?</v>
      </c>
      <c r="K468" s="10" t="e">
        <f t="array" aca="1" ref="K468" ca="1">_xludf.XLOOKUP(F468, analysis!A:A, analysis!J:J)</f>
        <v>#NAME?</v>
      </c>
      <c r="L468" s="10" t="e">
        <f t="shared" ca="1" si="25"/>
        <v>#NAME?</v>
      </c>
    </row>
    <row r="469" spans="6:17" ht="13.2">
      <c r="F469" s="10" t="s">
        <v>646</v>
      </c>
      <c r="G469" s="10" t="s">
        <v>1439</v>
      </c>
      <c r="H469" s="10">
        <v>0</v>
      </c>
      <c r="I469" s="10">
        <v>0</v>
      </c>
      <c r="J469" s="43" t="e">
        <f t="array" aca="1" ref="J469" ca="1">_xludf.XLOOKUP(F469, analysis!A:A, analysis!I:I)</f>
        <v>#NAME?</v>
      </c>
      <c r="K469" s="10" t="e">
        <f t="array" aca="1" ref="K469" ca="1">_xludf.XLOOKUP(F469, analysis!A:A, analysis!J:J)</f>
        <v>#NAME?</v>
      </c>
      <c r="L469" s="10" t="e">
        <f t="shared" ca="1" si="25"/>
        <v>#NAME?</v>
      </c>
    </row>
    <row r="470" spans="6:17" ht="13.2">
      <c r="F470" s="10" t="s">
        <v>1440</v>
      </c>
      <c r="G470" s="10" t="s">
        <v>1593</v>
      </c>
      <c r="H470" s="10">
        <v>0</v>
      </c>
      <c r="I470" s="10">
        <v>0</v>
      </c>
      <c r="J470" s="43" t="e">
        <f t="array" aca="1" ref="J470" ca="1">_xludf.XLOOKUP(F470, analysis!A:A, analysis!I:I)</f>
        <v>#NAME?</v>
      </c>
      <c r="K470" s="10" t="e">
        <f t="array" aca="1" ref="K470" ca="1">_xludf.XLOOKUP(F470, analysis!A:A, analysis!J:J)</f>
        <v>#NAME?</v>
      </c>
      <c r="L470" s="10" t="e">
        <f t="shared" ca="1" si="25"/>
        <v>#NAME?</v>
      </c>
    </row>
    <row r="471" spans="6:17" ht="13.2">
      <c r="F471" s="10" t="s">
        <v>733</v>
      </c>
      <c r="G471" s="10" t="s">
        <v>746</v>
      </c>
      <c r="H471" s="10" t="s">
        <v>1422</v>
      </c>
      <c r="I471" s="10">
        <f>0.927*15</f>
        <v>13.905000000000001</v>
      </c>
      <c r="J471" s="43" t="e">
        <f t="array" aca="1" ref="J471" ca="1">_xludf.XLOOKUP(F471, analysis!A:A, analysis!I:I)</f>
        <v>#NAME?</v>
      </c>
      <c r="K471" s="10" t="e">
        <f t="array" aca="1" ref="K471" ca="1">_xludf.XLOOKUP(F471, analysis!A:A, analysis!J:J)</f>
        <v>#NAME?</v>
      </c>
      <c r="L471" s="10" t="e">
        <f t="shared" ca="1" si="25"/>
        <v>#NAME?</v>
      </c>
    </row>
    <row r="472" spans="6:17" ht="13.2">
      <c r="F472" s="10" t="s">
        <v>1454</v>
      </c>
      <c r="G472" s="10">
        <v>4</v>
      </c>
      <c r="H472" s="10" t="s">
        <v>1416</v>
      </c>
      <c r="I472" s="10">
        <f>4*60</f>
        <v>240</v>
      </c>
      <c r="J472" s="43" t="e">
        <f t="array" aca="1" ref="J472" ca="1">_xludf.XLOOKUP(F472, analysis!A:A, analysis!I:I)</f>
        <v>#NAME?</v>
      </c>
      <c r="K472" s="10" t="e">
        <f t="array" aca="1" ref="K472" ca="1">_xludf.XLOOKUP(F472, analysis!A:A, analysis!J:J)</f>
        <v>#NAME?</v>
      </c>
      <c r="L472" s="10" t="e">
        <f t="shared" ca="1" si="25"/>
        <v>#NAME?</v>
      </c>
    </row>
    <row r="474" spans="6:17" ht="13.2">
      <c r="K474" s="20" t="s">
        <v>1441</v>
      </c>
      <c r="L474" s="37" t="e">
        <f ca="1">SUM(L442:L472)</f>
        <v>#NAME?</v>
      </c>
      <c r="M474" s="20" t="s">
        <v>1442</v>
      </c>
      <c r="N474" s="37">
        <f>SUM(N442:N453)</f>
        <v>529.08196727406653</v>
      </c>
    </row>
    <row r="476" spans="6:17" ht="13.2">
      <c r="F476" s="185" t="s">
        <v>720</v>
      </c>
      <c r="G476" s="180"/>
      <c r="H476" s="180"/>
      <c r="I476" s="180"/>
      <c r="J476" s="180"/>
      <c r="K476" s="180"/>
      <c r="L476" s="180"/>
      <c r="M476" s="180"/>
      <c r="N476" s="180"/>
      <c r="O476" s="180"/>
    </row>
    <row r="477" spans="6:17" ht="13.2">
      <c r="F477" s="18" t="s">
        <v>1408</v>
      </c>
      <c r="G477" s="18" t="s">
        <v>543</v>
      </c>
      <c r="H477" s="10" t="s">
        <v>1409</v>
      </c>
      <c r="I477" s="10" t="s">
        <v>1410</v>
      </c>
      <c r="J477" s="10" t="s">
        <v>1411</v>
      </c>
      <c r="K477" s="10" t="s">
        <v>1412</v>
      </c>
      <c r="L477" s="10" t="s">
        <v>1413</v>
      </c>
      <c r="M477" s="179" t="s">
        <v>1468</v>
      </c>
      <c r="N477" s="180"/>
      <c r="O477" s="10" t="s">
        <v>1415</v>
      </c>
    </row>
    <row r="478" spans="6:17" ht="13.2">
      <c r="F478" s="10" t="s">
        <v>733</v>
      </c>
      <c r="G478" s="10" t="s">
        <v>746</v>
      </c>
      <c r="H478" s="10" t="s">
        <v>1422</v>
      </c>
      <c r="I478" s="10">
        <f>15*0.927</f>
        <v>13.905000000000001</v>
      </c>
      <c r="J478" s="43" t="e">
        <f t="array" aca="1" ref="J478" ca="1">_xludf.XLOOKUP(F478, analysis!A:A, analysis!I:I)</f>
        <v>#NAME?</v>
      </c>
      <c r="K478" s="10" t="e">
        <f t="array" aca="1" ref="K478" ca="1">_xludf.XLOOKUP(F478, analysis!A:A, analysis!J:J)</f>
        <v>#NAME?</v>
      </c>
      <c r="L478" s="10" t="e">
        <f t="shared" ref="L478:L479" ca="1" si="26">K478*I478*J478/1000</f>
        <v>#NAME?</v>
      </c>
      <c r="M478" s="10" t="s">
        <v>1417</v>
      </c>
      <c r="P478" s="10" t="str">
        <f ca="1">IFERROR(__xludf.DUMMYFUNCTION("transpose(split(F478,CHAR(10)))"),"vegetable oil")</f>
        <v>vegetable oil</v>
      </c>
      <c r="Q478" s="10" t="str">
        <f ca="1">IFERROR(__xludf.DUMMYFUNCTION("transpose(split(G478,CHAR(10)))"),"15ml")</f>
        <v>15ml</v>
      </c>
    </row>
    <row r="479" spans="6:17" ht="13.2">
      <c r="F479" s="10" t="s">
        <v>1445</v>
      </c>
      <c r="G479" s="10" t="s">
        <v>1536</v>
      </c>
      <c r="H479" s="10" t="s">
        <v>1444</v>
      </c>
      <c r="I479" s="10">
        <v>225</v>
      </c>
      <c r="J479" s="43" t="e">
        <f t="array" aca="1" ref="J479" ca="1">_xludf.XLOOKUP(F479, analysis!A:A, analysis!I:I)</f>
        <v>#NAME?</v>
      </c>
      <c r="K479" s="10" t="e">
        <f t="array" aca="1" ref="K479" ca="1">_xludf.XLOOKUP(F479, analysis!A:A, analysis!J:J)</f>
        <v>#NAME?</v>
      </c>
      <c r="L479" s="10" t="e">
        <f t="shared" ca="1" si="26"/>
        <v>#NAME?</v>
      </c>
      <c r="M479" s="10" t="s">
        <v>1420</v>
      </c>
      <c r="N479" s="10">
        <f>1.1*(5/60)*59.9</f>
        <v>5.4908333333333337</v>
      </c>
    </row>
    <row r="480" spans="6:17" ht="13.2">
      <c r="F480" s="10" t="s">
        <v>1594</v>
      </c>
      <c r="G480" s="10" t="s">
        <v>721</v>
      </c>
      <c r="H480" s="10" t="s">
        <v>1444</v>
      </c>
      <c r="I480" s="10">
        <v>450</v>
      </c>
      <c r="J480" s="43">
        <v>1</v>
      </c>
      <c r="K480" s="10" t="e">
        <f ca="1">L1210</f>
        <v>#NAME?</v>
      </c>
      <c r="L480" s="10" t="e">
        <f ca="1">0.3*K480</f>
        <v>#NAME?</v>
      </c>
      <c r="M480" s="10" t="s">
        <v>1423</v>
      </c>
    </row>
    <row r="481" spans="6:17" ht="13.2">
      <c r="F481" s="10" t="s">
        <v>653</v>
      </c>
      <c r="G481" s="10" t="s">
        <v>1595</v>
      </c>
      <c r="H481" s="10" t="s">
        <v>1422</v>
      </c>
      <c r="I481" s="10">
        <v>250</v>
      </c>
      <c r="J481" s="43" t="e">
        <f t="array" aca="1" ref="J481" ca="1">_xludf.XLOOKUP(F481, analysis!A:A, analysis!I:I)</f>
        <v>#NAME?</v>
      </c>
      <c r="K481" s="10" t="e">
        <f t="array" aca="1" ref="K481" ca="1">_xludf.XLOOKUP(F481, analysis!A:A, analysis!J:J)</f>
        <v>#NAME?</v>
      </c>
      <c r="L481" s="10" t="e">
        <f t="shared" ref="L481:L485" ca="1" si="27">K481*I481*J481/1000</f>
        <v>#NAME?</v>
      </c>
      <c r="M481" s="10" t="s">
        <v>1425</v>
      </c>
      <c r="N481" s="10">
        <f>(I481*4.2*80/0.63+(5/60)*5773920)*(10^-6)*50</f>
        <v>30.724666666666668</v>
      </c>
    </row>
    <row r="482" spans="6:17" ht="13.2">
      <c r="F482" s="10" t="s">
        <v>646</v>
      </c>
      <c r="G482" s="10" t="s">
        <v>1439</v>
      </c>
      <c r="H482" s="10">
        <v>0</v>
      </c>
      <c r="I482" s="10">
        <v>0</v>
      </c>
      <c r="J482" s="43" t="e">
        <f t="array" aca="1" ref="J482" ca="1">_xludf.XLOOKUP(F482, analysis!A:A, analysis!I:I)</f>
        <v>#NAME?</v>
      </c>
      <c r="K482" s="10" t="e">
        <f t="array" aca="1" ref="K482" ca="1">_xludf.XLOOKUP(F482, analysis!A:A, analysis!J:J)</f>
        <v>#NAME?</v>
      </c>
      <c r="L482" s="10" t="e">
        <f t="shared" ca="1" si="27"/>
        <v>#NAME?</v>
      </c>
      <c r="M482" s="10" t="s">
        <v>1428</v>
      </c>
    </row>
    <row r="483" spans="6:17" ht="13.2">
      <c r="F483" s="10" t="s">
        <v>1440</v>
      </c>
      <c r="G483" s="10" t="s">
        <v>1439</v>
      </c>
      <c r="H483" s="10">
        <v>0</v>
      </c>
      <c r="I483" s="10">
        <v>0</v>
      </c>
      <c r="J483" s="43" t="e">
        <f t="array" aca="1" ref="J483" ca="1">_xludf.XLOOKUP(F483, analysis!A:A, analysis!I:I)</f>
        <v>#NAME?</v>
      </c>
      <c r="K483" s="10" t="e">
        <f t="array" aca="1" ref="K483" ca="1">_xludf.XLOOKUP(F483, analysis!A:A, analysis!J:J)</f>
        <v>#NAME?</v>
      </c>
      <c r="L483" s="10" t="e">
        <f t="shared" ca="1" si="27"/>
        <v>#NAME?</v>
      </c>
      <c r="M483" s="10" t="s">
        <v>1429</v>
      </c>
    </row>
    <row r="484" spans="6:17" ht="13.2">
      <c r="F484" s="10" t="s">
        <v>1421</v>
      </c>
      <c r="G484" s="10" t="s">
        <v>1439</v>
      </c>
      <c r="H484" s="10">
        <v>0</v>
      </c>
      <c r="I484" s="10">
        <v>0</v>
      </c>
      <c r="J484" s="43" t="e">
        <f t="array" aca="1" ref="J484" ca="1">_xludf.XLOOKUP(F484, analysis!A:A, analysis!I:I)</f>
        <v>#NAME?</v>
      </c>
      <c r="K484" s="10" t="e">
        <f t="array" aca="1" ref="K484" ca="1">_xludf.XLOOKUP(F484, analysis!A:A, analysis!J:J)</f>
        <v>#NAME?</v>
      </c>
      <c r="L484" s="10" t="e">
        <f t="shared" ca="1" si="27"/>
        <v>#NAME?</v>
      </c>
      <c r="M484" s="10" t="s">
        <v>1430</v>
      </c>
      <c r="N484" s="10">
        <f>(((I478*1.96*160)/0.63)+(5/60)*5773920)*(10^-6)*50</f>
        <v>24.404079999999997</v>
      </c>
    </row>
    <row r="485" spans="6:17" ht="13.2">
      <c r="F485" s="10" t="s">
        <v>1449</v>
      </c>
      <c r="G485" s="10" t="s">
        <v>1506</v>
      </c>
      <c r="H485" s="10" t="s">
        <v>1422</v>
      </c>
      <c r="I485" s="10">
        <f>30*0.11</f>
        <v>3.3</v>
      </c>
      <c r="J485" s="43" t="e">
        <f t="array" aca="1" ref="J485" ca="1">_xludf.XLOOKUP(F485, analysis!A:A, analysis!I:I)</f>
        <v>#NAME?</v>
      </c>
      <c r="K485" s="10" t="e">
        <f t="array" aca="1" ref="K485" ca="1">_xludf.XLOOKUP(F485, analysis!A:A, analysis!J:J)</f>
        <v>#NAME?</v>
      </c>
      <c r="L485" s="10" t="e">
        <f t="shared" ca="1" si="27"/>
        <v>#NAME?</v>
      </c>
      <c r="M485" s="10" t="s">
        <v>1432</v>
      </c>
    </row>
    <row r="486" spans="6:17" ht="13.2">
      <c r="M486" s="10" t="s">
        <v>1433</v>
      </c>
    </row>
    <row r="487" spans="6:17" ht="13.2">
      <c r="M487" s="10" t="s">
        <v>1434</v>
      </c>
    </row>
    <row r="488" spans="6:17" ht="13.2">
      <c r="M488" s="10" t="s">
        <v>1437</v>
      </c>
    </row>
    <row r="489" spans="6:17" ht="13.2">
      <c r="M489" s="10" t="s">
        <v>1474</v>
      </c>
    </row>
    <row r="491" spans="6:17" ht="13.2">
      <c r="K491" s="20" t="s">
        <v>1441</v>
      </c>
      <c r="L491" s="37" t="e">
        <f ca="1">SUM(L478:L489)</f>
        <v>#NAME?</v>
      </c>
      <c r="M491" s="20" t="s">
        <v>1442</v>
      </c>
      <c r="N491" s="37">
        <f>SUM(N478:N489)</f>
        <v>60.619579999999999</v>
      </c>
    </row>
    <row r="493" spans="6:17" ht="13.2">
      <c r="F493" s="184" t="s">
        <v>812</v>
      </c>
      <c r="G493" s="180"/>
      <c r="H493" s="180"/>
      <c r="I493" s="180"/>
      <c r="J493" s="180"/>
      <c r="K493" s="180"/>
      <c r="L493" s="180"/>
      <c r="M493" s="180"/>
      <c r="N493" s="180"/>
      <c r="O493" s="180"/>
    </row>
    <row r="494" spans="6:17" ht="13.2">
      <c r="F494" s="18" t="s">
        <v>1408</v>
      </c>
      <c r="G494" s="18" t="s">
        <v>543</v>
      </c>
      <c r="H494" s="10" t="s">
        <v>1409</v>
      </c>
      <c r="I494" s="10" t="s">
        <v>1410</v>
      </c>
      <c r="J494" s="10" t="s">
        <v>1411</v>
      </c>
      <c r="K494" s="10" t="s">
        <v>1412</v>
      </c>
      <c r="L494" s="10" t="s">
        <v>1413</v>
      </c>
      <c r="M494" s="179" t="s">
        <v>1468</v>
      </c>
      <c r="N494" s="180"/>
      <c r="O494" s="10" t="s">
        <v>1415</v>
      </c>
    </row>
    <row r="495" spans="6:17" ht="13.2">
      <c r="F495" s="10" t="s">
        <v>1421</v>
      </c>
      <c r="G495" s="10" t="s">
        <v>1596</v>
      </c>
      <c r="H495" s="10" t="s">
        <v>1422</v>
      </c>
      <c r="I495" s="10">
        <f>60*0.914</f>
        <v>54.84</v>
      </c>
      <c r="J495" s="43" t="e">
        <f t="array" aca="1" ref="J495" ca="1">_xludf.XLOOKUP(F495, analysis!A:A, analysis!I:I)</f>
        <v>#NAME?</v>
      </c>
      <c r="K495" s="10" t="e">
        <f t="array" aca="1" ref="K495" ca="1">_xludf.XLOOKUP(F495, analysis!A:A, analysis!J:J)</f>
        <v>#NAME?</v>
      </c>
      <c r="L495" s="10" t="e">
        <f t="shared" ref="L495:L503" ca="1" si="28">K495*I495*J495/1000</f>
        <v>#NAME?</v>
      </c>
      <c r="M495" s="10" t="s">
        <v>1417</v>
      </c>
      <c r="P495" s="10" t="str">
        <f ca="1">IFERROR(__xludf.DUMMYFUNCTION("transpose(split(F495,CHAR(10)))"),"olive oil")</f>
        <v>olive oil</v>
      </c>
      <c r="Q495" s="10" t="str">
        <f ca="1">IFERROR(__xludf.DUMMYFUNCTION("transpose(split(G495,CHAR(10)))"),"60ml")</f>
        <v>60ml</v>
      </c>
    </row>
    <row r="496" spans="6:17" ht="13.2">
      <c r="F496" s="10" t="s">
        <v>651</v>
      </c>
      <c r="G496" s="10">
        <v>1</v>
      </c>
      <c r="H496" s="10" t="s">
        <v>1416</v>
      </c>
      <c r="I496" s="10">
        <v>70</v>
      </c>
      <c r="J496" s="43" t="e">
        <f t="array" aca="1" ref="J496" ca="1">_xludf.XLOOKUP(F496, analysis!A:A, analysis!I:I)</f>
        <v>#NAME?</v>
      </c>
      <c r="K496" s="10" t="e">
        <f t="array" aca="1" ref="K496" ca="1">_xludf.XLOOKUP(F496, analysis!A:A, analysis!J:J)</f>
        <v>#NAME?</v>
      </c>
      <c r="L496" s="10" t="e">
        <f t="shared" ca="1" si="28"/>
        <v>#NAME?</v>
      </c>
      <c r="M496" s="10" t="s">
        <v>1420</v>
      </c>
      <c r="N496" s="10">
        <f>1.1*(5/60)*59.9</f>
        <v>5.4908333333333337</v>
      </c>
    </row>
    <row r="497" spans="4:17" ht="13.2">
      <c r="F497" s="10" t="s">
        <v>737</v>
      </c>
      <c r="G497" s="10">
        <v>2</v>
      </c>
      <c r="H497" s="10" t="s">
        <v>1416</v>
      </c>
      <c r="I497" s="10">
        <f>2*4.4</f>
        <v>8.8000000000000007</v>
      </c>
      <c r="J497" s="43" t="e">
        <f t="array" aca="1" ref="J497" ca="1">_xludf.XLOOKUP(F497, analysis!A:A, analysis!I:I)</f>
        <v>#NAME?</v>
      </c>
      <c r="K497" s="10" t="e">
        <f t="array" aca="1" ref="K497" ca="1">_xludf.XLOOKUP(F497, analysis!A:A, analysis!J:J)</f>
        <v>#NAME?</v>
      </c>
      <c r="L497" s="10" t="e">
        <f t="shared" ca="1" si="28"/>
        <v>#NAME?</v>
      </c>
      <c r="M497" s="10" t="s">
        <v>1423</v>
      </c>
    </row>
    <row r="498" spans="4:17" ht="13.2">
      <c r="F498" s="10" t="s">
        <v>1454</v>
      </c>
      <c r="G498" s="10" t="s">
        <v>1517</v>
      </c>
      <c r="H498" s="10" t="s">
        <v>1444</v>
      </c>
      <c r="I498" s="10">
        <v>200</v>
      </c>
      <c r="J498" s="43" t="e">
        <f t="array" aca="1" ref="J498" ca="1">_xludf.XLOOKUP(F498, analysis!A:A, analysis!I:I)</f>
        <v>#NAME?</v>
      </c>
      <c r="K498" s="10" t="e">
        <f t="array" aca="1" ref="K498" ca="1">_xludf.XLOOKUP(F498, analysis!A:A, analysis!J:J)</f>
        <v>#NAME?</v>
      </c>
      <c r="L498" s="10" t="e">
        <f t="shared" ca="1" si="28"/>
        <v>#NAME?</v>
      </c>
      <c r="M498" s="10" t="s">
        <v>1425</v>
      </c>
      <c r="N498" s="10">
        <f>(I500*4.2*80/0.63+(15/60)*5773920)*(10^-6)*50</f>
        <v>125.50733333333335</v>
      </c>
    </row>
    <row r="499" spans="4:17" ht="13.2">
      <c r="F499" s="10" t="s">
        <v>675</v>
      </c>
      <c r="G499" s="10" t="s">
        <v>1597</v>
      </c>
      <c r="H499" s="10" t="s">
        <v>1444</v>
      </c>
      <c r="I499" s="10">
        <v>675</v>
      </c>
      <c r="J499" s="43" t="e">
        <f t="array" aca="1" ref="J499" ca="1">_xludf.XLOOKUP(F499, analysis!A:A, analysis!I:I)</f>
        <v>#NAME?</v>
      </c>
      <c r="K499" s="10" t="e">
        <f t="array" aca="1" ref="K499" ca="1">_xludf.XLOOKUP(F499, analysis!A:A, analysis!J:J)</f>
        <v>#NAME?</v>
      </c>
      <c r="L499" s="10" t="e">
        <f t="shared" ca="1" si="28"/>
        <v>#NAME?</v>
      </c>
      <c r="M499" s="10" t="s">
        <v>1428</v>
      </c>
    </row>
    <row r="500" spans="4:17" ht="13.2">
      <c r="F500" s="10" t="s">
        <v>653</v>
      </c>
      <c r="G500" s="10" t="s">
        <v>1598</v>
      </c>
      <c r="H500" s="10" t="s">
        <v>1599</v>
      </c>
      <c r="I500" s="10">
        <v>2000</v>
      </c>
      <c r="J500" s="43" t="e">
        <f t="array" aca="1" ref="J500" ca="1">_xludf.XLOOKUP(F500, analysis!A:A, analysis!I:I)</f>
        <v>#NAME?</v>
      </c>
      <c r="K500" s="10" t="e">
        <f t="array" aca="1" ref="K500" ca="1">_xludf.XLOOKUP(F500, analysis!A:A, analysis!J:J)</f>
        <v>#NAME?</v>
      </c>
      <c r="L500" s="10" t="e">
        <f t="shared" ca="1" si="28"/>
        <v>#NAME?</v>
      </c>
      <c r="M500" s="10" t="s">
        <v>1429</v>
      </c>
    </row>
    <row r="501" spans="4:17" ht="13.2">
      <c r="F501" s="10" t="s">
        <v>1588</v>
      </c>
      <c r="G501" s="10" t="s">
        <v>726</v>
      </c>
      <c r="H501" s="10" t="s">
        <v>1444</v>
      </c>
      <c r="I501" s="10">
        <v>350</v>
      </c>
      <c r="J501" s="43" t="e">
        <f t="array" aca="1" ref="J501" ca="1">_xludf.XLOOKUP(F501, analysis!A:A, analysis!I:I)</f>
        <v>#NAME?</v>
      </c>
      <c r="K501" s="10" t="e">
        <f t="array" aca="1" ref="K501" ca="1">_xludf.XLOOKUP(F501, analysis!A:A, analysis!J:J)</f>
        <v>#NAME?</v>
      </c>
      <c r="L501" s="10" t="e">
        <f t="shared" ca="1" si="28"/>
        <v>#NAME?</v>
      </c>
      <c r="M501" s="10" t="s">
        <v>1430</v>
      </c>
      <c r="N501" s="10">
        <f>(((I495*1.97*160)/0.63)+(9/60)*5773920+(2/60)*5773920)*10^-6*50</f>
        <v>54.299470476190479</v>
      </c>
    </row>
    <row r="502" spans="4:17" ht="13.2">
      <c r="F502" s="10" t="s">
        <v>646</v>
      </c>
      <c r="G502" s="10" t="s">
        <v>1439</v>
      </c>
      <c r="H502" s="10">
        <v>0</v>
      </c>
      <c r="I502" s="10">
        <v>0</v>
      </c>
      <c r="J502" s="43" t="e">
        <f t="array" aca="1" ref="J502" ca="1">_xludf.XLOOKUP(F502, analysis!A:A, analysis!I:I)</f>
        <v>#NAME?</v>
      </c>
      <c r="K502" s="10" t="e">
        <f t="array" aca="1" ref="K502" ca="1">_xludf.XLOOKUP(F502, analysis!A:A, analysis!J:J)</f>
        <v>#NAME?</v>
      </c>
      <c r="L502" s="10" t="e">
        <f t="shared" ca="1" si="28"/>
        <v>#NAME?</v>
      </c>
      <c r="M502" s="10" t="s">
        <v>1432</v>
      </c>
    </row>
    <row r="503" spans="4:17" ht="13.2">
      <c r="F503" s="10" t="s">
        <v>1440</v>
      </c>
      <c r="G503" s="10" t="s">
        <v>1439</v>
      </c>
      <c r="H503" s="10">
        <v>0</v>
      </c>
      <c r="I503" s="10">
        <v>0</v>
      </c>
      <c r="J503" s="43" t="e">
        <f t="array" aca="1" ref="J503" ca="1">_xludf.XLOOKUP(F503, analysis!A:A, analysis!I:I)</f>
        <v>#NAME?</v>
      </c>
      <c r="K503" s="10" t="e">
        <f t="array" aca="1" ref="K503" ca="1">_xludf.XLOOKUP(F503, analysis!A:A, analysis!J:J)</f>
        <v>#NAME?</v>
      </c>
      <c r="L503" s="10" t="e">
        <f t="shared" ca="1" si="28"/>
        <v>#NAME?</v>
      </c>
      <c r="M503" s="10" t="s">
        <v>1433</v>
      </c>
    </row>
    <row r="504" spans="4:17" ht="13.2">
      <c r="M504" s="10" t="s">
        <v>1434</v>
      </c>
    </row>
    <row r="505" spans="4:17" ht="13.2">
      <c r="M505" s="10" t="s">
        <v>1437</v>
      </c>
      <c r="N505" s="10">
        <f>((2.5/60)*5773920)*(10^-6)*50</f>
        <v>12.029</v>
      </c>
    </row>
    <row r="506" spans="4:17" ht="13.2">
      <c r="M506" s="10" t="s">
        <v>1474</v>
      </c>
    </row>
    <row r="508" spans="4:17" ht="13.2">
      <c r="K508" s="20" t="s">
        <v>1441</v>
      </c>
      <c r="L508" s="37" t="e">
        <f ca="1">SUM(L495:L503)</f>
        <v>#NAME?</v>
      </c>
      <c r="M508" s="20" t="s">
        <v>1442</v>
      </c>
      <c r="N508" s="37">
        <f>SUM(N495:N506)</f>
        <v>197.32663714285718</v>
      </c>
    </row>
    <row r="510" spans="4:17" ht="13.2">
      <c r="F510" s="185" t="s">
        <v>1140</v>
      </c>
      <c r="G510" s="180"/>
      <c r="H510" s="180"/>
      <c r="I510" s="180"/>
      <c r="J510" s="180"/>
      <c r="K510" s="180"/>
      <c r="L510" s="180"/>
      <c r="M510" s="180"/>
      <c r="N510" s="180"/>
      <c r="O510" s="180"/>
    </row>
    <row r="511" spans="4:17" ht="13.2">
      <c r="F511" s="18" t="s">
        <v>1408</v>
      </c>
      <c r="G511" s="18" t="s">
        <v>543</v>
      </c>
      <c r="H511" s="10" t="s">
        <v>1409</v>
      </c>
      <c r="I511" s="10" t="s">
        <v>1410</v>
      </c>
      <c r="J511" s="10" t="s">
        <v>1411</v>
      </c>
      <c r="K511" s="10" t="s">
        <v>1412</v>
      </c>
      <c r="L511" s="10" t="s">
        <v>1413</v>
      </c>
      <c r="M511" s="179" t="s">
        <v>1468</v>
      </c>
      <c r="N511" s="180"/>
      <c r="O511" s="10" t="s">
        <v>1415</v>
      </c>
    </row>
    <row r="512" spans="4:17" ht="13.2">
      <c r="D512" s="18"/>
      <c r="E512" s="18"/>
      <c r="F512" s="18" t="s">
        <v>675</v>
      </c>
      <c r="G512" s="18" t="s">
        <v>1600</v>
      </c>
      <c r="H512" s="10" t="s">
        <v>1427</v>
      </c>
      <c r="I512" s="10">
        <v>1500</v>
      </c>
      <c r="J512" s="43" t="e">
        <f t="array" aca="1" ref="J512" ca="1">_xludf.XLOOKUP(F512, analysis!A:A, analysis!I:I)</f>
        <v>#NAME?</v>
      </c>
      <c r="K512" s="10" t="e">
        <f t="array" aca="1" ref="K512" ca="1">_xludf.XLOOKUP(F512, analysis!A:A, analysis!J:J)</f>
        <v>#NAME?</v>
      </c>
      <c r="L512" s="10" t="e">
        <f t="shared" ref="L512:L522" ca="1" si="29">K512*I512*J512/1000</f>
        <v>#NAME?</v>
      </c>
      <c r="M512" s="10" t="s">
        <v>1417</v>
      </c>
      <c r="P512" s="10" t="str">
        <f ca="1">IFERROR(__xludf.DUMMYFUNCTION("transpose(split(F512,CHAR(10)))"),"potato")</f>
        <v>potato</v>
      </c>
      <c r="Q512" s="10" t="str">
        <f ca="1">IFERROR(__xludf.DUMMYFUNCTION("transpose(split(G512,CHAR(10)))"),"1.5kg")</f>
        <v>1.5kg</v>
      </c>
    </row>
    <row r="513" spans="4:17" ht="13.2">
      <c r="F513" s="10" t="s">
        <v>646</v>
      </c>
      <c r="G513" s="10" t="s">
        <v>1439</v>
      </c>
      <c r="H513" s="10">
        <v>0</v>
      </c>
      <c r="I513" s="10">
        <v>0</v>
      </c>
      <c r="J513" s="43" t="e">
        <f t="array" aca="1" ref="J513" ca="1">_xludf.XLOOKUP(F513, analysis!A:A, analysis!I:I)</f>
        <v>#NAME?</v>
      </c>
      <c r="K513" s="10" t="e">
        <f t="array" aca="1" ref="K513" ca="1">_xludf.XLOOKUP(F513, analysis!A:A, analysis!J:J)</f>
        <v>#NAME?</v>
      </c>
      <c r="L513" s="10" t="e">
        <f t="shared" ca="1" si="29"/>
        <v>#NAME?</v>
      </c>
      <c r="M513" s="10" t="s">
        <v>1420</v>
      </c>
    </row>
    <row r="514" spans="4:17" ht="13.2">
      <c r="F514" s="10" t="s">
        <v>1454</v>
      </c>
      <c r="G514" s="10" t="s">
        <v>1484</v>
      </c>
      <c r="H514" s="10" t="s">
        <v>1444</v>
      </c>
      <c r="I514" s="10">
        <v>226</v>
      </c>
      <c r="J514" s="43" t="e">
        <f t="array" aca="1" ref="J514" ca="1">_xludf.XLOOKUP(F514, analysis!A:A, analysis!I:I)</f>
        <v>#NAME?</v>
      </c>
      <c r="K514" s="10" t="e">
        <f t="array" aca="1" ref="K514" ca="1">_xludf.XLOOKUP(F514, analysis!A:A, analysis!J:J)</f>
        <v>#NAME?</v>
      </c>
      <c r="L514" s="10" t="e">
        <f t="shared" ca="1" si="29"/>
        <v>#NAME?</v>
      </c>
      <c r="M514" s="10" t="s">
        <v>1423</v>
      </c>
    </row>
    <row r="515" spans="4:17" ht="13.2">
      <c r="F515" s="10" t="s">
        <v>651</v>
      </c>
      <c r="G515" s="10">
        <v>1</v>
      </c>
      <c r="H515" s="10" t="s">
        <v>1416</v>
      </c>
      <c r="I515" s="10">
        <v>70</v>
      </c>
      <c r="J515" s="43" t="e">
        <f t="array" aca="1" ref="J515" ca="1">_xludf.XLOOKUP(F515, analysis!A:A, analysis!I:I)</f>
        <v>#NAME?</v>
      </c>
      <c r="K515" s="10" t="e">
        <f t="array" aca="1" ref="K515" ca="1">_xludf.XLOOKUP(F515, analysis!A:A, analysis!J:J)</f>
        <v>#NAME?</v>
      </c>
      <c r="L515" s="10" t="e">
        <f t="shared" ca="1" si="29"/>
        <v>#NAME?</v>
      </c>
      <c r="M515" s="10" t="s">
        <v>1425</v>
      </c>
      <c r="N515" s="10">
        <f>(2/3*4700*4.2*80/0.63+(17.5/60)*5773920)*(10^-6)*50</f>
        <v>167.75855555555555</v>
      </c>
    </row>
    <row r="516" spans="4:17" ht="13.2">
      <c r="F516" s="10" t="s">
        <v>1485</v>
      </c>
      <c r="G516" s="10" t="s">
        <v>1601</v>
      </c>
      <c r="H516" s="10" t="s">
        <v>1444</v>
      </c>
      <c r="I516" s="10">
        <v>25</v>
      </c>
      <c r="J516" s="43" t="e">
        <f t="array" aca="1" ref="J516" ca="1">_xludf.XLOOKUP(F516, analysis!A:A, analysis!I:I)</f>
        <v>#NAME?</v>
      </c>
      <c r="K516" s="10" t="e">
        <f t="array" aca="1" ref="K516" ca="1">_xludf.XLOOKUP(F516, analysis!A:A, analysis!J:J)</f>
        <v>#NAME?</v>
      </c>
      <c r="L516" s="10" t="e">
        <f t="shared" ca="1" si="29"/>
        <v>#NAME?</v>
      </c>
      <c r="M516" s="10" t="s">
        <v>1428</v>
      </c>
    </row>
    <row r="517" spans="4:17" ht="13.2">
      <c r="F517" s="10" t="s">
        <v>1483</v>
      </c>
      <c r="G517" s="10" t="s">
        <v>1484</v>
      </c>
      <c r="H517" s="10" t="s">
        <v>1444</v>
      </c>
      <c r="I517" s="10">
        <v>226</v>
      </c>
      <c r="J517" s="43" t="e">
        <f t="array" aca="1" ref="J517" ca="1">_xludf.XLOOKUP(F517, analysis!A:A, analysis!I:I)</f>
        <v>#NAME?</v>
      </c>
      <c r="K517" s="10" t="e">
        <f t="array" aca="1" ref="K517" ca="1">_xludf.XLOOKUP(F517, analysis!A:A, analysis!J:J)</f>
        <v>#NAME?</v>
      </c>
      <c r="L517" s="10" t="e">
        <f t="shared" ca="1" si="29"/>
        <v>#NAME?</v>
      </c>
      <c r="M517" s="10" t="s">
        <v>1429</v>
      </c>
    </row>
    <row r="518" spans="4:17" ht="13.2">
      <c r="F518" s="10" t="s">
        <v>1535</v>
      </c>
      <c r="G518" s="10" t="s">
        <v>1602</v>
      </c>
      <c r="H518" s="10" t="s">
        <v>1444</v>
      </c>
      <c r="I518" s="10">
        <v>198</v>
      </c>
      <c r="J518" s="43" t="e">
        <f t="array" aca="1" ref="J518" ca="1">_xludf.XLOOKUP(F518, analysis!A:A, analysis!I:I)</f>
        <v>#NAME?</v>
      </c>
      <c r="K518" s="10" t="e">
        <f t="array" aca="1" ref="K518" ca="1">_xludf.XLOOKUP(F518, analysis!A:A, analysis!J:J)</f>
        <v>#NAME?</v>
      </c>
      <c r="L518" s="10" t="e">
        <f t="shared" ca="1" si="29"/>
        <v>#NAME?</v>
      </c>
      <c r="M518" s="10" t="s">
        <v>1430</v>
      </c>
      <c r="N518" s="10">
        <f>(((I522/2*1.97*160)/0.63)+(15/60)*5773920)*10^-6*50+(((I522/2*1.97*160)/0.63)+(15/60)*5773920)*10^-6*50</f>
        <v>149.83548190476191</v>
      </c>
    </row>
    <row r="519" spans="4:17" ht="13.2">
      <c r="F519" s="10" t="s">
        <v>1449</v>
      </c>
      <c r="G519" s="10" t="s">
        <v>1603</v>
      </c>
      <c r="H519" s="10" t="s">
        <v>1444</v>
      </c>
      <c r="I519" s="10">
        <v>30</v>
      </c>
      <c r="J519" s="43" t="e">
        <f t="array" aca="1" ref="J519" ca="1">_xludf.XLOOKUP(F519, analysis!A:A, analysis!I:I)</f>
        <v>#NAME?</v>
      </c>
      <c r="K519" s="10" t="e">
        <f t="array" aca="1" ref="K519" ca="1">_xludf.XLOOKUP(F519, analysis!A:A, analysis!J:J)</f>
        <v>#NAME?</v>
      </c>
      <c r="L519" s="10" t="e">
        <f t="shared" ca="1" si="29"/>
        <v>#NAME?</v>
      </c>
      <c r="M519" s="10" t="s">
        <v>1432</v>
      </c>
    </row>
    <row r="520" spans="4:17" ht="13.2">
      <c r="F520" s="10" t="s">
        <v>1440</v>
      </c>
      <c r="G520" s="10" t="s">
        <v>1439</v>
      </c>
      <c r="H520" s="10">
        <v>0</v>
      </c>
      <c r="I520" s="10">
        <v>0</v>
      </c>
      <c r="J520" s="43" t="e">
        <f t="array" aca="1" ref="J520" ca="1">_xludf.XLOOKUP(F520, analysis!A:A, analysis!I:I)</f>
        <v>#NAME?</v>
      </c>
      <c r="K520" s="10" t="e">
        <f t="array" aca="1" ref="K520" ca="1">_xludf.XLOOKUP(F520, analysis!A:A, analysis!J:J)</f>
        <v>#NAME?</v>
      </c>
      <c r="L520" s="10" t="e">
        <f t="shared" ca="1" si="29"/>
        <v>#NAME?</v>
      </c>
      <c r="M520" s="10" t="s">
        <v>1433</v>
      </c>
    </row>
    <row r="521" spans="4:17" ht="13.2">
      <c r="F521" s="10" t="s">
        <v>652</v>
      </c>
      <c r="G521" s="10" t="s">
        <v>1478</v>
      </c>
      <c r="H521" s="10" t="s">
        <v>1444</v>
      </c>
      <c r="I521" s="10">
        <v>57</v>
      </c>
      <c r="J521" s="43" t="e">
        <f t="array" aca="1" ref="J521" ca="1">_xludf.XLOOKUP(F521, analysis!A:A, analysis!I:I)</f>
        <v>#NAME?</v>
      </c>
      <c r="K521" s="10" t="e">
        <f t="array" aca="1" ref="K521" ca="1">_xludf.XLOOKUP(F521, analysis!A:A, analysis!J:J)</f>
        <v>#NAME?</v>
      </c>
      <c r="L521" s="10" t="e">
        <f t="shared" ca="1" si="29"/>
        <v>#NAME?</v>
      </c>
      <c r="M521" s="10" t="s">
        <v>1434</v>
      </c>
    </row>
    <row r="522" spans="4:17" ht="13.2">
      <c r="F522" s="10" t="s">
        <v>1421</v>
      </c>
      <c r="G522" s="10" t="s">
        <v>1492</v>
      </c>
      <c r="H522" s="10" t="s">
        <v>1422</v>
      </c>
      <c r="I522" s="10">
        <f>0.914*240</f>
        <v>219.36</v>
      </c>
      <c r="J522" s="43" t="e">
        <f t="array" aca="1" ref="J522" ca="1">_xludf.XLOOKUP(F522, analysis!A:A, analysis!I:I)</f>
        <v>#NAME?</v>
      </c>
      <c r="K522" s="10" t="e">
        <f t="array" aca="1" ref="K522" ca="1">_xludf.XLOOKUP(F522, analysis!A:A, analysis!J:J)</f>
        <v>#NAME?</v>
      </c>
      <c r="L522" s="10" t="e">
        <f t="shared" ca="1" si="29"/>
        <v>#NAME?</v>
      </c>
      <c r="M522" s="10" t="s">
        <v>1437</v>
      </c>
    </row>
    <row r="523" spans="4:17" ht="13.2">
      <c r="M523" s="10" t="s">
        <v>1474</v>
      </c>
    </row>
    <row r="525" spans="4:17" ht="13.2">
      <c r="K525" s="20" t="s">
        <v>1441</v>
      </c>
      <c r="L525" s="37" t="e">
        <f ca="1">SUM(L512:L522)</f>
        <v>#NAME?</v>
      </c>
      <c r="M525" s="20" t="s">
        <v>1442</v>
      </c>
      <c r="N525" s="37">
        <f>SUM(N512:N523)</f>
        <v>317.59403746031745</v>
      </c>
    </row>
    <row r="526" spans="4:17" ht="13.2">
      <c r="F526" s="185" t="s">
        <v>1225</v>
      </c>
      <c r="G526" s="180"/>
      <c r="H526" s="180"/>
      <c r="I526" s="180"/>
      <c r="J526" s="180"/>
      <c r="K526" s="180"/>
      <c r="L526" s="180"/>
      <c r="M526" s="180"/>
      <c r="N526" s="180"/>
      <c r="O526" s="180"/>
    </row>
    <row r="527" spans="4:17" ht="13.2">
      <c r="F527" s="18" t="s">
        <v>1408</v>
      </c>
      <c r="G527" s="18" t="s">
        <v>543</v>
      </c>
      <c r="H527" s="10" t="s">
        <v>1409</v>
      </c>
      <c r="I527" s="10" t="s">
        <v>1410</v>
      </c>
      <c r="J527" s="10" t="s">
        <v>1411</v>
      </c>
      <c r="K527" s="10" t="s">
        <v>1412</v>
      </c>
      <c r="L527" s="10" t="s">
        <v>1413</v>
      </c>
      <c r="M527" s="179" t="s">
        <v>1468</v>
      </c>
      <c r="N527" s="180"/>
      <c r="O527" s="10" t="s">
        <v>1415</v>
      </c>
    </row>
    <row r="528" spans="4:17" ht="13.2">
      <c r="D528" s="18" t="s">
        <v>1225</v>
      </c>
      <c r="E528" s="18" t="s">
        <v>1226</v>
      </c>
      <c r="F528" s="18" t="s">
        <v>1604</v>
      </c>
      <c r="G528" s="18" t="s">
        <v>1479</v>
      </c>
      <c r="H528" s="10" t="s">
        <v>1444</v>
      </c>
      <c r="I528" s="10">
        <v>454</v>
      </c>
      <c r="J528" s="43">
        <v>1</v>
      </c>
      <c r="K528" s="10" t="e">
        <f ca="1">L381+N381</f>
        <v>#NAME?</v>
      </c>
      <c r="L528" s="10" t="e">
        <f ca="1">(I528/SUM(I368:I378))*K528</f>
        <v>#NAME?</v>
      </c>
      <c r="M528" s="10" t="s">
        <v>1417</v>
      </c>
      <c r="P528" s="10" t="str">
        <f ca="1">IFERROR(__xludf.DUMMYFUNCTION("transpose(split(F528,CHAR(10)))"),"feiojoada leftover")</f>
        <v>feiojoada leftover</v>
      </c>
      <c r="Q528" s="10" t="str">
        <f ca="1">IFERROR(__xludf.DUMMYFUNCTION("transpose(split(G528,CHAR(10)))"),"454g")</f>
        <v>454g</v>
      </c>
    </row>
    <row r="529" spans="6:15" ht="13.2">
      <c r="F529" s="10" t="s">
        <v>653</v>
      </c>
      <c r="G529" s="10" t="s">
        <v>1496</v>
      </c>
      <c r="H529" s="10" t="s">
        <v>1422</v>
      </c>
      <c r="I529" s="10">
        <v>450</v>
      </c>
      <c r="J529" s="43" t="e">
        <f t="array" aca="1" ref="J529" ca="1">_xludf.XLOOKUP(F529, analysis!A:A, analysis!I:I)</f>
        <v>#NAME?</v>
      </c>
      <c r="K529" s="10" t="e">
        <f t="array" aca="1" ref="K529" ca="1">_xludf.XLOOKUP(F529, analysis!A:A, analysis!J:J)</f>
        <v>#NAME?</v>
      </c>
      <c r="L529" s="10" t="e">
        <f t="shared" ref="L529:L539" ca="1" si="30">K529*I529*J529/1000</f>
        <v>#NAME?</v>
      </c>
      <c r="M529" s="10" t="s">
        <v>1420</v>
      </c>
      <c r="N529" s="10">
        <f>1.1*(5/60)*59.9</f>
        <v>5.4908333333333337</v>
      </c>
    </row>
    <row r="530" spans="6:15" ht="13.2">
      <c r="F530" s="10" t="s">
        <v>646</v>
      </c>
      <c r="G530" s="10" t="s">
        <v>1439</v>
      </c>
      <c r="H530" s="10">
        <v>0</v>
      </c>
      <c r="I530" s="10">
        <v>0</v>
      </c>
      <c r="J530" s="43" t="e">
        <f t="array" aca="1" ref="J530" ca="1">_xludf.XLOOKUP(F530, analysis!A:A, analysis!I:I)</f>
        <v>#NAME?</v>
      </c>
      <c r="K530" s="10" t="e">
        <f t="array" aca="1" ref="K530" ca="1">_xludf.XLOOKUP(F530, analysis!A:A, analysis!J:J)</f>
        <v>#NAME?</v>
      </c>
      <c r="L530" s="10" t="e">
        <f t="shared" ca="1" si="30"/>
        <v>#NAME?</v>
      </c>
      <c r="M530" s="10" t="s">
        <v>1423</v>
      </c>
    </row>
    <row r="531" spans="6:15" ht="13.2">
      <c r="F531" s="10" t="s">
        <v>1440</v>
      </c>
      <c r="G531" s="10" t="s">
        <v>1439</v>
      </c>
      <c r="H531" s="10">
        <v>0</v>
      </c>
      <c r="I531" s="10">
        <v>0</v>
      </c>
      <c r="J531" s="43" t="e">
        <f t="array" aca="1" ref="J531" ca="1">_xludf.XLOOKUP(F531, analysis!A:A, analysis!I:I)</f>
        <v>#NAME?</v>
      </c>
      <c r="K531" s="10" t="e">
        <f t="array" aca="1" ref="K531" ca="1">_xludf.XLOOKUP(F531, analysis!A:A, analysis!J:J)</f>
        <v>#NAME?</v>
      </c>
      <c r="L531" s="10" t="e">
        <f t="shared" ca="1" si="30"/>
        <v>#NAME?</v>
      </c>
      <c r="M531" s="10" t="s">
        <v>1425</v>
      </c>
    </row>
    <row r="532" spans="6:15" ht="13.2">
      <c r="F532" s="10" t="s">
        <v>1585</v>
      </c>
      <c r="G532" s="10" t="s">
        <v>1605</v>
      </c>
      <c r="H532" s="10" t="s">
        <v>1444</v>
      </c>
      <c r="I532" s="10">
        <v>210</v>
      </c>
      <c r="J532" s="43" t="e">
        <f t="array" aca="1" ref="J532" ca="1">_xludf.XLOOKUP(F532, analysis!A:A, analysis!I:I)</f>
        <v>#NAME?</v>
      </c>
      <c r="K532" s="10" t="e">
        <f t="array" aca="1" ref="K532" ca="1">_xludf.XLOOKUP(F532, analysis!A:A, analysis!J:J)</f>
        <v>#NAME?</v>
      </c>
      <c r="L532" s="10" t="e">
        <f t="shared" ca="1" si="30"/>
        <v>#NAME?</v>
      </c>
      <c r="M532" s="10" t="s">
        <v>1428</v>
      </c>
    </row>
    <row r="533" spans="6:15" ht="13.2">
      <c r="F533" s="10" t="s">
        <v>1421</v>
      </c>
      <c r="G533" s="10" t="s">
        <v>1489</v>
      </c>
      <c r="H533" s="10" t="s">
        <v>1489</v>
      </c>
      <c r="I533" s="10">
        <f>5*0.914</f>
        <v>4.57</v>
      </c>
      <c r="J533" s="43" t="e">
        <f t="array" aca="1" ref="J533" ca="1">_xludf.XLOOKUP(F533, analysis!A:A, analysis!I:I)</f>
        <v>#NAME?</v>
      </c>
      <c r="K533" s="10" t="e">
        <f t="array" aca="1" ref="K533" ca="1">_xludf.XLOOKUP(F533, analysis!A:A, analysis!J:J)</f>
        <v>#NAME?</v>
      </c>
      <c r="L533" s="10" t="e">
        <f t="shared" ca="1" si="30"/>
        <v>#NAME?</v>
      </c>
      <c r="M533" s="10" t="s">
        <v>1429</v>
      </c>
      <c r="N533" s="10">
        <f>((12^2*PI()*8*0.927*1.96*160/0.63)+(5/60)*5773920)*(10^-6)*50</f>
        <v>107.55821521057452</v>
      </c>
    </row>
    <row r="534" spans="6:15" ht="13.2">
      <c r="F534" s="10" t="s">
        <v>1445</v>
      </c>
      <c r="G534" s="10" t="s">
        <v>1606</v>
      </c>
      <c r="H534" s="10" t="s">
        <v>1444</v>
      </c>
      <c r="I534" s="10">
        <v>170</v>
      </c>
      <c r="J534" s="43" t="e">
        <f t="array" aca="1" ref="J534" ca="1">_xludf.XLOOKUP(F534, analysis!A:A, analysis!I:I)</f>
        <v>#NAME?</v>
      </c>
      <c r="K534" s="10" t="e">
        <f t="array" aca="1" ref="K534" ca="1">_xludf.XLOOKUP(F534, analysis!A:A, analysis!J:J)</f>
        <v>#NAME?</v>
      </c>
      <c r="L534" s="10" t="e">
        <f t="shared" ca="1" si="30"/>
        <v>#NAME?</v>
      </c>
      <c r="M534" s="10" t="s">
        <v>1430</v>
      </c>
      <c r="N534" s="10">
        <f>(((I533*1.97*160)/0.63)+(3/60)*5773920+(0.5/60)*5773920+(6.5/60)*5773920)*10^-6*50</f>
        <v>48.23032253968254</v>
      </c>
    </row>
    <row r="535" spans="6:15" ht="13.2">
      <c r="F535" s="10" t="s">
        <v>737</v>
      </c>
      <c r="G535" s="10">
        <v>3</v>
      </c>
      <c r="H535" s="10" t="s">
        <v>1416</v>
      </c>
      <c r="I535" s="10">
        <f>3*4.4</f>
        <v>13.200000000000001</v>
      </c>
      <c r="J535" s="43" t="e">
        <f t="array" aca="1" ref="J535" ca="1">_xludf.XLOOKUP(F535, analysis!A:A, analysis!I:I)</f>
        <v>#NAME?</v>
      </c>
      <c r="K535" s="10" t="e">
        <f t="array" aca="1" ref="K535" ca="1">_xludf.XLOOKUP(F535, analysis!A:A, analysis!J:J)</f>
        <v>#NAME?</v>
      </c>
      <c r="L535" s="10" t="e">
        <f t="shared" ca="1" si="30"/>
        <v>#NAME?</v>
      </c>
      <c r="M535" s="10" t="s">
        <v>1432</v>
      </c>
    </row>
    <row r="536" spans="6:15" ht="13.2">
      <c r="F536" s="10" t="s">
        <v>1588</v>
      </c>
      <c r="G536" s="10" t="s">
        <v>1607</v>
      </c>
      <c r="H536" s="10" t="s">
        <v>1436</v>
      </c>
      <c r="I536" s="10">
        <v>42</v>
      </c>
      <c r="J536" s="43" t="e">
        <f t="array" aca="1" ref="J536" ca="1">_xludf.XLOOKUP(F536, analysis!A:A, analysis!I:I)</f>
        <v>#NAME?</v>
      </c>
      <c r="K536" s="10" t="e">
        <f t="array" aca="1" ref="K536" ca="1">_xludf.XLOOKUP(F536, analysis!A:A, analysis!J:J)</f>
        <v>#NAME?</v>
      </c>
      <c r="L536" s="10" t="e">
        <f t="shared" ca="1" si="30"/>
        <v>#NAME?</v>
      </c>
      <c r="M536" s="10" t="s">
        <v>1433</v>
      </c>
    </row>
    <row r="537" spans="6:15" ht="13.2">
      <c r="F537" s="10" t="s">
        <v>700</v>
      </c>
      <c r="G537" s="10" t="s">
        <v>1608</v>
      </c>
      <c r="H537" s="10" t="s">
        <v>1444</v>
      </c>
      <c r="I537" s="10">
        <v>162</v>
      </c>
      <c r="J537" s="43" t="e">
        <f t="array" aca="1" ref="J537" ca="1">_xludf.XLOOKUP(F537, analysis!A:A, analysis!I:I)</f>
        <v>#NAME?</v>
      </c>
      <c r="K537" s="10" t="e">
        <f t="array" aca="1" ref="K537" ca="1">_xludf.XLOOKUP(F537, analysis!A:A, analysis!J:J)</f>
        <v>#NAME?</v>
      </c>
      <c r="L537" s="10" t="e">
        <f t="shared" ca="1" si="30"/>
        <v>#NAME?</v>
      </c>
      <c r="M537" s="10" t="s">
        <v>1434</v>
      </c>
    </row>
    <row r="538" spans="6:15" ht="13.2">
      <c r="F538" s="10" t="s">
        <v>642</v>
      </c>
      <c r="G538" s="10">
        <v>3</v>
      </c>
      <c r="H538" s="10" t="s">
        <v>1416</v>
      </c>
      <c r="I538" s="10">
        <f>45*3</f>
        <v>135</v>
      </c>
      <c r="J538" s="43" t="e">
        <f t="array" aca="1" ref="J538" ca="1">_xludf.XLOOKUP(F538, analysis!A:A, analysis!I:I)</f>
        <v>#NAME?</v>
      </c>
      <c r="K538" s="10" t="e">
        <f t="array" aca="1" ref="K538" ca="1">_xludf.XLOOKUP(F538, analysis!A:A, analysis!J:J)</f>
        <v>#NAME?</v>
      </c>
      <c r="L538" s="10" t="e">
        <f t="shared" ca="1" si="30"/>
        <v>#NAME?</v>
      </c>
      <c r="M538" s="10" t="s">
        <v>1437</v>
      </c>
      <c r="N538" s="10">
        <f>((5/60)*5773920)*(10^-6)*50</f>
        <v>24.058</v>
      </c>
    </row>
    <row r="539" spans="6:15" ht="13.2">
      <c r="F539" s="10" t="s">
        <v>733</v>
      </c>
      <c r="G539" s="10" t="s">
        <v>1439</v>
      </c>
      <c r="H539" s="10">
        <v>0</v>
      </c>
      <c r="I539" s="10">
        <v>0</v>
      </c>
      <c r="J539" s="43" t="e">
        <f t="array" aca="1" ref="J539" ca="1">_xludf.XLOOKUP(F539, analysis!A:A, analysis!I:I)</f>
        <v>#NAME?</v>
      </c>
      <c r="K539" s="10" t="e">
        <f t="array" aca="1" ref="K539" ca="1">_xludf.XLOOKUP(F539, analysis!A:A, analysis!J:J)</f>
        <v>#NAME?</v>
      </c>
      <c r="L539" s="10" t="e">
        <f t="shared" ca="1" si="30"/>
        <v>#NAME?</v>
      </c>
      <c r="M539" s="10" t="s">
        <v>1474</v>
      </c>
    </row>
    <row r="541" spans="6:15" ht="13.2">
      <c r="K541" s="20" t="s">
        <v>1441</v>
      </c>
      <c r="L541" s="37" t="e">
        <f ca="1">SUM(L528:L539)</f>
        <v>#NAME?</v>
      </c>
      <c r="M541" s="20" t="s">
        <v>1442</v>
      </c>
      <c r="N541" s="37">
        <f>SUM(N528:N539)</f>
        <v>185.33737108359037</v>
      </c>
    </row>
    <row r="543" spans="6:15" ht="13.2">
      <c r="F543" s="185" t="s">
        <v>1229</v>
      </c>
      <c r="G543" s="180"/>
      <c r="H543" s="180"/>
      <c r="I543" s="180"/>
      <c r="J543" s="180"/>
      <c r="K543" s="180"/>
      <c r="L543" s="180"/>
      <c r="M543" s="180"/>
      <c r="N543" s="180"/>
      <c r="O543" s="180"/>
    </row>
    <row r="544" spans="6:15" ht="13.2">
      <c r="F544" s="18" t="s">
        <v>1408</v>
      </c>
      <c r="G544" s="18" t="s">
        <v>543</v>
      </c>
      <c r="H544" s="10" t="s">
        <v>1409</v>
      </c>
      <c r="I544" s="10" t="s">
        <v>1410</v>
      </c>
      <c r="J544" s="10" t="s">
        <v>1411</v>
      </c>
      <c r="K544" s="10" t="s">
        <v>1412</v>
      </c>
      <c r="L544" s="10" t="s">
        <v>1413</v>
      </c>
      <c r="M544" s="179" t="s">
        <v>1468</v>
      </c>
      <c r="N544" s="180"/>
      <c r="O544" s="10" t="s">
        <v>1415</v>
      </c>
    </row>
    <row r="545" spans="4:17" ht="13.2">
      <c r="D545" s="18"/>
      <c r="E545" s="18"/>
      <c r="F545" s="18" t="s">
        <v>1609</v>
      </c>
      <c r="G545" s="18" t="s">
        <v>1484</v>
      </c>
      <c r="H545" s="10" t="s">
        <v>1444</v>
      </c>
      <c r="I545" s="10">
        <v>454</v>
      </c>
      <c r="J545" s="43" t="e">
        <f t="array" aca="1" ref="J545" ca="1">_xludf.XLOOKUP(F545, analysis!A:A, analysis!I:I)</f>
        <v>#NAME?</v>
      </c>
      <c r="K545" s="10" t="e">
        <f t="array" aca="1" ref="K545" ca="1">_xludf.XLOOKUP(F545, analysis!A:A, analysis!J:J)</f>
        <v>#NAME?</v>
      </c>
      <c r="L545" s="10" t="e">
        <f t="shared" ref="L545:L564" ca="1" si="31">K545*I545*J545/1000</f>
        <v>#NAME?</v>
      </c>
      <c r="M545" s="10" t="s">
        <v>1417</v>
      </c>
      <c r="P545" s="10" t="str">
        <f ca="1">IFERROR(__xludf.DUMMYFUNCTION("transpose(split(F545,CHAR(10)))"),"short rib")</f>
        <v>short rib</v>
      </c>
      <c r="Q545" s="10" t="str">
        <f ca="1">IFERROR(__xludf.DUMMYFUNCTION("transpose(split(G545,CHAR(10)))"),"226g")</f>
        <v>226g</v>
      </c>
    </row>
    <row r="546" spans="4:17" ht="13.2">
      <c r="F546" s="10" t="s">
        <v>646</v>
      </c>
      <c r="G546" s="10" t="s">
        <v>1439</v>
      </c>
      <c r="H546" s="10">
        <v>0</v>
      </c>
      <c r="I546" s="10">
        <v>0</v>
      </c>
      <c r="J546" s="43" t="e">
        <f t="array" aca="1" ref="J546" ca="1">_xludf.XLOOKUP(F546, analysis!A:A, analysis!I:I)</f>
        <v>#NAME?</v>
      </c>
      <c r="K546" s="10" t="e">
        <f t="array" aca="1" ref="K546" ca="1">_xludf.XLOOKUP(F546, analysis!A:A, analysis!J:J)</f>
        <v>#NAME?</v>
      </c>
      <c r="L546" s="10" t="e">
        <f t="shared" ca="1" si="31"/>
        <v>#NAME?</v>
      </c>
      <c r="M546" s="10" t="s">
        <v>1420</v>
      </c>
    </row>
    <row r="547" spans="4:17" ht="13.2">
      <c r="F547" s="10" t="s">
        <v>1440</v>
      </c>
      <c r="G547" s="10" t="s">
        <v>1439</v>
      </c>
      <c r="H547" s="10">
        <v>0</v>
      </c>
      <c r="I547" s="10">
        <v>0</v>
      </c>
      <c r="J547" s="43" t="e">
        <f t="array" aca="1" ref="J547" ca="1">_xludf.XLOOKUP(F547, analysis!A:A, analysis!I:I)</f>
        <v>#NAME?</v>
      </c>
      <c r="K547" s="10" t="e">
        <f t="array" aca="1" ref="K547" ca="1">_xludf.XLOOKUP(F547, analysis!A:A, analysis!J:J)</f>
        <v>#NAME?</v>
      </c>
      <c r="L547" s="10" t="e">
        <f t="shared" ca="1" si="31"/>
        <v>#NAME?</v>
      </c>
      <c r="M547" s="10" t="s">
        <v>1423</v>
      </c>
    </row>
    <row r="548" spans="4:17" ht="13.2">
      <c r="F548" s="10" t="s">
        <v>733</v>
      </c>
      <c r="G548" s="10" t="s">
        <v>1557</v>
      </c>
      <c r="H548" s="10" t="s">
        <v>1422</v>
      </c>
      <c r="I548" s="10">
        <f>10*0.927</f>
        <v>9.27</v>
      </c>
      <c r="J548" s="43" t="e">
        <f t="array" aca="1" ref="J548" ca="1">_xludf.XLOOKUP(F548, analysis!A:A, analysis!I:I)</f>
        <v>#NAME?</v>
      </c>
      <c r="K548" s="10" t="e">
        <f t="array" aca="1" ref="K548" ca="1">_xludf.XLOOKUP(F548, analysis!A:A, analysis!J:J)</f>
        <v>#NAME?</v>
      </c>
      <c r="L548" s="10" t="e">
        <f t="shared" ca="1" si="31"/>
        <v>#NAME?</v>
      </c>
      <c r="M548" s="10" t="s">
        <v>1425</v>
      </c>
    </row>
    <row r="549" spans="4:17" ht="13.2">
      <c r="F549" s="10" t="s">
        <v>651</v>
      </c>
      <c r="G549" s="10">
        <v>1</v>
      </c>
      <c r="H549" s="10" t="s">
        <v>1416</v>
      </c>
      <c r="I549" s="10">
        <v>70</v>
      </c>
      <c r="J549" s="43" t="e">
        <f t="array" aca="1" ref="J549" ca="1">_xludf.XLOOKUP(F549, analysis!A:A, analysis!I:I)</f>
        <v>#NAME?</v>
      </c>
      <c r="K549" s="10" t="e">
        <f t="array" aca="1" ref="K549" ca="1">_xludf.XLOOKUP(F549, analysis!A:A, analysis!J:J)</f>
        <v>#NAME?</v>
      </c>
      <c r="L549" s="10" t="e">
        <f t="shared" ca="1" si="31"/>
        <v>#NAME?</v>
      </c>
      <c r="M549" s="10" t="s">
        <v>1428</v>
      </c>
    </row>
    <row r="550" spans="4:17" ht="13.2">
      <c r="F550" s="10" t="s">
        <v>658</v>
      </c>
      <c r="G550" s="10">
        <v>1</v>
      </c>
      <c r="H550" s="10" t="s">
        <v>1416</v>
      </c>
      <c r="I550" s="10">
        <v>100</v>
      </c>
      <c r="J550" s="43" t="e">
        <f t="array" aca="1" ref="J550" ca="1">_xludf.XLOOKUP(F550, analysis!A:A, analysis!I:I)</f>
        <v>#NAME?</v>
      </c>
      <c r="K550" s="10" t="e">
        <f t="array" aca="1" ref="K550" ca="1">_xludf.XLOOKUP(F550, analysis!A:A, analysis!J:J)</f>
        <v>#NAME?</v>
      </c>
      <c r="L550" s="10" t="e">
        <f t="shared" ca="1" si="31"/>
        <v>#NAME?</v>
      </c>
      <c r="M550" s="10" t="s">
        <v>1429</v>
      </c>
      <c r="N550" s="10">
        <f>((12^2*PI()*8*0.927*1.96*160/0.63)+(7/60)*5773920)*(10^-6)*50</f>
        <v>117.1814152105745</v>
      </c>
    </row>
    <row r="551" spans="4:17" ht="13.2">
      <c r="F551" s="10" t="s">
        <v>737</v>
      </c>
      <c r="G551" s="10">
        <v>3</v>
      </c>
      <c r="H551" s="10" t="s">
        <v>1416</v>
      </c>
      <c r="I551" s="10">
        <f>3*4.4</f>
        <v>13.200000000000001</v>
      </c>
      <c r="J551" s="43" t="e">
        <f t="array" aca="1" ref="J551" ca="1">_xludf.XLOOKUP(F551, analysis!A:A, analysis!I:I)</f>
        <v>#NAME?</v>
      </c>
      <c r="K551" s="10" t="e">
        <f t="array" aca="1" ref="K551" ca="1">_xludf.XLOOKUP(F551, analysis!A:A, analysis!J:J)</f>
        <v>#NAME?</v>
      </c>
      <c r="L551" s="10" t="e">
        <f t="shared" ca="1" si="31"/>
        <v>#NAME?</v>
      </c>
      <c r="M551" s="10" t="s">
        <v>1430</v>
      </c>
      <c r="N551" s="10">
        <f>(((I548*1.96*160)/0.63)+(12/60)*5773920+(2.5/60)*5773920+(4/60)*5773920+(0.5/60)*5773920+(4/60)*5773920+(1.5/60)*5773920)*10^-6*50</f>
        <v>118.11491999999998</v>
      </c>
    </row>
    <row r="552" spans="4:17" ht="13.2">
      <c r="F552" s="10" t="s">
        <v>1470</v>
      </c>
      <c r="G552" s="10" t="s">
        <v>1564</v>
      </c>
      <c r="H552" s="10" t="s">
        <v>1422</v>
      </c>
      <c r="I552" s="10">
        <f>80*0.99</f>
        <v>79.2</v>
      </c>
      <c r="J552" s="43" t="e">
        <f t="array" aca="1" ref="J552" ca="1">_xludf.XLOOKUP(F552, analysis!A:A, analysis!I:I)</f>
        <v>#NAME?</v>
      </c>
      <c r="K552" s="10" t="e">
        <f t="array" aca="1" ref="K552" ca="1">_xludf.XLOOKUP(F552, analysis!A:A, analysis!J:J)</f>
        <v>#NAME?</v>
      </c>
      <c r="L552" s="10" t="e">
        <f t="shared" ca="1" si="31"/>
        <v>#NAME?</v>
      </c>
      <c r="M552" s="10" t="s">
        <v>1432</v>
      </c>
    </row>
    <row r="553" spans="4:17" ht="13.2">
      <c r="F553" s="10" t="s">
        <v>1471</v>
      </c>
      <c r="G553" s="10" t="s">
        <v>1610</v>
      </c>
      <c r="H553" s="10" t="s">
        <v>1444</v>
      </c>
      <c r="I553" s="10">
        <v>16</v>
      </c>
      <c r="J553" s="43" t="e">
        <f t="array" aca="1" ref="J553" ca="1">_xludf.XLOOKUP(F553, analysis!A:A, analysis!I:I)</f>
        <v>#NAME?</v>
      </c>
      <c r="K553" s="10" t="e">
        <f t="array" aca="1" ref="K553" ca="1">_xludf.XLOOKUP(F553, analysis!A:A, analysis!J:J)</f>
        <v>#NAME?</v>
      </c>
      <c r="L553" s="10" t="e">
        <f t="shared" ca="1" si="31"/>
        <v>#NAME?</v>
      </c>
      <c r="M553" s="10" t="s">
        <v>1433</v>
      </c>
    </row>
    <row r="554" spans="4:17" ht="13.2">
      <c r="F554" s="10" t="s">
        <v>1473</v>
      </c>
      <c r="G554" s="10" t="s">
        <v>1496</v>
      </c>
      <c r="H554" s="10" t="s">
        <v>1422</v>
      </c>
      <c r="I554" s="10">
        <v>480</v>
      </c>
      <c r="J554" s="43" t="e">
        <f t="array" aca="1" ref="J554" ca="1">_xludf.XLOOKUP(F554, analysis!A:A, analysis!I:I)</f>
        <v>#NAME?</v>
      </c>
      <c r="K554" s="10" t="e">
        <f t="array" aca="1" ref="K554" ca="1">_xludf.XLOOKUP(F554, analysis!A:A, analysis!J:J)</f>
        <v>#NAME?</v>
      </c>
      <c r="L554" s="10" t="e">
        <f t="shared" ca="1" si="31"/>
        <v>#NAME?</v>
      </c>
      <c r="M554" s="10" t="s">
        <v>1434</v>
      </c>
      <c r="N554" s="10">
        <f>(((I554)*4.2*100/0.63)+(45/60)*5773920)*(10^-6)*50</f>
        <v>232.52199999999999</v>
      </c>
    </row>
    <row r="555" spans="4:17" ht="13.2">
      <c r="F555" s="10" t="s">
        <v>1449</v>
      </c>
      <c r="G555" s="10" t="s">
        <v>1511</v>
      </c>
      <c r="H555" s="10" t="s">
        <v>1444</v>
      </c>
      <c r="I555" s="10">
        <v>4</v>
      </c>
      <c r="J555" s="43" t="e">
        <f t="array" aca="1" ref="J555" ca="1">_xludf.XLOOKUP(F555, analysis!A:A, analysis!I:I)</f>
        <v>#NAME?</v>
      </c>
      <c r="K555" s="10" t="e">
        <f t="array" aca="1" ref="K555" ca="1">_xludf.XLOOKUP(F555, analysis!A:A, analysis!J:J)</f>
        <v>#NAME?</v>
      </c>
      <c r="L555" s="10" t="e">
        <f t="shared" ca="1" si="31"/>
        <v>#NAME?</v>
      </c>
      <c r="M555" s="10" t="s">
        <v>1437</v>
      </c>
      <c r="N555" s="10">
        <f>((5/60)*5773920)*(10^-6)*50</f>
        <v>24.058</v>
      </c>
    </row>
    <row r="556" spans="4:17" ht="13.2">
      <c r="F556" s="10" t="s">
        <v>1535</v>
      </c>
      <c r="G556" s="10" t="s">
        <v>1522</v>
      </c>
      <c r="H556" s="10" t="s">
        <v>1444</v>
      </c>
      <c r="I556" s="10">
        <v>113</v>
      </c>
      <c r="J556" s="43" t="e">
        <f t="array" aca="1" ref="J556" ca="1">_xludf.XLOOKUP(F556, analysis!A:A, analysis!I:I)</f>
        <v>#NAME?</v>
      </c>
      <c r="K556" s="10" t="e">
        <f t="array" aca="1" ref="K556" ca="1">_xludf.XLOOKUP(F556, analysis!A:A, analysis!J:J)</f>
        <v>#NAME?</v>
      </c>
      <c r="L556" s="10" t="e">
        <f t="shared" ca="1" si="31"/>
        <v>#NAME?</v>
      </c>
      <c r="M556" s="10" t="s">
        <v>1474</v>
      </c>
    </row>
    <row r="557" spans="4:17" ht="13.2">
      <c r="F557" s="10" t="s">
        <v>1611</v>
      </c>
      <c r="G557" s="10" t="s">
        <v>1508</v>
      </c>
      <c r="H557" s="10" t="s">
        <v>1422</v>
      </c>
      <c r="I557" s="10">
        <v>120</v>
      </c>
      <c r="J557" s="43" t="e">
        <f t="array" aca="1" ref="J557" ca="1">_xludf.XLOOKUP(F558, analysis!A:A, analysis!I:I)</f>
        <v>#NAME?</v>
      </c>
      <c r="K557" s="10">
        <v>0</v>
      </c>
      <c r="L557" s="10" t="e">
        <f t="shared" ca="1" si="31"/>
        <v>#NAME?</v>
      </c>
    </row>
    <row r="558" spans="4:17" ht="13.2">
      <c r="F558" s="10" t="s">
        <v>1473</v>
      </c>
      <c r="G558" s="10" t="s">
        <v>1612</v>
      </c>
      <c r="H558" s="10" t="s">
        <v>1422</v>
      </c>
      <c r="I558" s="10">
        <v>360</v>
      </c>
      <c r="J558" s="43" t="e">
        <f t="array" aca="1" ref="J558" ca="1">_xludf.XLOOKUP(F558, analysis!A:A, analysis!I:I)</f>
        <v>#NAME?</v>
      </c>
      <c r="K558" s="10" t="e">
        <f t="array" aca="1" ref="K558" ca="1">_xludf.XLOOKUP(F558, analysis!A:A, analysis!J:J)</f>
        <v>#NAME?</v>
      </c>
      <c r="L558" s="10" t="e">
        <f t="shared" ca="1" si="31"/>
        <v>#NAME?</v>
      </c>
    </row>
    <row r="559" spans="4:17" ht="13.2">
      <c r="F559" s="10" t="s">
        <v>646</v>
      </c>
      <c r="G559" s="10" t="s">
        <v>1613</v>
      </c>
      <c r="H559" s="10" t="s">
        <v>1444</v>
      </c>
      <c r="I559" s="10">
        <v>10</v>
      </c>
      <c r="J559" s="43" t="e">
        <f t="array" aca="1" ref="J559" ca="1">_xludf.XLOOKUP(F559, analysis!A:A, analysis!I:I)</f>
        <v>#NAME?</v>
      </c>
      <c r="K559" s="10" t="e">
        <f t="array" aca="1" ref="K559" ca="1">_xludf.XLOOKUP(F559, analysis!A:A, analysis!J:J)</f>
        <v>#NAME?</v>
      </c>
      <c r="L559" s="10" t="e">
        <f t="shared" ca="1" si="31"/>
        <v>#NAME?</v>
      </c>
    </row>
    <row r="560" spans="4:17" ht="13.2">
      <c r="F560" s="10" t="s">
        <v>652</v>
      </c>
      <c r="G560" s="10" t="s">
        <v>1512</v>
      </c>
      <c r="H560" s="10" t="s">
        <v>1444</v>
      </c>
      <c r="I560" s="10">
        <v>14</v>
      </c>
      <c r="J560" s="43" t="e">
        <f t="array" aca="1" ref="J560" ca="1">_xludf.XLOOKUP(F560, analysis!A:A, analysis!I:I)</f>
        <v>#NAME?</v>
      </c>
      <c r="K560" s="10" t="e">
        <f t="array" aca="1" ref="K560" ca="1">_xludf.XLOOKUP(F560, analysis!A:A, analysis!J:J)</f>
        <v>#NAME?</v>
      </c>
      <c r="L560" s="10" t="e">
        <f t="shared" ca="1" si="31"/>
        <v>#NAME?</v>
      </c>
    </row>
    <row r="561" spans="4:17" ht="13.2">
      <c r="F561" s="10" t="s">
        <v>1463</v>
      </c>
      <c r="G561" s="10" t="s">
        <v>1539</v>
      </c>
      <c r="H561" s="10" t="s">
        <v>1444</v>
      </c>
      <c r="I561" s="10">
        <v>250</v>
      </c>
      <c r="J561" s="43" t="e">
        <f t="array" aca="1" ref="J561" ca="1">_xludf.XLOOKUP(F561, analysis!A:A, analysis!I:I)</f>
        <v>#NAME?</v>
      </c>
      <c r="K561" s="10" t="e">
        <f t="array" aca="1" ref="K561" ca="1">_xludf.XLOOKUP(F561, analysis!A:A, analysis!J:J)</f>
        <v>#NAME?</v>
      </c>
      <c r="L561" s="10" t="e">
        <f t="shared" ca="1" si="31"/>
        <v>#NAME?</v>
      </c>
    </row>
    <row r="562" spans="4:17" ht="13.2">
      <c r="F562" s="10" t="s">
        <v>700</v>
      </c>
      <c r="G562" s="10" t="s">
        <v>1614</v>
      </c>
      <c r="H562" s="10" t="s">
        <v>1444</v>
      </c>
      <c r="I562" s="10">
        <v>108</v>
      </c>
      <c r="J562" s="43" t="e">
        <f t="array" aca="1" ref="J562" ca="1">_xludf.XLOOKUP(F562, analysis!A:A, analysis!I:I)</f>
        <v>#NAME?</v>
      </c>
      <c r="K562" s="10" t="e">
        <f t="array" aca="1" ref="K562" ca="1">_xludf.XLOOKUP(F562, analysis!A:A, analysis!J:J)</f>
        <v>#NAME?</v>
      </c>
      <c r="L562" s="10" t="e">
        <f t="shared" ca="1" si="31"/>
        <v>#NAME?</v>
      </c>
    </row>
    <row r="563" spans="4:17" ht="13.2">
      <c r="F563" s="10" t="s">
        <v>642</v>
      </c>
      <c r="G563" s="10">
        <v>3</v>
      </c>
      <c r="H563" s="10" t="s">
        <v>1416</v>
      </c>
      <c r="I563" s="10">
        <f>3*55</f>
        <v>165</v>
      </c>
      <c r="J563" s="43" t="e">
        <f t="array" aca="1" ref="J563" ca="1">_xludf.XLOOKUP(F563, analysis!A:A, analysis!I:I)</f>
        <v>#NAME?</v>
      </c>
      <c r="K563" s="10" t="e">
        <f t="array" aca="1" ref="K563" ca="1">_xludf.XLOOKUP(F563, analysis!A:A, analysis!J:J)</f>
        <v>#NAME?</v>
      </c>
      <c r="L563" s="10" t="e">
        <f t="shared" ca="1" si="31"/>
        <v>#NAME?</v>
      </c>
    </row>
    <row r="564" spans="4:17" ht="13.2">
      <c r="F564" s="10" t="s">
        <v>733</v>
      </c>
      <c r="G564" s="10" t="s">
        <v>1439</v>
      </c>
      <c r="H564" s="10">
        <v>0</v>
      </c>
      <c r="I564" s="10">
        <v>0</v>
      </c>
      <c r="J564" s="43" t="e">
        <f t="array" aca="1" ref="J564" ca="1">_xludf.XLOOKUP(F564, analysis!A:A, analysis!I:I)</f>
        <v>#NAME?</v>
      </c>
      <c r="K564" s="10" t="e">
        <f t="array" aca="1" ref="K564" ca="1">_xludf.XLOOKUP(F564, analysis!A:A, analysis!J:J)</f>
        <v>#NAME?</v>
      </c>
      <c r="L564" s="10" t="e">
        <f t="shared" ca="1" si="31"/>
        <v>#NAME?</v>
      </c>
    </row>
    <row r="566" spans="4:17" ht="13.2">
      <c r="K566" s="20" t="s">
        <v>1441</v>
      </c>
      <c r="L566" s="37" t="e">
        <f ca="1">SUM(L545:L564)</f>
        <v>#NAME?</v>
      </c>
      <c r="M566" s="20" t="s">
        <v>1442</v>
      </c>
      <c r="N566" s="37">
        <f>SUM(N545:N556)</f>
        <v>491.87633521057444</v>
      </c>
    </row>
    <row r="567" spans="4:17" ht="13.2">
      <c r="F567" s="185" t="s">
        <v>1233</v>
      </c>
      <c r="G567" s="180"/>
      <c r="H567" s="180"/>
      <c r="I567" s="180"/>
      <c r="J567" s="180"/>
      <c r="K567" s="180"/>
      <c r="L567" s="180"/>
      <c r="M567" s="180"/>
      <c r="N567" s="180"/>
      <c r="O567" s="180"/>
    </row>
    <row r="568" spans="4:17" ht="13.2">
      <c r="F568" s="18" t="s">
        <v>1408</v>
      </c>
      <c r="G568" s="18" t="s">
        <v>543</v>
      </c>
      <c r="H568" s="10" t="s">
        <v>1409</v>
      </c>
      <c r="I568" s="10" t="s">
        <v>1410</v>
      </c>
      <c r="J568" s="10" t="s">
        <v>1411</v>
      </c>
      <c r="K568" s="10" t="s">
        <v>1412</v>
      </c>
      <c r="L568" s="10" t="s">
        <v>1413</v>
      </c>
      <c r="M568" s="179" t="s">
        <v>1468</v>
      </c>
      <c r="N568" s="180"/>
      <c r="O568" s="10" t="s">
        <v>1415</v>
      </c>
    </row>
    <row r="569" spans="4:17" ht="13.2">
      <c r="D569" s="18"/>
      <c r="E569" s="18"/>
      <c r="F569" s="18" t="s">
        <v>1421</v>
      </c>
      <c r="G569" s="18" t="s">
        <v>1509</v>
      </c>
      <c r="H569" s="10" t="s">
        <v>1489</v>
      </c>
      <c r="I569" s="10">
        <f>5*0.914</f>
        <v>4.57</v>
      </c>
      <c r="J569" s="43" t="e">
        <f t="array" aca="1" ref="J569" ca="1">_xludf.XLOOKUP(F569, analysis!A:A, analysis!I:I)</f>
        <v>#NAME?</v>
      </c>
      <c r="K569" s="10" t="e">
        <f t="array" aca="1" ref="K569" ca="1">_xludf.XLOOKUP(F569, analysis!A:A, analysis!J:J)</f>
        <v>#NAME?</v>
      </c>
      <c r="L569" s="10" t="e">
        <f t="shared" ref="L569:L587" ca="1" si="32">K569*I569*J569/1000</f>
        <v>#NAME?</v>
      </c>
      <c r="M569" s="10" t="s">
        <v>1417</v>
      </c>
      <c r="P569" s="10" t="str">
        <f ca="1">IFERROR(__xludf.DUMMYFUNCTION("transpose(split(F569,CHAR(10)))"),"olive oil")</f>
        <v>olive oil</v>
      </c>
      <c r="Q569" s="10" t="str">
        <f ca="1">IFERROR(__xludf.DUMMYFUNCTION("transpose(split(G569,CHAR(10)))"),"1tsp")</f>
        <v>1tsp</v>
      </c>
    </row>
    <row r="570" spans="4:17" ht="13.2">
      <c r="F570" s="10" t="s">
        <v>1454</v>
      </c>
      <c r="G570" s="10" t="s">
        <v>1484</v>
      </c>
      <c r="H570" s="10" t="s">
        <v>1444</v>
      </c>
      <c r="I570" s="10">
        <v>226</v>
      </c>
      <c r="J570" s="43" t="e">
        <f t="array" aca="1" ref="J570" ca="1">_xludf.XLOOKUP(F570, analysis!A:A, analysis!I:I)</f>
        <v>#NAME?</v>
      </c>
      <c r="K570" s="10" t="e">
        <f t="array" aca="1" ref="K570" ca="1">_xludf.XLOOKUP(F570, analysis!A:A, analysis!J:J)</f>
        <v>#NAME?</v>
      </c>
      <c r="L570" s="10" t="e">
        <f t="shared" ca="1" si="32"/>
        <v>#NAME?</v>
      </c>
      <c r="M570" s="10" t="s">
        <v>1420</v>
      </c>
      <c r="N570" s="10">
        <f>1.1*(5/60)*59.9</f>
        <v>5.4908333333333337</v>
      </c>
    </row>
    <row r="571" spans="4:17" ht="13.2">
      <c r="F571" s="10" t="s">
        <v>651</v>
      </c>
      <c r="G571" s="10">
        <v>1</v>
      </c>
      <c r="H571" s="10" t="s">
        <v>1416</v>
      </c>
      <c r="I571" s="10">
        <v>70</v>
      </c>
      <c r="J571" s="43" t="e">
        <f t="array" aca="1" ref="J571" ca="1">_xludf.XLOOKUP(F571, analysis!A:A, analysis!I:I)</f>
        <v>#NAME?</v>
      </c>
      <c r="K571" s="10" t="e">
        <f t="array" aca="1" ref="K571" ca="1">_xludf.XLOOKUP(F571, analysis!A:A, analysis!J:J)</f>
        <v>#NAME?</v>
      </c>
      <c r="L571" s="10" t="e">
        <f t="shared" ca="1" si="32"/>
        <v>#NAME?</v>
      </c>
      <c r="M571" s="10" t="s">
        <v>1423</v>
      </c>
    </row>
    <row r="572" spans="4:17" ht="13.2">
      <c r="F572" s="10" t="s">
        <v>737</v>
      </c>
      <c r="G572" s="10">
        <v>2</v>
      </c>
      <c r="H572" s="10" t="s">
        <v>1416</v>
      </c>
      <c r="I572" s="10">
        <f>4.4*2</f>
        <v>8.8000000000000007</v>
      </c>
      <c r="J572" s="43" t="e">
        <f t="array" aca="1" ref="J572" ca="1">_xludf.XLOOKUP(F572, analysis!A:A, analysis!I:I)</f>
        <v>#NAME?</v>
      </c>
      <c r="K572" s="10" t="e">
        <f t="array" aca="1" ref="K572" ca="1">_xludf.XLOOKUP(F572, analysis!A:A, analysis!J:J)</f>
        <v>#NAME?</v>
      </c>
      <c r="L572" s="10" t="e">
        <f t="shared" ca="1" si="32"/>
        <v>#NAME?</v>
      </c>
      <c r="M572" s="10" t="s">
        <v>1425</v>
      </c>
      <c r="N572" s="10">
        <f>(I579*4.2*80/0.63*(10^-6)*50)</f>
        <v>12.8</v>
      </c>
    </row>
    <row r="573" spans="4:17" ht="13.2">
      <c r="F573" s="10" t="s">
        <v>646</v>
      </c>
      <c r="G573" s="10" t="s">
        <v>1439</v>
      </c>
      <c r="H573" s="10">
        <v>0</v>
      </c>
      <c r="I573" s="10">
        <v>0</v>
      </c>
      <c r="J573" s="43" t="e">
        <f t="array" aca="1" ref="J573" ca="1">_xludf.XLOOKUP(F573, analysis!A:A, analysis!I:I)</f>
        <v>#NAME?</v>
      </c>
      <c r="K573" s="10" t="e">
        <f t="array" aca="1" ref="K573" ca="1">_xludf.XLOOKUP(F573, analysis!A:A, analysis!J:J)</f>
        <v>#NAME?</v>
      </c>
      <c r="L573" s="10" t="e">
        <f t="shared" ca="1" si="32"/>
        <v>#NAME?</v>
      </c>
      <c r="M573" s="10" t="s">
        <v>1428</v>
      </c>
    </row>
    <row r="574" spans="4:17" ht="13.2">
      <c r="F574" s="10" t="s">
        <v>1440</v>
      </c>
      <c r="G574" s="10" t="s">
        <v>1439</v>
      </c>
      <c r="H574" s="10">
        <v>0</v>
      </c>
      <c r="I574" s="10">
        <v>0</v>
      </c>
      <c r="J574" s="43" t="e">
        <f t="array" aca="1" ref="J574" ca="1">_xludf.XLOOKUP(F574, analysis!A:A, analysis!I:I)</f>
        <v>#NAME?</v>
      </c>
      <c r="K574" s="10" t="e">
        <f t="array" aca="1" ref="K574" ca="1">_xludf.XLOOKUP(F574, analysis!A:A, analysis!J:J)</f>
        <v>#NAME?</v>
      </c>
      <c r="L574" s="10" t="e">
        <f t="shared" ca="1" si="32"/>
        <v>#NAME?</v>
      </c>
      <c r="M574" s="10" t="s">
        <v>1429</v>
      </c>
      <c r="N574" s="10">
        <f>((12^2*PI()*8*0.927*1.96*160/0.63)+(5/60)*5773920)*(10^-6)*50</f>
        <v>107.55821521057452</v>
      </c>
    </row>
    <row r="575" spans="4:17" ht="13.2">
      <c r="F575" s="10" t="s">
        <v>1615</v>
      </c>
      <c r="G575" s="10" t="s">
        <v>1519</v>
      </c>
      <c r="H575" s="10" t="s">
        <v>1489</v>
      </c>
      <c r="I575" s="10">
        <f>0.49*5/4</f>
        <v>0.61250000000000004</v>
      </c>
      <c r="J575" s="43" t="e">
        <f t="array" aca="1" ref="J575" ca="1">_xludf.XLOOKUP(F575, analysis!A:A, analysis!I:I)</f>
        <v>#NAME?</v>
      </c>
      <c r="K575" s="10" t="e">
        <f t="array" aca="1" ref="K575" ca="1">_xludf.XLOOKUP(F575, analysis!A:A, analysis!J:J)</f>
        <v>#NAME?</v>
      </c>
      <c r="L575" s="10" t="e">
        <f t="shared" ca="1" si="32"/>
        <v>#NAME?</v>
      </c>
      <c r="M575" s="10" t="s">
        <v>1430</v>
      </c>
      <c r="N575" s="10">
        <f>(((I569*1.97*160)/0.63)+(6.5/60)*5773920+(2.5/60)*5773920+(0.5/60)*5773920)*10^-6*50</f>
        <v>45.82452253968254</v>
      </c>
    </row>
    <row r="576" spans="4:17" ht="13.2">
      <c r="F576" s="10" t="s">
        <v>1616</v>
      </c>
      <c r="G576" s="10" t="s">
        <v>1519</v>
      </c>
      <c r="H576" s="10" t="s">
        <v>1489</v>
      </c>
      <c r="I576" s="10">
        <f>0.41/4*5</f>
        <v>0.51249999999999996</v>
      </c>
      <c r="J576" s="43" t="e">
        <f t="array" aca="1" ref="J576" ca="1">_xludf.XLOOKUP(F576, analysis!A:A, analysis!I:I)</f>
        <v>#NAME?</v>
      </c>
      <c r="K576" s="10" t="e">
        <f t="array" aca="1" ref="K576" ca="1">_xludf.XLOOKUP(F576, analysis!A:A, analysis!J:J)</f>
        <v>#NAME?</v>
      </c>
      <c r="L576" s="10" t="e">
        <f t="shared" ca="1" si="32"/>
        <v>#NAME?</v>
      </c>
      <c r="M576" s="10" t="s">
        <v>1432</v>
      </c>
    </row>
    <row r="577" spans="6:15" ht="13.2">
      <c r="F577" s="10" t="s">
        <v>1548</v>
      </c>
      <c r="G577" s="10" t="s">
        <v>1617</v>
      </c>
      <c r="H577" s="10" t="s">
        <v>1444</v>
      </c>
      <c r="I577" s="10">
        <v>45</v>
      </c>
      <c r="J577" s="43" t="e">
        <f t="array" aca="1" ref="J577" ca="1">_xludf.XLOOKUP(F577, analysis!A:A, analysis!I:I)</f>
        <v>#NAME?</v>
      </c>
      <c r="K577" s="10" t="e">
        <f t="array" aca="1" ref="K577" ca="1">_xludf.XLOOKUP(F577, analysis!A:A, analysis!J:J)</f>
        <v>#NAME?</v>
      </c>
      <c r="L577" s="10" t="e">
        <f t="shared" ca="1" si="32"/>
        <v>#NAME?</v>
      </c>
      <c r="M577" s="10" t="s">
        <v>1433</v>
      </c>
    </row>
    <row r="578" spans="6:15" ht="13.2">
      <c r="F578" s="10" t="s">
        <v>1538</v>
      </c>
      <c r="G578" s="10" t="s">
        <v>1618</v>
      </c>
      <c r="H578" s="10" t="s">
        <v>1444</v>
      </c>
      <c r="I578" s="10">
        <v>270</v>
      </c>
      <c r="J578" s="43" t="e">
        <f t="array" aca="1" ref="J578" ca="1">_xludf.XLOOKUP(F578, analysis!A:A, analysis!I:I)</f>
        <v>#NAME?</v>
      </c>
      <c r="K578" s="10" t="e">
        <f t="array" aca="1" ref="K578" ca="1">_xludf.XLOOKUP(F578, analysis!A:A, analysis!J:J)</f>
        <v>#NAME?</v>
      </c>
      <c r="L578" s="10" t="e">
        <f t="shared" ca="1" si="32"/>
        <v>#NAME?</v>
      </c>
      <c r="M578" s="10" t="s">
        <v>1434</v>
      </c>
    </row>
    <row r="579" spans="6:15" ht="13.2">
      <c r="F579" s="10" t="s">
        <v>653</v>
      </c>
      <c r="G579" s="10" t="s">
        <v>1496</v>
      </c>
      <c r="H579" s="10" t="s">
        <v>1422</v>
      </c>
      <c r="I579" s="10">
        <v>480</v>
      </c>
      <c r="J579" s="43" t="e">
        <f t="array" aca="1" ref="J579" ca="1">_xludf.XLOOKUP(F579, analysis!A:A, analysis!I:I)</f>
        <v>#NAME?</v>
      </c>
      <c r="K579" s="10" t="e">
        <f t="array" aca="1" ref="K579" ca="1">_xludf.XLOOKUP(F579, analysis!A:A, analysis!J:J)</f>
        <v>#NAME?</v>
      </c>
      <c r="L579" s="10" t="e">
        <f t="shared" ca="1" si="32"/>
        <v>#NAME?</v>
      </c>
      <c r="M579" s="10" t="s">
        <v>1437</v>
      </c>
    </row>
    <row r="580" spans="6:15" ht="13.2">
      <c r="F580" s="10" t="s">
        <v>651</v>
      </c>
      <c r="G580" s="10">
        <v>1</v>
      </c>
      <c r="H580" s="10" t="s">
        <v>1416</v>
      </c>
      <c r="I580" s="10">
        <v>70</v>
      </c>
      <c r="J580" s="43" t="e">
        <f t="array" aca="1" ref="J580" ca="1">_xludf.XLOOKUP(F580, analysis!A:A, analysis!I:I)</f>
        <v>#NAME?</v>
      </c>
      <c r="K580" s="10" t="e">
        <f t="array" aca="1" ref="K580" ca="1">_xludf.XLOOKUP(F580, analysis!A:A, analysis!J:J)</f>
        <v>#NAME?</v>
      </c>
      <c r="L580" s="10" t="e">
        <f t="shared" ca="1" si="32"/>
        <v>#NAME?</v>
      </c>
      <c r="M580" s="10" t="s">
        <v>1474</v>
      </c>
    </row>
    <row r="581" spans="6:15" ht="13.2">
      <c r="F581" s="10" t="s">
        <v>1542</v>
      </c>
      <c r="G581" s="10" t="s">
        <v>1619</v>
      </c>
      <c r="H581" s="10" t="s">
        <v>1444</v>
      </c>
      <c r="I581" s="10">
        <v>46</v>
      </c>
      <c r="J581" s="43" t="e">
        <f t="array" aca="1" ref="J581" ca="1">_xludf.XLOOKUP(F581, analysis!A:A, analysis!I:I)</f>
        <v>#NAME?</v>
      </c>
      <c r="K581" s="10" t="e">
        <f t="array" aca="1" ref="K581" ca="1">_xludf.XLOOKUP(F581, analysis!A:A, analysis!J:J)</f>
        <v>#NAME?</v>
      </c>
      <c r="L581" s="10" t="e">
        <f t="shared" ca="1" si="32"/>
        <v>#NAME?</v>
      </c>
    </row>
    <row r="582" spans="6:15" ht="13.2">
      <c r="F582" s="10" t="s">
        <v>1454</v>
      </c>
      <c r="G582" s="10" t="s">
        <v>1497</v>
      </c>
      <c r="H582" s="10" t="s">
        <v>1444</v>
      </c>
      <c r="I582" s="10">
        <v>907</v>
      </c>
      <c r="J582" s="43" t="e">
        <f t="array" aca="1" ref="J582" ca="1">_xludf.XLOOKUP(F582, analysis!A:A, analysis!I:I)</f>
        <v>#NAME?</v>
      </c>
      <c r="K582" s="10" t="e">
        <f t="array" aca="1" ref="K582" ca="1">_xludf.XLOOKUP(F582, analysis!A:A, analysis!J:J)</f>
        <v>#NAME?</v>
      </c>
      <c r="L582" s="10" t="e">
        <f t="shared" ca="1" si="32"/>
        <v>#NAME?</v>
      </c>
    </row>
    <row r="583" spans="6:15" ht="13.2">
      <c r="F583" s="10" t="s">
        <v>646</v>
      </c>
      <c r="G583" s="10" t="s">
        <v>1620</v>
      </c>
      <c r="H583" s="10" t="s">
        <v>1444</v>
      </c>
      <c r="I583" s="10">
        <v>7</v>
      </c>
      <c r="J583" s="43" t="e">
        <f t="array" aca="1" ref="J583" ca="1">_xludf.XLOOKUP(F583, analysis!A:A, analysis!I:I)</f>
        <v>#NAME?</v>
      </c>
      <c r="K583" s="10" t="e">
        <f t="array" aca="1" ref="K583" ca="1">_xludf.XLOOKUP(F583, analysis!A:A, analysis!J:J)</f>
        <v>#NAME?</v>
      </c>
      <c r="L583" s="10" t="e">
        <f t="shared" ca="1" si="32"/>
        <v>#NAME?</v>
      </c>
    </row>
    <row r="584" spans="6:15" ht="13.2">
      <c r="F584" s="10" t="s">
        <v>1440</v>
      </c>
      <c r="G584" s="10" t="s">
        <v>1621</v>
      </c>
      <c r="H584" s="10" t="s">
        <v>1489</v>
      </c>
      <c r="I584" s="10">
        <f>0.47*5/2</f>
        <v>1.1749999999999998</v>
      </c>
      <c r="J584" s="43" t="e">
        <f t="array" aca="1" ref="J584" ca="1">_xludf.XLOOKUP(F584, analysis!A:A, analysis!I:I)</f>
        <v>#NAME?</v>
      </c>
      <c r="K584" s="10" t="e">
        <f t="array" aca="1" ref="K584" ca="1">_xludf.XLOOKUP(F584, analysis!A:A, analysis!J:J)</f>
        <v>#NAME?</v>
      </c>
      <c r="L584" s="10" t="e">
        <f t="shared" ca="1" si="32"/>
        <v>#NAME?</v>
      </c>
    </row>
    <row r="585" spans="6:15" ht="13.2">
      <c r="F585" s="10" t="s">
        <v>1616</v>
      </c>
      <c r="G585" s="10" t="s">
        <v>1519</v>
      </c>
      <c r="H585" s="10" t="s">
        <v>1489</v>
      </c>
      <c r="I585" s="10">
        <f>0.41/4*5</f>
        <v>0.51249999999999996</v>
      </c>
      <c r="J585" s="43" t="e">
        <f t="array" aca="1" ref="J585" ca="1">_xludf.XLOOKUP(F585, analysis!A:A, analysis!I:I)</f>
        <v>#NAME?</v>
      </c>
      <c r="K585" s="10" t="e">
        <f t="array" aca="1" ref="K585" ca="1">_xludf.XLOOKUP(F585, analysis!A:A, analysis!J:J)</f>
        <v>#NAME?</v>
      </c>
      <c r="L585" s="10" t="e">
        <f t="shared" ca="1" si="32"/>
        <v>#NAME?</v>
      </c>
    </row>
    <row r="586" spans="6:15" ht="13.2">
      <c r="F586" s="10" t="s">
        <v>1622</v>
      </c>
      <c r="G586" s="10" t="s">
        <v>1519</v>
      </c>
      <c r="H586" s="10" t="s">
        <v>1489</v>
      </c>
      <c r="I586" s="10">
        <f>0.81*5/4</f>
        <v>1.0125000000000002</v>
      </c>
      <c r="J586" s="43" t="e">
        <f t="array" aca="1" ref="J586" ca="1">_xludf.XLOOKUP(F586, analysis!A:A, analysis!I:I)</f>
        <v>#NAME?</v>
      </c>
      <c r="K586" s="10" t="e">
        <f t="array" aca="1" ref="K586" ca="1">_xludf.XLOOKUP(F586, analysis!A:A, analysis!J:J)</f>
        <v>#NAME?</v>
      </c>
      <c r="L586" s="10" t="e">
        <f t="shared" ca="1" si="32"/>
        <v>#NAME?</v>
      </c>
    </row>
    <row r="587" spans="6:15" ht="13.2">
      <c r="F587" s="10" t="s">
        <v>733</v>
      </c>
      <c r="G587" s="10" t="s">
        <v>1439</v>
      </c>
      <c r="H587" s="10">
        <v>0</v>
      </c>
      <c r="I587" s="10">
        <v>0</v>
      </c>
      <c r="J587" s="43" t="e">
        <f t="array" aca="1" ref="J587" ca="1">_xludf.XLOOKUP(F587, analysis!A:A, analysis!I:I)</f>
        <v>#NAME?</v>
      </c>
      <c r="K587" s="10" t="e">
        <f t="array" aca="1" ref="K587" ca="1">_xludf.XLOOKUP(F587, analysis!A:A, analysis!J:J)</f>
        <v>#NAME?</v>
      </c>
      <c r="L587" s="10" t="e">
        <f t="shared" ca="1" si="32"/>
        <v>#NAME?</v>
      </c>
    </row>
    <row r="589" spans="6:15" ht="13.2">
      <c r="K589" s="20" t="s">
        <v>1441</v>
      </c>
      <c r="L589" s="37" t="e">
        <f ca="1">SUM(L569:L587)</f>
        <v>#NAME?</v>
      </c>
      <c r="M589" s="20" t="s">
        <v>1442</v>
      </c>
      <c r="N589" s="37">
        <f>SUM(N569:N580)</f>
        <v>171.67357108359039</v>
      </c>
    </row>
    <row r="591" spans="6:15" ht="13.2">
      <c r="F591" s="185" t="s">
        <v>1245</v>
      </c>
      <c r="G591" s="180"/>
      <c r="H591" s="180"/>
      <c r="I591" s="180"/>
      <c r="J591" s="180"/>
      <c r="K591" s="180"/>
      <c r="L591" s="180"/>
      <c r="M591" s="180"/>
      <c r="N591" s="180"/>
      <c r="O591" s="180"/>
    </row>
    <row r="592" spans="6:15" ht="13.2">
      <c r="F592" s="18" t="s">
        <v>1408</v>
      </c>
      <c r="G592" s="18" t="s">
        <v>543</v>
      </c>
      <c r="H592" s="10" t="s">
        <v>1409</v>
      </c>
      <c r="I592" s="10" t="s">
        <v>1410</v>
      </c>
      <c r="J592" s="10" t="s">
        <v>1411</v>
      </c>
      <c r="K592" s="10" t="s">
        <v>1412</v>
      </c>
      <c r="L592" s="10" t="s">
        <v>1413</v>
      </c>
      <c r="M592" s="179" t="s">
        <v>1468</v>
      </c>
      <c r="N592" s="180"/>
      <c r="O592" s="10" t="s">
        <v>1415</v>
      </c>
    </row>
    <row r="593" spans="4:17" ht="13.2">
      <c r="D593" s="18"/>
      <c r="E593" s="18"/>
      <c r="F593" s="18" t="s">
        <v>1560</v>
      </c>
      <c r="G593" s="18" t="s">
        <v>1479</v>
      </c>
      <c r="H593" s="10" t="s">
        <v>1444</v>
      </c>
      <c r="I593" s="10">
        <v>454</v>
      </c>
      <c r="J593" s="43" t="e">
        <f t="array" aca="1" ref="J593" ca="1">_xludf.XLOOKUP(F593, analysis!A:A, analysis!I:I)</f>
        <v>#NAME?</v>
      </c>
      <c r="K593" s="10" t="e">
        <f t="array" aca="1" ref="K593" ca="1">_xludf.XLOOKUP(F593, analysis!A:A, analysis!J:J)</f>
        <v>#NAME?</v>
      </c>
      <c r="L593" s="10" t="e">
        <f t="shared" ref="L593:L595" ca="1" si="33">K593*I593*J593/1000</f>
        <v>#NAME?</v>
      </c>
      <c r="M593" s="10" t="s">
        <v>1417</v>
      </c>
      <c r="P593" s="10" t="str">
        <f ca="1">IFERROR(__xludf.DUMMYFUNCTION("transpose(split(F593,CHAR(10)))"),"pork belly")</f>
        <v>pork belly</v>
      </c>
      <c r="Q593" s="10" t="str">
        <f ca="1">IFERROR(__xludf.DUMMYFUNCTION("transpose(split(G593,CHAR(10)))"),"454g")</f>
        <v>454g</v>
      </c>
    </row>
    <row r="594" spans="4:17" ht="13.2">
      <c r="F594" s="10" t="s">
        <v>646</v>
      </c>
      <c r="G594" s="10" t="s">
        <v>1439</v>
      </c>
      <c r="H594" s="10">
        <v>0</v>
      </c>
      <c r="I594" s="10">
        <v>0</v>
      </c>
      <c r="J594" s="43" t="e">
        <f t="array" aca="1" ref="J594" ca="1">_xludf.XLOOKUP(F594, analysis!A:A, analysis!I:I)</f>
        <v>#NAME?</v>
      </c>
      <c r="K594" s="10" t="e">
        <f t="array" aca="1" ref="K594" ca="1">_xludf.XLOOKUP(F594, analysis!A:A, analysis!J:J)</f>
        <v>#NAME?</v>
      </c>
      <c r="L594" s="10" t="e">
        <f t="shared" ca="1" si="33"/>
        <v>#NAME?</v>
      </c>
      <c r="M594" s="10" t="s">
        <v>1420</v>
      </c>
    </row>
    <row r="595" spans="4:17" ht="13.2">
      <c r="F595" s="10" t="s">
        <v>733</v>
      </c>
      <c r="G595" s="10" t="s">
        <v>1439</v>
      </c>
      <c r="H595" s="10">
        <v>0</v>
      </c>
      <c r="I595" s="10">
        <v>0</v>
      </c>
      <c r="J595" s="43" t="e">
        <f t="array" aca="1" ref="J595" ca="1">_xludf.XLOOKUP(F595, analysis!A:A, analysis!I:I)</f>
        <v>#NAME?</v>
      </c>
      <c r="K595" s="10" t="e">
        <f t="array" aca="1" ref="K595" ca="1">_xludf.XLOOKUP(F595, analysis!A:A, analysis!J:J)</f>
        <v>#NAME?</v>
      </c>
      <c r="L595" s="10" t="e">
        <f t="shared" ca="1" si="33"/>
        <v>#NAME?</v>
      </c>
      <c r="M595" s="10" t="s">
        <v>1423</v>
      </c>
    </row>
    <row r="596" spans="4:17" ht="13.2">
      <c r="M596" s="10" t="s">
        <v>1425</v>
      </c>
    </row>
    <row r="597" spans="4:17" ht="13.2">
      <c r="M597" s="10" t="s">
        <v>1428</v>
      </c>
    </row>
    <row r="598" spans="4:17" ht="13.2">
      <c r="M598" s="10" t="s">
        <v>1429</v>
      </c>
      <c r="N598" s="10">
        <f>((12^2*PI()*8*0.927*1.96*160/0.63)+(10/60)*5773920+(4/60)*5773920)*(10^-6)*50</f>
        <v>150.86261521057452</v>
      </c>
    </row>
    <row r="599" spans="4:17" ht="13.2">
      <c r="M599" s="10" t="s">
        <v>1430</v>
      </c>
    </row>
    <row r="600" spans="4:17" ht="13.2">
      <c r="M600" s="10" t="s">
        <v>1432</v>
      </c>
    </row>
    <row r="601" spans="4:17" ht="13.2">
      <c r="M601" s="10" t="s">
        <v>1433</v>
      </c>
    </row>
    <row r="602" spans="4:17" ht="13.2">
      <c r="M602" s="10" t="s">
        <v>1434</v>
      </c>
    </row>
    <row r="603" spans="4:17" ht="13.2">
      <c r="M603" s="10" t="s">
        <v>1437</v>
      </c>
    </row>
    <row r="604" spans="4:17" ht="13.2">
      <c r="M604" s="10" t="s">
        <v>1474</v>
      </c>
    </row>
    <row r="606" spans="4:17" ht="13.2">
      <c r="K606" s="20" t="s">
        <v>1441</v>
      </c>
      <c r="L606" s="37" t="e">
        <f ca="1">SUM(L593:L595)</f>
        <v>#NAME?</v>
      </c>
      <c r="M606" s="20" t="s">
        <v>1442</v>
      </c>
      <c r="N606" s="37">
        <f>SUM(N593:N604)</f>
        <v>150.86261521057452</v>
      </c>
    </row>
    <row r="608" spans="4:17" ht="13.2">
      <c r="F608" s="185" t="s">
        <v>1257</v>
      </c>
      <c r="G608" s="180"/>
      <c r="H608" s="180"/>
      <c r="I608" s="180"/>
      <c r="J608" s="180"/>
      <c r="K608" s="180"/>
      <c r="L608" s="180"/>
      <c r="M608" s="180"/>
      <c r="N608" s="180"/>
      <c r="O608" s="180"/>
    </row>
    <row r="609" spans="4:17" ht="13.2">
      <c r="F609" s="18" t="s">
        <v>1408</v>
      </c>
      <c r="G609" s="18" t="s">
        <v>543</v>
      </c>
      <c r="H609" s="10" t="s">
        <v>1409</v>
      </c>
      <c r="I609" s="10" t="s">
        <v>1410</v>
      </c>
      <c r="J609" s="10" t="s">
        <v>1411</v>
      </c>
      <c r="K609" s="10" t="s">
        <v>1412</v>
      </c>
      <c r="L609" s="10" t="s">
        <v>1413</v>
      </c>
      <c r="M609" s="179" t="s">
        <v>1468</v>
      </c>
      <c r="N609" s="180"/>
      <c r="O609" s="10" t="s">
        <v>1415</v>
      </c>
    </row>
    <row r="610" spans="4:17" ht="13.2">
      <c r="D610" s="18"/>
      <c r="E610" s="18"/>
      <c r="F610" s="18" t="s">
        <v>653</v>
      </c>
      <c r="G610" s="18" t="s">
        <v>1492</v>
      </c>
      <c r="H610" s="10" t="s">
        <v>1444</v>
      </c>
      <c r="I610" s="10">
        <v>240</v>
      </c>
      <c r="J610" s="43" t="e">
        <f t="array" aca="1" ref="J610" ca="1">_xludf.XLOOKUP(F610, analysis!A:A, analysis!I:I)</f>
        <v>#NAME?</v>
      </c>
      <c r="K610" s="10" t="e">
        <f t="array" aca="1" ref="K610" ca="1">_xludf.XLOOKUP(F610, analysis!A:A, analysis!J:J)</f>
        <v>#NAME?</v>
      </c>
      <c r="L610" s="10" t="e">
        <f t="shared" ref="L610:L616" ca="1" si="34">K610*I610*J610/1000</f>
        <v>#NAME?</v>
      </c>
      <c r="M610" s="10" t="s">
        <v>1417</v>
      </c>
      <c r="P610" s="10" t="str">
        <f ca="1">IFERROR(__xludf.DUMMYFUNCTION("transpose(split(F610,CHAR(10)))"),"water")</f>
        <v>water</v>
      </c>
      <c r="Q610" s="10" t="str">
        <f ca="1">IFERROR(__xludf.DUMMYFUNCTION("transpose(split(G610,CHAR(10)))"),"240ml")</f>
        <v>240ml</v>
      </c>
    </row>
    <row r="611" spans="4:17" ht="13.2">
      <c r="F611" s="10" t="s">
        <v>1623</v>
      </c>
      <c r="G611" s="10" t="s">
        <v>1505</v>
      </c>
      <c r="H611" s="10" t="s">
        <v>1444</v>
      </c>
      <c r="I611" s="10">
        <v>8</v>
      </c>
      <c r="J611" s="43" t="e">
        <f t="array" aca="1" ref="J611" ca="1">_xludf.XLOOKUP(F611, analysis!A:A, analysis!I:I)</f>
        <v>#NAME?</v>
      </c>
      <c r="K611" s="10" t="e">
        <f t="array" aca="1" ref="K611" ca="1">_xludf.XLOOKUP(F611, analysis!A:A, analysis!J:J)</f>
        <v>#NAME?</v>
      </c>
      <c r="L611" s="10" t="e">
        <f t="shared" ca="1" si="34"/>
        <v>#NAME?</v>
      </c>
      <c r="M611" s="10" t="s">
        <v>1420</v>
      </c>
    </row>
    <row r="612" spans="4:17" ht="13.2">
      <c r="F612" s="10" t="s">
        <v>1421</v>
      </c>
      <c r="G612" s="10" t="s">
        <v>746</v>
      </c>
      <c r="H612" s="10" t="s">
        <v>1422</v>
      </c>
      <c r="I612" s="10">
        <f>15*0.914</f>
        <v>13.71</v>
      </c>
      <c r="J612" s="43" t="e">
        <f t="array" aca="1" ref="J612" ca="1">_xludf.XLOOKUP(F612, analysis!A:A, analysis!I:I)</f>
        <v>#NAME?</v>
      </c>
      <c r="K612" s="10" t="e">
        <f t="array" aca="1" ref="K612" ca="1">_xludf.XLOOKUP(F612, analysis!A:A, analysis!J:J)</f>
        <v>#NAME?</v>
      </c>
      <c r="L612" s="10" t="e">
        <f t="shared" ca="1" si="34"/>
        <v>#NAME?</v>
      </c>
      <c r="M612" s="10" t="s">
        <v>1423</v>
      </c>
    </row>
    <row r="613" spans="4:17" ht="13.2">
      <c r="F613" s="10" t="s">
        <v>1463</v>
      </c>
      <c r="G613" s="10" t="s">
        <v>1624</v>
      </c>
      <c r="H613" s="10" t="s">
        <v>1444</v>
      </c>
      <c r="I613" s="10">
        <v>441</v>
      </c>
      <c r="J613" s="43" t="e">
        <f t="array" aca="1" ref="J613" ca="1">_xludf.XLOOKUP(F613, analysis!A:A, analysis!I:I)</f>
        <v>#NAME?</v>
      </c>
      <c r="K613" s="10" t="e">
        <f t="array" aca="1" ref="K613" ca="1">_xludf.XLOOKUP(F613, analysis!A:A, analysis!J:J)</f>
        <v>#NAME?</v>
      </c>
      <c r="L613" s="10" t="e">
        <f t="shared" ca="1" si="34"/>
        <v>#NAME?</v>
      </c>
      <c r="M613" s="10" t="s">
        <v>1425</v>
      </c>
    </row>
    <row r="614" spans="4:17" ht="13.2">
      <c r="F614" s="10" t="s">
        <v>646</v>
      </c>
      <c r="G614" s="10" t="s">
        <v>1620</v>
      </c>
      <c r="H614" s="10" t="s">
        <v>1444</v>
      </c>
      <c r="I614" s="10">
        <v>7</v>
      </c>
      <c r="J614" s="43" t="e">
        <f t="array" aca="1" ref="J614" ca="1">_xludf.XLOOKUP(F614, analysis!A:A, analysis!I:I)</f>
        <v>#NAME?</v>
      </c>
      <c r="K614" s="10" t="e">
        <f t="array" aca="1" ref="K614" ca="1">_xludf.XLOOKUP(F614, analysis!A:A, analysis!J:J)</f>
        <v>#NAME?</v>
      </c>
      <c r="L614" s="10" t="e">
        <f t="shared" ca="1" si="34"/>
        <v>#NAME?</v>
      </c>
      <c r="M614" s="10" t="s">
        <v>1428</v>
      </c>
    </row>
    <row r="615" spans="4:17" ht="13.2">
      <c r="F615" s="10" t="s">
        <v>1454</v>
      </c>
      <c r="G615" s="10" t="s">
        <v>1479</v>
      </c>
      <c r="H615" s="10" t="s">
        <v>1444</v>
      </c>
      <c r="I615" s="10">
        <v>454</v>
      </c>
      <c r="J615" s="43" t="e">
        <f t="array" aca="1" ref="J615" ca="1">_xludf.XLOOKUP(F615, analysis!A:A, analysis!I:I)</f>
        <v>#NAME?</v>
      </c>
      <c r="K615" s="10" t="e">
        <f t="array" aca="1" ref="K615" ca="1">_xludf.XLOOKUP(F615, analysis!A:A, analysis!J:J)</f>
        <v>#NAME?</v>
      </c>
      <c r="L615" s="10" t="e">
        <f t="shared" ca="1" si="34"/>
        <v>#NAME?</v>
      </c>
      <c r="M615" s="10" t="s">
        <v>1429</v>
      </c>
    </row>
    <row r="616" spans="4:17" ht="13.2">
      <c r="F616" s="10" t="s">
        <v>1485</v>
      </c>
      <c r="G616" s="10" t="s">
        <v>1601</v>
      </c>
      <c r="H616" s="10" t="s">
        <v>1444</v>
      </c>
      <c r="I616" s="10">
        <v>25</v>
      </c>
      <c r="J616" s="43" t="e">
        <f t="array" aca="1" ref="J616" ca="1">_xludf.XLOOKUP(F616, analysis!A:A, analysis!I:I)</f>
        <v>#NAME?</v>
      </c>
      <c r="K616" s="10" t="e">
        <f t="array" aca="1" ref="K616" ca="1">_xludf.XLOOKUP(F616, analysis!A:A, analysis!J:J)</f>
        <v>#NAME?</v>
      </c>
      <c r="L616" s="10" t="e">
        <f t="shared" ca="1" si="34"/>
        <v>#NAME?</v>
      </c>
      <c r="M616" s="10" t="s">
        <v>1430</v>
      </c>
    </row>
    <row r="617" spans="4:17" ht="13.2">
      <c r="M617" s="10" t="s">
        <v>1432</v>
      </c>
      <c r="N617" s="10">
        <f>((1.012*1.2923*10^-3*70000*200/0.63)/0.13+(20/60)*5773920+(27.5/60)*5773920)*(10^-6)*50</f>
        <v>239.72884273504272</v>
      </c>
    </row>
    <row r="618" spans="4:17" ht="13.2">
      <c r="M618" s="10" t="s">
        <v>1433</v>
      </c>
    </row>
    <row r="619" spans="4:17" ht="13.2">
      <c r="M619" s="10" t="s">
        <v>1434</v>
      </c>
    </row>
    <row r="620" spans="4:17" ht="13.2">
      <c r="M620" s="10" t="s">
        <v>1437</v>
      </c>
    </row>
    <row r="621" spans="4:17" ht="13.2">
      <c r="M621" s="10" t="s">
        <v>1474</v>
      </c>
    </row>
    <row r="622" spans="4:17" ht="13.2">
      <c r="M622" s="10" t="s">
        <v>1625</v>
      </c>
      <c r="N622" s="10">
        <f>0.9*(5/60+3/60)*59.9</f>
        <v>7.1879999999999997</v>
      </c>
    </row>
    <row r="623" spans="4:17" ht="13.2">
      <c r="K623" s="20" t="s">
        <v>1441</v>
      </c>
      <c r="L623" s="37" t="e">
        <f ca="1">SUM(L610:L616)</f>
        <v>#NAME?</v>
      </c>
      <c r="M623" s="20" t="s">
        <v>1442</v>
      </c>
      <c r="N623" s="37">
        <f>SUM(N610:N622)</f>
        <v>246.91684273504271</v>
      </c>
    </row>
    <row r="625" spans="6:17" ht="13.2">
      <c r="F625" s="184" t="s">
        <v>882</v>
      </c>
      <c r="G625" s="180"/>
      <c r="H625" s="180"/>
      <c r="I625" s="180"/>
      <c r="J625" s="180"/>
      <c r="K625" s="180"/>
      <c r="L625" s="180"/>
      <c r="M625" s="180"/>
      <c r="N625" s="180"/>
      <c r="O625" s="180"/>
    </row>
    <row r="626" spans="6:17" ht="13.2">
      <c r="F626" s="18" t="s">
        <v>1408</v>
      </c>
      <c r="G626" s="18" t="s">
        <v>543</v>
      </c>
      <c r="H626" s="10" t="s">
        <v>1409</v>
      </c>
      <c r="I626" s="10" t="s">
        <v>1410</v>
      </c>
      <c r="J626" s="10" t="s">
        <v>1411</v>
      </c>
      <c r="K626" s="10" t="s">
        <v>1412</v>
      </c>
      <c r="L626" s="10" t="s">
        <v>1413</v>
      </c>
      <c r="M626" s="179" t="s">
        <v>1468</v>
      </c>
      <c r="N626" s="180"/>
      <c r="O626" s="10" t="s">
        <v>1415</v>
      </c>
    </row>
    <row r="627" spans="6:17" ht="13.2">
      <c r="F627" s="18" t="s">
        <v>1495</v>
      </c>
      <c r="G627" s="18">
        <v>3</v>
      </c>
      <c r="H627" s="10" t="s">
        <v>1416</v>
      </c>
      <c r="I627" s="10">
        <f>1.04*3</f>
        <v>3.12</v>
      </c>
      <c r="J627" s="43" t="e">
        <f t="array" aca="1" ref="J627" ca="1">_xludf.XLOOKUP(F627, analysis!A:A, analysis!I:I)</f>
        <v>#NAME?</v>
      </c>
      <c r="K627" s="10" t="e">
        <f t="array" aca="1" ref="K627" ca="1">_xludf.XLOOKUP(F627, analysis!A:A, analysis!J:J)</f>
        <v>#NAME?</v>
      </c>
      <c r="L627" s="10" t="e">
        <f t="shared" ref="L627:L643" ca="1" si="35">K627*I627*J627/1000</f>
        <v>#NAME?</v>
      </c>
      <c r="M627" s="10" t="s">
        <v>1417</v>
      </c>
      <c r="P627" s="10" t="str">
        <f ca="1">IFERROR(__xludf.DUMMYFUNCTION("transpose(split(F627,CHAR(10)))"),"lime")</f>
        <v>lime</v>
      </c>
      <c r="Q627" s="10">
        <f ca="1">IFERROR(__xludf.DUMMYFUNCTION("transpose(split(G627,CHAR(10)))"),3)</f>
        <v>3</v>
      </c>
    </row>
    <row r="628" spans="6:17" ht="13.2">
      <c r="F628" s="10" t="s">
        <v>737</v>
      </c>
      <c r="G628" s="10">
        <v>4</v>
      </c>
      <c r="H628" s="10" t="s">
        <v>1416</v>
      </c>
      <c r="I628" s="10">
        <f>4.4*4</f>
        <v>17.600000000000001</v>
      </c>
      <c r="J628" s="43" t="e">
        <f t="array" aca="1" ref="J628" ca="1">_xludf.XLOOKUP(F628, analysis!A:A, analysis!I:I)</f>
        <v>#NAME?</v>
      </c>
      <c r="K628" s="10" t="e">
        <f t="array" aca="1" ref="K628" ca="1">_xludf.XLOOKUP(F628, analysis!A:A, analysis!J:J)</f>
        <v>#NAME?</v>
      </c>
      <c r="L628" s="10" t="e">
        <f t="shared" ca="1" si="35"/>
        <v>#NAME?</v>
      </c>
      <c r="M628" s="10" t="s">
        <v>1420</v>
      </c>
    </row>
    <row r="629" spans="6:17" ht="13.2">
      <c r="F629" s="10" t="s">
        <v>733</v>
      </c>
      <c r="G629" s="10" t="s">
        <v>1596</v>
      </c>
      <c r="H629" s="10" t="s">
        <v>1422</v>
      </c>
      <c r="I629" s="10">
        <f>0.927*60</f>
        <v>55.620000000000005</v>
      </c>
      <c r="J629" s="43" t="e">
        <f t="array" aca="1" ref="J629" ca="1">_xludf.XLOOKUP(F629, analysis!A:A, analysis!I:I)</f>
        <v>#NAME?</v>
      </c>
      <c r="K629" s="10" t="e">
        <f t="array" aca="1" ref="K629" ca="1">_xludf.XLOOKUP(F629, analysis!A:A, analysis!J:J)</f>
        <v>#NAME?</v>
      </c>
      <c r="L629" s="10" t="e">
        <f t="shared" ca="1" si="35"/>
        <v>#NAME?</v>
      </c>
      <c r="M629" s="10" t="s">
        <v>1423</v>
      </c>
    </row>
    <row r="630" spans="6:17" ht="13.2">
      <c r="F630" s="10" t="s">
        <v>1626</v>
      </c>
      <c r="G630" s="10" t="s">
        <v>1627</v>
      </c>
      <c r="H630" s="10" t="s">
        <v>1452</v>
      </c>
      <c r="I630" s="10">
        <v>1600</v>
      </c>
      <c r="J630" s="43" t="e">
        <f t="array" aca="1" ref="J630" ca="1">_xludf.XLOOKUP(F630, analysis!A:A, analysis!I:I)</f>
        <v>#NAME?</v>
      </c>
      <c r="K630" s="10" t="e">
        <f t="array" aca="1" ref="K630" ca="1">_xludf.XLOOKUP(F630, analysis!A:A, analysis!J:J)</f>
        <v>#NAME?</v>
      </c>
      <c r="L630" s="10" t="e">
        <f t="shared" ca="1" si="35"/>
        <v>#NAME?</v>
      </c>
      <c r="M630" s="10" t="s">
        <v>1425</v>
      </c>
    </row>
    <row r="631" spans="6:17" ht="13.2">
      <c r="F631" s="10" t="s">
        <v>709</v>
      </c>
      <c r="G631" s="10" t="s">
        <v>726</v>
      </c>
      <c r="H631" s="10" t="s">
        <v>1444</v>
      </c>
      <c r="I631" s="10">
        <v>350</v>
      </c>
      <c r="J631" s="43" t="e">
        <f t="array" aca="1" ref="J631" ca="1">_xludf.XLOOKUP(F631, analysis!A:A, analysis!I:I)</f>
        <v>#NAME?</v>
      </c>
      <c r="K631" s="10" t="e">
        <f t="array" aca="1" ref="K631" ca="1">_xludf.XLOOKUP(F631, analysis!A:A, analysis!J:J)</f>
        <v>#NAME?</v>
      </c>
      <c r="L631" s="10" t="e">
        <f t="shared" ca="1" si="35"/>
        <v>#NAME?</v>
      </c>
      <c r="M631" s="10" t="s">
        <v>1428</v>
      </c>
    </row>
    <row r="632" spans="6:17" ht="13.2">
      <c r="F632" s="10" t="s">
        <v>651</v>
      </c>
      <c r="G632" s="10">
        <v>1</v>
      </c>
      <c r="H632" s="10" t="s">
        <v>1416</v>
      </c>
      <c r="I632" s="10">
        <v>70</v>
      </c>
      <c r="J632" s="43" t="e">
        <f t="array" aca="1" ref="J632" ca="1">_xludf.XLOOKUP(F632, analysis!A:A, analysis!I:I)</f>
        <v>#NAME?</v>
      </c>
      <c r="K632" s="10" t="e">
        <f t="array" aca="1" ref="K632" ca="1">_xludf.XLOOKUP(F632, analysis!A:A, analysis!J:J)</f>
        <v>#NAME?</v>
      </c>
      <c r="L632" s="10" t="e">
        <f t="shared" ca="1" si="35"/>
        <v>#NAME?</v>
      </c>
      <c r="M632" s="10" t="s">
        <v>1429</v>
      </c>
    </row>
    <row r="633" spans="6:17" ht="13.2">
      <c r="F633" s="10" t="s">
        <v>1628</v>
      </c>
      <c r="G633" s="10">
        <v>1</v>
      </c>
      <c r="H633" s="10" t="s">
        <v>1416</v>
      </c>
      <c r="I633" s="10">
        <v>55</v>
      </c>
      <c r="J633" s="43" t="e">
        <f t="array" aca="1" ref="J633" ca="1">_xludf.XLOOKUP(F633, analysis!A:A, analysis!I:I)</f>
        <v>#NAME?</v>
      </c>
      <c r="K633" s="10" t="e">
        <f t="array" aca="1" ref="K633" ca="1">_xludf.XLOOKUP(F633, analysis!A:A, analysis!J:J)</f>
        <v>#NAME?</v>
      </c>
      <c r="L633" s="10" t="e">
        <f t="shared" ca="1" si="35"/>
        <v>#NAME?</v>
      </c>
      <c r="M633" s="10" t="s">
        <v>1430</v>
      </c>
      <c r="N633" s="10">
        <f>(((15*0.927*1.96*160)/0.63)+(2/60)*5773920)*10^-6*50+(((15*0.927*1.96*160)/0.63)+(10/60)*5773920)*10^-6*50+(((15*0.927*1.96*160)/0.63)+(5/60)*5773920+(1/60)*5773920)*10^-6*50</f>
        <v>87.64703999999999</v>
      </c>
    </row>
    <row r="634" spans="6:17" ht="13.2">
      <c r="F634" s="10" t="s">
        <v>658</v>
      </c>
      <c r="G634" s="10">
        <v>4</v>
      </c>
      <c r="H634" s="10" t="s">
        <v>1416</v>
      </c>
      <c r="I634" s="10">
        <f>4*100</f>
        <v>400</v>
      </c>
      <c r="J634" s="43" t="e">
        <f t="array" aca="1" ref="J634" ca="1">_xludf.XLOOKUP(F634, analysis!A:A, analysis!I:I)</f>
        <v>#NAME?</v>
      </c>
      <c r="K634" s="10" t="e">
        <f t="array" aca="1" ref="K634" ca="1">_xludf.XLOOKUP(F634, analysis!A:A, analysis!J:J)</f>
        <v>#NAME?</v>
      </c>
      <c r="L634" s="10" t="e">
        <f t="shared" ca="1" si="35"/>
        <v>#NAME?</v>
      </c>
      <c r="M634" s="10" t="s">
        <v>1432</v>
      </c>
    </row>
    <row r="635" spans="6:17" ht="13.2">
      <c r="F635" s="10" t="s">
        <v>667</v>
      </c>
      <c r="G635" s="10" t="s">
        <v>1629</v>
      </c>
      <c r="H635" s="10" t="s">
        <v>1422</v>
      </c>
      <c r="I635" s="10">
        <v>450</v>
      </c>
      <c r="J635" s="43" t="e">
        <f t="array" aca="1" ref="J635" ca="1">_xludf.XLOOKUP(F635, analysis!A:A, analysis!I:I)</f>
        <v>#NAME?</v>
      </c>
      <c r="K635" s="10" t="e">
        <f t="array" aca="1" ref="K635" ca="1">_xludf.XLOOKUP(F635, analysis!A:A, analysis!J:J)</f>
        <v>#NAME?</v>
      </c>
      <c r="L635" s="10" t="e">
        <f t="shared" ca="1" si="35"/>
        <v>#NAME?</v>
      </c>
      <c r="M635" s="10" t="s">
        <v>1433</v>
      </c>
    </row>
    <row r="636" spans="6:17" ht="13.2">
      <c r="F636" s="10" t="s">
        <v>1630</v>
      </c>
      <c r="G636" s="10" t="s">
        <v>1555</v>
      </c>
      <c r="H636" s="10" t="s">
        <v>1444</v>
      </c>
      <c r="I636" s="10">
        <v>40</v>
      </c>
      <c r="J636" s="43" t="e">
        <f t="array" aca="1" ref="J636" ca="1">_xludf.XLOOKUP(F636, analysis!A:A, analysis!I:I)</f>
        <v>#NAME?</v>
      </c>
      <c r="K636" s="10" t="e">
        <f t="array" aca="1" ref="K636" ca="1">_xludf.XLOOKUP(F636, analysis!A:A, analysis!J:J)</f>
        <v>#NAME?</v>
      </c>
      <c r="L636" s="10" t="e">
        <f t="shared" ca="1" si="35"/>
        <v>#NAME?</v>
      </c>
      <c r="M636" s="10" t="s">
        <v>1434</v>
      </c>
    </row>
    <row r="637" spans="6:17" ht="13.2">
      <c r="F637" s="10" t="s">
        <v>1631</v>
      </c>
      <c r="G637" s="10" t="s">
        <v>1555</v>
      </c>
      <c r="H637" s="10" t="s">
        <v>1444</v>
      </c>
      <c r="I637" s="10">
        <v>40</v>
      </c>
      <c r="J637" s="43" t="e">
        <f t="array" aca="1" ref="J637" ca="1">_xludf.XLOOKUP(F637, analysis!A:A, analysis!I:I)</f>
        <v>#NAME?</v>
      </c>
      <c r="K637" s="10" t="e">
        <f t="array" aca="1" ref="K637" ca="1">_xludf.XLOOKUP(F637, analysis!A:A, analysis!J:J)</f>
        <v>#NAME?</v>
      </c>
      <c r="L637" s="10" t="e">
        <f t="shared" ca="1" si="35"/>
        <v>#NAME?</v>
      </c>
      <c r="M637" s="10" t="s">
        <v>1437</v>
      </c>
    </row>
    <row r="638" spans="6:17" ht="13.2">
      <c r="F638" s="10" t="s">
        <v>1632</v>
      </c>
      <c r="G638" s="10" t="s">
        <v>1601</v>
      </c>
      <c r="H638" s="10" t="s">
        <v>1444</v>
      </c>
      <c r="I638" s="10">
        <v>25</v>
      </c>
      <c r="J638" s="43" t="e">
        <f t="array" aca="1" ref="J638" ca="1">_xludf.XLOOKUP(F638, analysis!A:A, analysis!I:I)</f>
        <v>#NAME?</v>
      </c>
      <c r="K638" s="10" t="e">
        <f t="array" aca="1" ref="K638" ca="1">_xludf.XLOOKUP(F638, analysis!A:A, analysis!J:J)</f>
        <v>#NAME?</v>
      </c>
      <c r="L638" s="10" t="e">
        <f t="shared" ca="1" si="35"/>
        <v>#NAME?</v>
      </c>
      <c r="M638" s="10" t="s">
        <v>1474</v>
      </c>
    </row>
    <row r="639" spans="6:17" ht="13.2">
      <c r="F639" s="10" t="s">
        <v>1633</v>
      </c>
      <c r="G639" s="10" t="s">
        <v>1601</v>
      </c>
      <c r="H639" s="10" t="s">
        <v>1444</v>
      </c>
      <c r="I639" s="10">
        <v>25</v>
      </c>
      <c r="J639" s="43" t="e">
        <f t="array" aca="1" ref="J639" ca="1">_xludf.XLOOKUP(F639, analysis!A:A, analysis!I:I)</f>
        <v>#NAME?</v>
      </c>
      <c r="K639" s="10" t="e">
        <f t="array" aca="1" ref="K639" ca="1">_xludf.XLOOKUP(F639, analysis!A:A, analysis!J:J)</f>
        <v>#NAME?</v>
      </c>
      <c r="L639" s="10" t="e">
        <f t="shared" ca="1" si="35"/>
        <v>#NAME?</v>
      </c>
      <c r="M639" s="10" t="s">
        <v>1625</v>
      </c>
      <c r="N639" s="10">
        <f>((30/60)*5773920)*(10^-6)*50+((5/60)*5773920)*(10^-6)*50</f>
        <v>168.40599999999998</v>
      </c>
    </row>
    <row r="640" spans="6:17" ht="13.2">
      <c r="F640" s="10" t="s">
        <v>712</v>
      </c>
      <c r="G640" s="10" t="s">
        <v>1506</v>
      </c>
      <c r="H640" s="10" t="s">
        <v>1422</v>
      </c>
      <c r="I640" s="10">
        <f>0.89*30</f>
        <v>26.7</v>
      </c>
      <c r="J640" s="43" t="e">
        <f t="array" aca="1" ref="J640" ca="1">_xludf.XLOOKUP(F640, analysis!A:A, analysis!I:I)</f>
        <v>#NAME?</v>
      </c>
      <c r="K640" s="10" t="e">
        <f t="array" aca="1" ref="K640" ca="1">_xludf.XLOOKUP(F640, analysis!A:A, analysis!J:J)</f>
        <v>#NAME?</v>
      </c>
      <c r="L640" s="10" t="e">
        <f t="shared" ca="1" si="35"/>
        <v>#NAME?</v>
      </c>
    </row>
    <row r="641" spans="6:17" ht="13.2">
      <c r="F641" s="10" t="s">
        <v>663</v>
      </c>
      <c r="G641" s="10" t="s">
        <v>1634</v>
      </c>
      <c r="H641" s="10" t="s">
        <v>1422</v>
      </c>
      <c r="I641" s="10">
        <f>1.02*400</f>
        <v>408</v>
      </c>
      <c r="J641" s="43" t="e">
        <f t="array" aca="1" ref="J641" ca="1">_xludf.XLOOKUP(F641, analysis!A:A, analysis!I:I)</f>
        <v>#NAME?</v>
      </c>
      <c r="K641" s="10" t="e">
        <f t="array" aca="1" ref="K641" ca="1">_xludf.XLOOKUP(F641, analysis!A:A, analysis!J:J)</f>
        <v>#NAME?</v>
      </c>
      <c r="L641" s="10" t="e">
        <f t="shared" ca="1" si="35"/>
        <v>#NAME?</v>
      </c>
    </row>
    <row r="642" spans="6:17" ht="13.2">
      <c r="F642" s="10" t="s">
        <v>1635</v>
      </c>
      <c r="G642" s="10" t="s">
        <v>1601</v>
      </c>
      <c r="H642" s="10" t="s">
        <v>1444</v>
      </c>
      <c r="I642" s="10">
        <v>25</v>
      </c>
      <c r="J642" s="43" t="e">
        <f t="array" aca="1" ref="J642" ca="1">_xludf.XLOOKUP(F642, analysis!A:A, analysis!I:I)</f>
        <v>#NAME?</v>
      </c>
      <c r="K642" s="10" t="e">
        <f t="array" aca="1" ref="K642" ca="1">_xludf.XLOOKUP(F642, analysis!A:A, analysis!J:J)</f>
        <v>#NAME?</v>
      </c>
      <c r="L642" s="10" t="e">
        <f t="shared" ca="1" si="35"/>
        <v>#NAME?</v>
      </c>
    </row>
    <row r="643" spans="6:17" ht="13.2">
      <c r="F643" s="10" t="s">
        <v>646</v>
      </c>
      <c r="G643" s="10" t="s">
        <v>1562</v>
      </c>
      <c r="H643" s="10">
        <v>0</v>
      </c>
      <c r="I643" s="10">
        <v>0</v>
      </c>
      <c r="J643" s="43" t="e">
        <f t="array" aca="1" ref="J643" ca="1">_xludf.XLOOKUP(F643, analysis!A:A, analysis!I:I)</f>
        <v>#NAME?</v>
      </c>
      <c r="K643" s="10" t="e">
        <f t="array" aca="1" ref="K643" ca="1">_xludf.XLOOKUP(F643, analysis!A:A, analysis!J:J)</f>
        <v>#NAME?</v>
      </c>
      <c r="L643" s="10" t="e">
        <f t="shared" ca="1" si="35"/>
        <v>#NAME?</v>
      </c>
    </row>
    <row r="645" spans="6:17" ht="13.2">
      <c r="K645" s="20" t="s">
        <v>1441</v>
      </c>
      <c r="L645" s="37" t="e">
        <f ca="1">SUM(L627:L643)</f>
        <v>#NAME?</v>
      </c>
      <c r="M645" s="20" t="s">
        <v>1442</v>
      </c>
      <c r="N645" s="37">
        <f>SUM(N627:N639)</f>
        <v>256.05303999999995</v>
      </c>
    </row>
    <row r="647" spans="6:17" ht="13.2">
      <c r="F647" s="184" t="s">
        <v>887</v>
      </c>
      <c r="G647" s="180"/>
      <c r="H647" s="180"/>
      <c r="I647" s="180"/>
      <c r="J647" s="180"/>
      <c r="K647" s="180"/>
      <c r="L647" s="180"/>
      <c r="M647" s="180"/>
      <c r="N647" s="180"/>
      <c r="O647" s="180"/>
    </row>
    <row r="648" spans="6:17" ht="13.2">
      <c r="F648" s="18" t="s">
        <v>1408</v>
      </c>
      <c r="G648" s="18" t="s">
        <v>543</v>
      </c>
      <c r="H648" s="10" t="s">
        <v>1409</v>
      </c>
      <c r="I648" s="10" t="s">
        <v>1410</v>
      </c>
      <c r="J648" s="10" t="s">
        <v>1411</v>
      </c>
      <c r="K648" s="10" t="s">
        <v>1412</v>
      </c>
      <c r="L648" s="10" t="s">
        <v>1413</v>
      </c>
      <c r="M648" s="179" t="s">
        <v>1468</v>
      </c>
      <c r="N648" s="180"/>
      <c r="O648" s="10" t="s">
        <v>1415</v>
      </c>
    </row>
    <row r="649" spans="6:17" ht="13.2">
      <c r="F649" s="10" t="s">
        <v>1636</v>
      </c>
      <c r="G649" s="10" t="s">
        <v>1637</v>
      </c>
      <c r="H649" s="10" t="s">
        <v>1444</v>
      </c>
      <c r="I649" s="10">
        <v>700</v>
      </c>
      <c r="J649" s="43" t="e">
        <f t="array" aca="1" ref="J649" ca="1">_xludf.XLOOKUP(F649, analysis!A:A, analysis!I:I)</f>
        <v>#NAME?</v>
      </c>
      <c r="K649" s="10" t="e">
        <f t="array" aca="1" ref="K649" ca="1">_xludf.XLOOKUP(F649, analysis!A:A, analysis!J:J)</f>
        <v>#NAME?</v>
      </c>
      <c r="L649" s="10" t="e">
        <f t="shared" ref="L649:L664" ca="1" si="36">K649*I649*J649/1000</f>
        <v>#NAME?</v>
      </c>
      <c r="M649" s="10" t="s">
        <v>1417</v>
      </c>
      <c r="P649" s="10" t="str">
        <f ca="1">IFERROR(__xludf.DUMMYFUNCTION("transpose(split(F649,CHAR(10)))"),"chicken breast")</f>
        <v>chicken breast</v>
      </c>
      <c r="Q649" s="10" t="str">
        <f ca="1">IFERROR(__xludf.DUMMYFUNCTION("transpose(split(G649,CHAR(10)))"),"700g")</f>
        <v>700g</v>
      </c>
    </row>
    <row r="650" spans="6:17" ht="13.2">
      <c r="F650" s="10" t="s">
        <v>737</v>
      </c>
      <c r="G650" s="10">
        <v>4</v>
      </c>
      <c r="H650" s="10" t="s">
        <v>1416</v>
      </c>
      <c r="I650" s="10">
        <f>4*4.4</f>
        <v>17.600000000000001</v>
      </c>
      <c r="J650" s="43" t="e">
        <f t="array" aca="1" ref="J650" ca="1">_xludf.XLOOKUP(F650, analysis!A:A, analysis!I:I)</f>
        <v>#NAME?</v>
      </c>
      <c r="K650" s="10" t="e">
        <f t="array" aca="1" ref="K650" ca="1">_xludf.XLOOKUP(F650, analysis!A:A, analysis!J:J)</f>
        <v>#NAME?</v>
      </c>
      <c r="L650" s="10" t="e">
        <f t="shared" ca="1" si="36"/>
        <v>#NAME?</v>
      </c>
      <c r="M650" s="10" t="s">
        <v>1420</v>
      </c>
    </row>
    <row r="651" spans="6:17" ht="13.2">
      <c r="F651" s="10" t="s">
        <v>733</v>
      </c>
      <c r="G651" s="10" t="s">
        <v>1596</v>
      </c>
      <c r="H651" s="10" t="s">
        <v>1422</v>
      </c>
      <c r="I651" s="10">
        <f>60*0.927</f>
        <v>55.620000000000005</v>
      </c>
      <c r="J651" s="43" t="e">
        <f t="array" aca="1" ref="J651" ca="1">_xludf.XLOOKUP(F651, analysis!A:A, analysis!I:I)</f>
        <v>#NAME?</v>
      </c>
      <c r="K651" s="10" t="e">
        <f t="array" aca="1" ref="K651" ca="1">_xludf.XLOOKUP(F651, analysis!A:A, analysis!J:J)</f>
        <v>#NAME?</v>
      </c>
      <c r="L651" s="10" t="e">
        <f t="shared" ca="1" si="36"/>
        <v>#NAME?</v>
      </c>
      <c r="M651" s="10" t="s">
        <v>1423</v>
      </c>
    </row>
    <row r="652" spans="6:17" ht="13.2">
      <c r="F652" s="10" t="s">
        <v>651</v>
      </c>
      <c r="G652" s="10">
        <v>1</v>
      </c>
      <c r="H652" s="10" t="s">
        <v>1416</v>
      </c>
      <c r="I652" s="10">
        <v>70</v>
      </c>
      <c r="J652" s="43" t="e">
        <f t="array" aca="1" ref="J652" ca="1">_xludf.XLOOKUP(F652, analysis!A:A, analysis!I:I)</f>
        <v>#NAME?</v>
      </c>
      <c r="K652" s="10" t="e">
        <f t="array" aca="1" ref="K652" ca="1">_xludf.XLOOKUP(F652, analysis!A:A, analysis!J:J)</f>
        <v>#NAME?</v>
      </c>
      <c r="L652" s="10" t="e">
        <f t="shared" ca="1" si="36"/>
        <v>#NAME?</v>
      </c>
      <c r="M652" s="10" t="s">
        <v>1425</v>
      </c>
    </row>
    <row r="653" spans="6:17" ht="13.2">
      <c r="F653" s="10" t="s">
        <v>658</v>
      </c>
      <c r="G653" s="10">
        <v>4</v>
      </c>
      <c r="H653" s="10" t="s">
        <v>1416</v>
      </c>
      <c r="I653" s="10">
        <f>4*100</f>
        <v>400</v>
      </c>
      <c r="J653" s="43" t="e">
        <f t="array" aca="1" ref="J653" ca="1">_xludf.XLOOKUP(F653, analysis!A:A, analysis!I:I)</f>
        <v>#NAME?</v>
      </c>
      <c r="K653" s="10" t="e">
        <f t="array" aca="1" ref="K653" ca="1">_xludf.XLOOKUP(F653, analysis!A:A, analysis!J:J)</f>
        <v>#NAME?</v>
      </c>
      <c r="L653" s="10" t="e">
        <f t="shared" ca="1" si="36"/>
        <v>#NAME?</v>
      </c>
      <c r="M653" s="10" t="s">
        <v>1428</v>
      </c>
    </row>
    <row r="654" spans="6:17" ht="13.2">
      <c r="F654" s="10" t="s">
        <v>1638</v>
      </c>
      <c r="G654" s="10" t="s">
        <v>1559</v>
      </c>
      <c r="H654" s="10" t="s">
        <v>1444</v>
      </c>
      <c r="I654" s="10">
        <v>300</v>
      </c>
      <c r="J654" s="43" t="e">
        <f t="array" aca="1" ref="J654" ca="1">_xludf.XLOOKUP(F654, analysis!A:A, analysis!I:I)</f>
        <v>#NAME?</v>
      </c>
      <c r="K654" s="10" t="e">
        <f t="array" aca="1" ref="K654" ca="1">_xludf.XLOOKUP(F654, analysis!A:A, analysis!J:J)</f>
        <v>#NAME?</v>
      </c>
      <c r="L654" s="10" t="e">
        <f t="shared" ca="1" si="36"/>
        <v>#NAME?</v>
      </c>
      <c r="M654" s="10" t="s">
        <v>1429</v>
      </c>
    </row>
    <row r="655" spans="6:17" ht="13.2">
      <c r="F655" s="10" t="s">
        <v>1449</v>
      </c>
      <c r="G655" s="10" t="s">
        <v>1506</v>
      </c>
      <c r="H655" s="10" t="s">
        <v>1422</v>
      </c>
      <c r="I655" s="10">
        <f>0.11*30</f>
        <v>3.3</v>
      </c>
      <c r="J655" s="43" t="e">
        <f t="array" aca="1" ref="J655" ca="1">_xludf.XLOOKUP(F655, analysis!A:A, analysis!I:I)</f>
        <v>#NAME?</v>
      </c>
      <c r="K655" s="10" t="e">
        <f t="array" aca="1" ref="K655" ca="1">_xludf.XLOOKUP(F655, analysis!A:A, analysis!J:J)</f>
        <v>#NAME?</v>
      </c>
      <c r="L655" s="10" t="e">
        <f t="shared" ca="1" si="36"/>
        <v>#NAME?</v>
      </c>
      <c r="M655" s="10" t="s">
        <v>1430</v>
      </c>
      <c r="N655" s="10">
        <f>(((I651*1.96*160)/0.63)+(5/60)*5773920+(4.5/60)*5773920+(5/60)*5773920)*10^-6*50</f>
        <v>71.152519999999996</v>
      </c>
    </row>
    <row r="656" spans="6:17" ht="13.2">
      <c r="F656" s="10" t="s">
        <v>1457</v>
      </c>
      <c r="G656" s="10">
        <v>4</v>
      </c>
      <c r="H656" s="10" t="s">
        <v>1416</v>
      </c>
      <c r="I656" s="10">
        <f>4*6.2</f>
        <v>24.8</v>
      </c>
      <c r="J656" s="43" t="e">
        <f t="array" aca="1" ref="J656" ca="1">_xludf.XLOOKUP(F656, analysis!A:A, analysis!I:I)</f>
        <v>#NAME?</v>
      </c>
      <c r="K656" s="10" t="e">
        <f t="array" aca="1" ref="K656" ca="1">_xludf.XLOOKUP(F656, analysis!A:A, analysis!J:J)</f>
        <v>#NAME?</v>
      </c>
      <c r="L656" s="10" t="e">
        <f t="shared" ca="1" si="36"/>
        <v>#NAME?</v>
      </c>
      <c r="M656" s="10" t="s">
        <v>1432</v>
      </c>
      <c r="N656" s="10">
        <f>((1.012*1.2923*10^-3*70000*170/0.63)/0.13+(20/60)*5773920+(30/60)*5773920)*(10^-6)*50</f>
        <v>250.0811663247863</v>
      </c>
    </row>
    <row r="657" spans="4:17" ht="13.2">
      <c r="F657" s="10" t="s">
        <v>646</v>
      </c>
      <c r="G657" s="10" t="s">
        <v>1439</v>
      </c>
      <c r="H657" s="10">
        <v>0</v>
      </c>
      <c r="I657" s="10">
        <v>0</v>
      </c>
      <c r="J657" s="43" t="e">
        <f t="array" aca="1" ref="J657" ca="1">_xludf.XLOOKUP(F657, analysis!A:A, analysis!I:I)</f>
        <v>#NAME?</v>
      </c>
      <c r="K657" s="10" t="e">
        <f t="array" aca="1" ref="K657" ca="1">_xludf.XLOOKUP(F657, analysis!A:A, analysis!J:J)</f>
        <v>#NAME?</v>
      </c>
      <c r="L657" s="10" t="e">
        <f t="shared" ca="1" si="36"/>
        <v>#NAME?</v>
      </c>
      <c r="M657" s="10" t="s">
        <v>1433</v>
      </c>
    </row>
    <row r="658" spans="4:17" ht="13.2">
      <c r="F658" s="10" t="s">
        <v>1440</v>
      </c>
      <c r="G658" s="10" t="s">
        <v>1439</v>
      </c>
      <c r="H658" s="10">
        <v>0</v>
      </c>
      <c r="I658" s="10">
        <v>0</v>
      </c>
      <c r="J658" s="43" t="e">
        <f t="array" aca="1" ref="J658" ca="1">_xludf.XLOOKUP(F658, analysis!A:A, analysis!I:I)</f>
        <v>#NAME?</v>
      </c>
      <c r="K658" s="10" t="e">
        <f t="array" aca="1" ref="K658" ca="1">_xludf.XLOOKUP(F658, analysis!A:A, analysis!J:J)</f>
        <v>#NAME?</v>
      </c>
      <c r="L658" s="10" t="e">
        <f t="shared" ca="1" si="36"/>
        <v>#NAME?</v>
      </c>
      <c r="M658" s="10" t="s">
        <v>1434</v>
      </c>
    </row>
    <row r="659" spans="4:17" ht="13.2">
      <c r="F659" s="10" t="s">
        <v>1463</v>
      </c>
      <c r="G659" s="10" t="s">
        <v>1639</v>
      </c>
      <c r="H659" s="10" t="s">
        <v>1444</v>
      </c>
      <c r="I659" s="10">
        <v>850</v>
      </c>
      <c r="J659" s="43" t="e">
        <f t="array" aca="1" ref="J659" ca="1">_xludf.XLOOKUP(F659, analysis!A:A, analysis!I:I)</f>
        <v>#NAME?</v>
      </c>
      <c r="K659" s="10" t="e">
        <f t="array" aca="1" ref="K659" ca="1">_xludf.XLOOKUP(F659, analysis!A:A, analysis!J:J)</f>
        <v>#NAME?</v>
      </c>
      <c r="L659" s="10" t="e">
        <f t="shared" ca="1" si="36"/>
        <v>#NAME?</v>
      </c>
      <c r="M659" s="10" t="s">
        <v>1437</v>
      </c>
    </row>
    <row r="660" spans="4:17" ht="13.2">
      <c r="F660" s="10" t="s">
        <v>646</v>
      </c>
      <c r="G660" s="10" t="s">
        <v>1557</v>
      </c>
      <c r="H660" s="10" t="s">
        <v>1422</v>
      </c>
      <c r="I660" s="10">
        <f>1.38*10</f>
        <v>13.799999999999999</v>
      </c>
      <c r="J660" s="43" t="e">
        <f t="array" aca="1" ref="J660" ca="1">_xludf.XLOOKUP(F660, analysis!A:A, analysis!I:I)</f>
        <v>#NAME?</v>
      </c>
      <c r="K660" s="10" t="e">
        <f t="array" aca="1" ref="K660" ca="1">_xludf.XLOOKUP(F660, analysis!A:A, analysis!J:J)</f>
        <v>#NAME?</v>
      </c>
      <c r="L660" s="10" t="e">
        <f t="shared" ca="1" si="36"/>
        <v>#NAME?</v>
      </c>
      <c r="M660" s="10" t="s">
        <v>1474</v>
      </c>
    </row>
    <row r="661" spans="4:17" ht="13.2">
      <c r="F661" s="10" t="s">
        <v>652</v>
      </c>
      <c r="G661" s="10" t="s">
        <v>1559</v>
      </c>
      <c r="H661" s="10" t="s">
        <v>1444</v>
      </c>
      <c r="I661" s="10">
        <v>300</v>
      </c>
      <c r="J661" s="43" t="e">
        <f t="array" aca="1" ref="J661" ca="1">_xludf.XLOOKUP(F661, analysis!A:A, analysis!I:I)</f>
        <v>#NAME?</v>
      </c>
      <c r="K661" s="10" t="e">
        <f t="array" aca="1" ref="K661" ca="1">_xludf.XLOOKUP(F661, analysis!A:A, analysis!J:J)</f>
        <v>#NAME?</v>
      </c>
      <c r="L661" s="10" t="e">
        <f t="shared" ca="1" si="36"/>
        <v>#NAME?</v>
      </c>
      <c r="M661" s="10" t="s">
        <v>1625</v>
      </c>
      <c r="N661" s="10">
        <f>((30/60)*5773920)*(10^-6)*50+((5/60)*5773920)*(10^-6)*50</f>
        <v>168.40599999999998</v>
      </c>
    </row>
    <row r="662" spans="4:17" ht="13.2">
      <c r="F662" s="10" t="s">
        <v>1640</v>
      </c>
      <c r="G662" s="10">
        <v>2</v>
      </c>
      <c r="H662" s="10" t="s">
        <v>1416</v>
      </c>
      <c r="I662" s="10">
        <v>13.5</v>
      </c>
      <c r="J662" s="43" t="e">
        <f t="array" aca="1" ref="J662" ca="1">_xludf.XLOOKUP(F662, analysis!A:A, analysis!I:I)</f>
        <v>#NAME?</v>
      </c>
      <c r="K662" s="10" t="e">
        <f t="array" aca="1" ref="K662" ca="1">_xludf.XLOOKUP(F662, analysis!A:A, analysis!J:J)</f>
        <v>#NAME?</v>
      </c>
      <c r="L662" s="10" t="e">
        <f t="shared" ca="1" si="36"/>
        <v>#NAME?</v>
      </c>
    </row>
    <row r="663" spans="4:17" ht="13.2">
      <c r="F663" s="10" t="s">
        <v>1640</v>
      </c>
      <c r="G663" s="10">
        <v>1</v>
      </c>
      <c r="H663" s="10" t="s">
        <v>1416</v>
      </c>
      <c r="I663" s="10">
        <v>13.5</v>
      </c>
      <c r="J663" s="43" t="e">
        <f t="array" aca="1" ref="J663" ca="1">_xludf.XLOOKUP(F663, analysis!A:A, analysis!I:I)</f>
        <v>#NAME?</v>
      </c>
      <c r="K663" s="10" t="e">
        <f t="array" aca="1" ref="K663" ca="1">_xludf.XLOOKUP(F663, analysis!A:A, analysis!J:J)</f>
        <v>#NAME?</v>
      </c>
      <c r="L663" s="10" t="e">
        <f t="shared" ca="1" si="36"/>
        <v>#NAME?</v>
      </c>
    </row>
    <row r="664" spans="4:17" ht="13.2">
      <c r="F664" s="10" t="s">
        <v>1421</v>
      </c>
      <c r="G664" s="10" t="s">
        <v>738</v>
      </c>
      <c r="H664" s="10" t="s">
        <v>1422</v>
      </c>
      <c r="I664" s="10">
        <f>5*0.914</f>
        <v>4.57</v>
      </c>
      <c r="J664" s="43" t="e">
        <f t="array" aca="1" ref="J664" ca="1">_xludf.XLOOKUP(F664, analysis!A:A, analysis!I:I)</f>
        <v>#NAME?</v>
      </c>
      <c r="K664" s="10" t="e">
        <f t="array" aca="1" ref="K664" ca="1">_xludf.XLOOKUP(F664, analysis!A:A, analysis!J:J)</f>
        <v>#NAME?</v>
      </c>
      <c r="L664" s="10" t="e">
        <f t="shared" ca="1" si="36"/>
        <v>#NAME?</v>
      </c>
    </row>
    <row r="666" spans="4:17" ht="13.2">
      <c r="K666" s="20" t="s">
        <v>1441</v>
      </c>
      <c r="L666" s="37" t="e">
        <f ca="1">SUM(L649:L664)</f>
        <v>#NAME?</v>
      </c>
      <c r="M666" s="20" t="s">
        <v>1442</v>
      </c>
      <c r="N666" s="37">
        <f>SUM(N649:N661)</f>
        <v>489.63968632478623</v>
      </c>
    </row>
    <row r="667" spans="4:17" ht="13.2">
      <c r="F667" s="185" t="s">
        <v>1109</v>
      </c>
      <c r="G667" s="180"/>
      <c r="H667" s="180"/>
      <c r="I667" s="180"/>
      <c r="J667" s="180"/>
      <c r="K667" s="180"/>
      <c r="L667" s="180"/>
      <c r="M667" s="180"/>
      <c r="N667" s="180"/>
      <c r="O667" s="180"/>
    </row>
    <row r="668" spans="4:17" ht="13.2">
      <c r="F668" s="18" t="s">
        <v>1408</v>
      </c>
      <c r="G668" s="18" t="s">
        <v>543</v>
      </c>
      <c r="H668" s="10" t="s">
        <v>1409</v>
      </c>
      <c r="I668" s="10" t="s">
        <v>1410</v>
      </c>
      <c r="J668" s="10" t="s">
        <v>1411</v>
      </c>
      <c r="K668" s="10" t="s">
        <v>1412</v>
      </c>
      <c r="L668" s="10" t="s">
        <v>1413</v>
      </c>
      <c r="M668" s="179" t="s">
        <v>1468</v>
      </c>
      <c r="N668" s="180"/>
      <c r="O668" s="10" t="s">
        <v>1415</v>
      </c>
    </row>
    <row r="669" spans="4:17" ht="13.2">
      <c r="D669" s="18"/>
      <c r="E669" s="18"/>
      <c r="F669" s="18" t="s">
        <v>1641</v>
      </c>
      <c r="G669" s="18" t="s">
        <v>1497</v>
      </c>
      <c r="H669" s="10" t="s">
        <v>1444</v>
      </c>
      <c r="I669" s="10">
        <v>907</v>
      </c>
      <c r="J669" s="43" t="e">
        <f t="array" aca="1" ref="J669" ca="1">_xludf.XLOOKUP(F669, analysis!A:A, analysis!I:I)</f>
        <v>#NAME?</v>
      </c>
      <c r="K669" s="10" t="e">
        <f t="array" aca="1" ref="K669" ca="1">_xludf.XLOOKUP(F669, analysis!A:A, analysis!J:J)</f>
        <v>#NAME?</v>
      </c>
      <c r="L669" s="10" t="e">
        <f t="shared" ref="L669:L682" ca="1" si="37">K669*I669*J669/1000</f>
        <v>#NAME?</v>
      </c>
      <c r="M669" s="10" t="s">
        <v>1417</v>
      </c>
      <c r="P669" s="10" t="str">
        <f ca="1">IFERROR(__xludf.DUMMYFUNCTION("transpose(split(F669,CHAR(10)))"),"chicken thights")</f>
        <v>chicken thights</v>
      </c>
      <c r="Q669" s="10" t="str">
        <f ca="1">IFERROR(__xludf.DUMMYFUNCTION("transpose(split(G669,CHAR(10)))"),"907g")</f>
        <v>907g</v>
      </c>
    </row>
    <row r="670" spans="4:17" ht="13.2">
      <c r="F670" s="10" t="s">
        <v>1495</v>
      </c>
      <c r="G670" s="10">
        <v>1</v>
      </c>
      <c r="H670" s="10" t="s">
        <v>1416</v>
      </c>
      <c r="I670" s="10">
        <v>84</v>
      </c>
      <c r="J670" s="43" t="e">
        <f t="array" aca="1" ref="J670" ca="1">_xludf.XLOOKUP(F670, analysis!A:A, analysis!I:I)</f>
        <v>#NAME?</v>
      </c>
      <c r="K670" s="10" t="e">
        <f t="array" aca="1" ref="K670" ca="1">_xludf.XLOOKUP(F670, analysis!A:A, analysis!J:J)</f>
        <v>#NAME?</v>
      </c>
      <c r="L670" s="10" t="e">
        <f t="shared" ca="1" si="37"/>
        <v>#NAME?</v>
      </c>
      <c r="M670" s="10" t="s">
        <v>1420</v>
      </c>
    </row>
    <row r="671" spans="4:17" ht="13.2">
      <c r="F671" s="10" t="s">
        <v>646</v>
      </c>
      <c r="G671" s="10" t="s">
        <v>1439</v>
      </c>
      <c r="H671" s="10">
        <v>0</v>
      </c>
      <c r="I671" s="10">
        <v>0</v>
      </c>
      <c r="J671" s="43" t="e">
        <f t="array" aca="1" ref="J671" ca="1">_xludf.XLOOKUP(F671, analysis!A:A, analysis!I:I)</f>
        <v>#NAME?</v>
      </c>
      <c r="K671" s="10" t="e">
        <f t="array" aca="1" ref="K671" ca="1">_xludf.XLOOKUP(F671, analysis!A:A, analysis!J:J)</f>
        <v>#NAME?</v>
      </c>
      <c r="L671" s="10" t="e">
        <f t="shared" ca="1" si="37"/>
        <v>#NAME?</v>
      </c>
      <c r="M671" s="10" t="s">
        <v>1423</v>
      </c>
    </row>
    <row r="672" spans="4:17" ht="13.2">
      <c r="F672" s="10" t="s">
        <v>1440</v>
      </c>
      <c r="G672" s="10" t="s">
        <v>1439</v>
      </c>
      <c r="H672" s="10">
        <v>0</v>
      </c>
      <c r="I672" s="10">
        <v>0</v>
      </c>
      <c r="J672" s="43" t="e">
        <f t="array" aca="1" ref="J672" ca="1">_xludf.XLOOKUP(F672, analysis!A:A, analysis!I:I)</f>
        <v>#NAME?</v>
      </c>
      <c r="K672" s="10" t="e">
        <f t="array" aca="1" ref="K672" ca="1">_xludf.XLOOKUP(F672, analysis!A:A, analysis!J:J)</f>
        <v>#NAME?</v>
      </c>
      <c r="L672" s="10" t="e">
        <f t="shared" ca="1" si="37"/>
        <v>#NAME?</v>
      </c>
      <c r="M672" s="10" t="s">
        <v>1425</v>
      </c>
      <c r="N672" s="10">
        <f>(I681*4.2*80/0.63+(20/60)*5773920+(2.5/60)*5773920)*(10^-6)*50</f>
        <v>120.261</v>
      </c>
    </row>
    <row r="673" spans="4:17" ht="13.2">
      <c r="F673" s="10" t="s">
        <v>1642</v>
      </c>
      <c r="G673" s="10" t="s">
        <v>1643</v>
      </c>
      <c r="H673" s="10" t="s">
        <v>1444</v>
      </c>
      <c r="I673" s="10">
        <v>5</v>
      </c>
      <c r="J673" s="43" t="e">
        <f t="array" aca="1" ref="J673" ca="1">_xludf.XLOOKUP(F673, analysis!A:A, analysis!I:I)</f>
        <v>#NAME?</v>
      </c>
      <c r="K673" s="10" t="e">
        <f t="array" aca="1" ref="K673" ca="1">_xludf.XLOOKUP(F673, analysis!A:A, analysis!J:J)</f>
        <v>#NAME?</v>
      </c>
      <c r="L673" s="10" t="e">
        <f t="shared" ca="1" si="37"/>
        <v>#NAME?</v>
      </c>
      <c r="M673" s="10" t="s">
        <v>1428</v>
      </c>
    </row>
    <row r="674" spans="4:17" ht="13.2">
      <c r="F674" s="10" t="s">
        <v>1644</v>
      </c>
      <c r="G674" s="10" t="s">
        <v>1479</v>
      </c>
      <c r="H674" s="10" t="s">
        <v>1444</v>
      </c>
      <c r="I674" s="10">
        <v>454</v>
      </c>
      <c r="J674" s="43" t="e">
        <f t="array" aca="1" ref="J674" ca="1">_xludf.XLOOKUP(F674, analysis!A:A, analysis!I:I)</f>
        <v>#NAME?</v>
      </c>
      <c r="K674" s="10" t="e">
        <f t="array" aca="1" ref="K674" ca="1">_xludf.XLOOKUP(F674, analysis!A:A, analysis!J:J)</f>
        <v>#NAME?</v>
      </c>
      <c r="L674" s="10" t="e">
        <f t="shared" ca="1" si="37"/>
        <v>#NAME?</v>
      </c>
      <c r="M674" s="10" t="s">
        <v>1429</v>
      </c>
    </row>
    <row r="675" spans="4:17" ht="13.2">
      <c r="F675" s="10" t="s">
        <v>652</v>
      </c>
      <c r="G675" s="10" t="s">
        <v>1572</v>
      </c>
      <c r="H675" s="10" t="s">
        <v>1444</v>
      </c>
      <c r="I675" s="10">
        <v>28</v>
      </c>
      <c r="J675" s="43" t="e">
        <f t="array" aca="1" ref="J675" ca="1">_xludf.XLOOKUP(F675, analysis!A:A, analysis!I:I)</f>
        <v>#NAME?</v>
      </c>
      <c r="K675" s="10" t="e">
        <f t="array" aca="1" ref="K675" ca="1">_xludf.XLOOKUP(F675, analysis!A:A, analysis!J:J)</f>
        <v>#NAME?</v>
      </c>
      <c r="L675" s="10" t="e">
        <f t="shared" ca="1" si="37"/>
        <v>#NAME?</v>
      </c>
      <c r="M675" s="10" t="s">
        <v>1430</v>
      </c>
      <c r="N675" s="10">
        <f>(((I675*60+I675*2.65*130)/0.63)+(10/60)*5773920)*10^-6*50+(((I676*1.96*160)/0.63)+(5/60)*5773920+(3/60)*5773920+(2/60)*5773920+(0.5/60)*5773920+(1.5/60)*5773920)*10^-6*50</f>
        <v>107.44624888888887</v>
      </c>
    </row>
    <row r="676" spans="4:17" ht="13.2">
      <c r="F676" s="10" t="s">
        <v>733</v>
      </c>
      <c r="G676" s="10" t="s">
        <v>1506</v>
      </c>
      <c r="H676" s="10" t="s">
        <v>1422</v>
      </c>
      <c r="I676" s="10">
        <f>0.927*30</f>
        <v>27.810000000000002</v>
      </c>
      <c r="J676" s="43" t="e">
        <f t="array" aca="1" ref="J676" ca="1">_xludf.XLOOKUP(F676, analysis!A:A, analysis!I:I)</f>
        <v>#NAME?</v>
      </c>
      <c r="K676" s="10" t="e">
        <f t="array" aca="1" ref="K676" ca="1">_xludf.XLOOKUP(F676, analysis!A:A, analysis!J:J)</f>
        <v>#NAME?</v>
      </c>
      <c r="L676" s="10" t="e">
        <f t="shared" ca="1" si="37"/>
        <v>#NAME?</v>
      </c>
      <c r="M676" s="10" t="s">
        <v>1432</v>
      </c>
    </row>
    <row r="677" spans="4:17" ht="13.2">
      <c r="F677" s="10" t="s">
        <v>651</v>
      </c>
      <c r="G677" s="10">
        <v>1</v>
      </c>
      <c r="H677" s="10" t="s">
        <v>1416</v>
      </c>
      <c r="I677" s="10">
        <v>70</v>
      </c>
      <c r="J677" s="43" t="e">
        <f t="array" aca="1" ref="J677" ca="1">_xludf.XLOOKUP(F677, analysis!A:A, analysis!I:I)</f>
        <v>#NAME?</v>
      </c>
      <c r="K677" s="10" t="e">
        <f t="array" aca="1" ref="K677" ca="1">_xludf.XLOOKUP(F677, analysis!A:A, analysis!J:J)</f>
        <v>#NAME?</v>
      </c>
      <c r="L677" s="10" t="e">
        <f t="shared" ca="1" si="37"/>
        <v>#NAME?</v>
      </c>
      <c r="M677" s="10" t="s">
        <v>1433</v>
      </c>
    </row>
    <row r="678" spans="4:17" ht="13.2">
      <c r="F678" s="10" t="s">
        <v>658</v>
      </c>
      <c r="G678" s="10">
        <v>1</v>
      </c>
      <c r="H678" s="10" t="s">
        <v>1416</v>
      </c>
      <c r="I678" s="10">
        <v>100</v>
      </c>
      <c r="J678" s="43" t="e">
        <f t="array" aca="1" ref="J678" ca="1">_xludf.XLOOKUP(F678, analysis!A:A, analysis!I:I)</f>
        <v>#NAME?</v>
      </c>
      <c r="K678" s="10" t="e">
        <f t="array" aca="1" ref="K678" ca="1">_xludf.XLOOKUP(F678, analysis!A:A, analysis!J:J)</f>
        <v>#NAME?</v>
      </c>
      <c r="L678" s="10" t="e">
        <f t="shared" ca="1" si="37"/>
        <v>#NAME?</v>
      </c>
      <c r="M678" s="10" t="s">
        <v>1434</v>
      </c>
    </row>
    <row r="679" spans="4:17" ht="13.2">
      <c r="F679" s="10" t="s">
        <v>737</v>
      </c>
      <c r="G679" s="10">
        <v>6</v>
      </c>
      <c r="H679" s="10" t="s">
        <v>1416</v>
      </c>
      <c r="I679" s="10">
        <f>6*4.4</f>
        <v>26.400000000000002</v>
      </c>
      <c r="J679" s="43" t="e">
        <f t="array" aca="1" ref="J679" ca="1">_xludf.XLOOKUP(F679, analysis!A:A, analysis!I:I)</f>
        <v>#NAME?</v>
      </c>
      <c r="K679" s="10" t="e">
        <f t="array" aca="1" ref="K679" ca="1">_xludf.XLOOKUP(F679, analysis!A:A, analysis!J:J)</f>
        <v>#NAME?</v>
      </c>
      <c r="L679" s="10" t="e">
        <f t="shared" ca="1" si="37"/>
        <v>#NAME?</v>
      </c>
      <c r="M679" s="10" t="s">
        <v>1437</v>
      </c>
    </row>
    <row r="680" spans="4:17" ht="13.2">
      <c r="F680" s="10" t="s">
        <v>1471</v>
      </c>
      <c r="G680" s="10" t="s">
        <v>1610</v>
      </c>
      <c r="H680" s="10" t="s">
        <v>1444</v>
      </c>
      <c r="I680" s="10">
        <v>16</v>
      </c>
      <c r="J680" s="43" t="e">
        <f t="array" aca="1" ref="J680" ca="1">_xludf.XLOOKUP(F680, analysis!A:A, analysis!I:I)</f>
        <v>#NAME?</v>
      </c>
      <c r="K680" s="10" t="e">
        <f t="array" aca="1" ref="K680" ca="1">_xludf.XLOOKUP(F680, analysis!A:A, analysis!J:J)</f>
        <v>#NAME?</v>
      </c>
      <c r="L680" s="10" t="e">
        <f t="shared" ca="1" si="37"/>
        <v>#NAME?</v>
      </c>
      <c r="M680" s="10" t="s">
        <v>1474</v>
      </c>
    </row>
    <row r="681" spans="4:17" ht="13.2">
      <c r="F681" s="10" t="s">
        <v>667</v>
      </c>
      <c r="G681" s="10" t="s">
        <v>1629</v>
      </c>
      <c r="H681" s="10" t="s">
        <v>1422</v>
      </c>
      <c r="I681" s="10">
        <v>450</v>
      </c>
      <c r="J681" s="43" t="e">
        <f t="array" aca="1" ref="J681" ca="1">_xludf.XLOOKUP(F681, analysis!A:A, analysis!I:I)</f>
        <v>#NAME?</v>
      </c>
      <c r="K681" s="10" t="e">
        <f t="array" aca="1" ref="K681" ca="1">_xludf.XLOOKUP(F681, analysis!A:A, analysis!J:J)</f>
        <v>#NAME?</v>
      </c>
      <c r="L681" s="10" t="e">
        <f t="shared" ca="1" si="37"/>
        <v>#NAME?</v>
      </c>
      <c r="M681" s="10" t="s">
        <v>1625</v>
      </c>
    </row>
    <row r="682" spans="4:17" ht="13.2">
      <c r="F682" s="10" t="s">
        <v>1449</v>
      </c>
      <c r="G682" s="10" t="s">
        <v>1510</v>
      </c>
      <c r="H682" s="10" t="s">
        <v>1444</v>
      </c>
      <c r="I682" s="10">
        <v>15</v>
      </c>
      <c r="J682" s="43" t="e">
        <f t="array" aca="1" ref="J682" ca="1">_xludf.XLOOKUP(F682, analysis!A:A, analysis!I:I)</f>
        <v>#NAME?</v>
      </c>
      <c r="K682" s="10" t="e">
        <f t="array" aca="1" ref="K682" ca="1">_xludf.XLOOKUP(F682, analysis!A:A, analysis!J:J)</f>
        <v>#NAME?</v>
      </c>
      <c r="L682" s="10" t="e">
        <f t="shared" ca="1" si="37"/>
        <v>#NAME?</v>
      </c>
    </row>
    <row r="684" spans="4:17" ht="13.2">
      <c r="K684" s="20" t="s">
        <v>1441</v>
      </c>
      <c r="L684" s="37" t="e">
        <f ca="1">SUM(L669:L682)</f>
        <v>#NAME?</v>
      </c>
      <c r="M684" s="20" t="s">
        <v>1442</v>
      </c>
      <c r="N684" s="37">
        <f>SUM(N669:N681)</f>
        <v>227.70724888888887</v>
      </c>
    </row>
    <row r="685" spans="4:17" ht="13.2">
      <c r="F685" s="185" t="s">
        <v>1113</v>
      </c>
      <c r="G685" s="180"/>
      <c r="H685" s="180"/>
      <c r="I685" s="180"/>
      <c r="J685" s="180"/>
      <c r="K685" s="180"/>
      <c r="L685" s="180"/>
      <c r="M685" s="180"/>
      <c r="N685" s="180"/>
      <c r="O685" s="180"/>
    </row>
    <row r="686" spans="4:17" ht="13.2">
      <c r="F686" s="18" t="s">
        <v>1408</v>
      </c>
      <c r="G686" s="18" t="s">
        <v>543</v>
      </c>
      <c r="H686" s="10" t="s">
        <v>1409</v>
      </c>
      <c r="I686" s="10" t="s">
        <v>1410</v>
      </c>
      <c r="J686" s="10" t="s">
        <v>1411</v>
      </c>
      <c r="K686" s="10" t="s">
        <v>1412</v>
      </c>
      <c r="L686" s="10" t="s">
        <v>1413</v>
      </c>
      <c r="M686" s="179" t="s">
        <v>1468</v>
      </c>
      <c r="N686" s="180"/>
      <c r="O686" s="10" t="s">
        <v>1415</v>
      </c>
    </row>
    <row r="687" spans="4:17" ht="13.2">
      <c r="D687" s="18"/>
      <c r="E687" s="18"/>
      <c r="F687" s="18" t="s">
        <v>1636</v>
      </c>
      <c r="G687" s="18" t="s">
        <v>1497</v>
      </c>
      <c r="H687" s="10" t="s">
        <v>1444</v>
      </c>
      <c r="I687" s="10">
        <v>907</v>
      </c>
      <c r="J687" s="43" t="e">
        <f t="array" aca="1" ref="J687" ca="1">_xludf.XLOOKUP(F687, analysis!A:A, analysis!I:I)</f>
        <v>#NAME?</v>
      </c>
      <c r="K687" s="10" t="e">
        <f t="array" aca="1" ref="K687" ca="1">_xludf.XLOOKUP(F687, analysis!A:A, analysis!J:J)</f>
        <v>#NAME?</v>
      </c>
      <c r="L687" s="10" t="e">
        <f t="shared" ref="L687:L703" ca="1" si="38">K687*I687*J687/1000</f>
        <v>#NAME?</v>
      </c>
      <c r="M687" s="10" t="s">
        <v>1417</v>
      </c>
      <c r="P687" s="10" t="str">
        <f ca="1">IFERROR(__xludf.DUMMYFUNCTION("transpose(split(F687,CHAR(10)))"),"chicken breast")</f>
        <v>chicken breast</v>
      </c>
      <c r="Q687" s="10" t="str">
        <f ca="1">IFERROR(__xludf.DUMMYFUNCTION("transpose(split(G687,CHAR(10)))"),"907g")</f>
        <v>907g</v>
      </c>
    </row>
    <row r="688" spans="4:17" ht="13.2">
      <c r="F688" s="10" t="s">
        <v>1495</v>
      </c>
      <c r="G688" s="10">
        <v>1</v>
      </c>
      <c r="H688" s="10" t="s">
        <v>1416</v>
      </c>
      <c r="I688" s="10">
        <v>84</v>
      </c>
      <c r="J688" s="43" t="e">
        <f t="array" aca="1" ref="J688" ca="1">_xludf.XLOOKUP(F688, analysis!A:A, analysis!I:I)</f>
        <v>#NAME?</v>
      </c>
      <c r="K688" s="10" t="e">
        <f t="array" aca="1" ref="K688" ca="1">_xludf.XLOOKUP(F688, analysis!A:A, analysis!J:J)</f>
        <v>#NAME?</v>
      </c>
      <c r="L688" s="10" t="e">
        <f t="shared" ca="1" si="38"/>
        <v>#NAME?</v>
      </c>
      <c r="M688" s="10" t="s">
        <v>1420</v>
      </c>
      <c r="N688" s="10">
        <f>1.1*(5/60)*59.9+1.1*(5/60)*59.9</f>
        <v>10.981666666666667</v>
      </c>
    </row>
    <row r="689" spans="6:14" ht="13.2">
      <c r="F689" s="10" t="s">
        <v>646</v>
      </c>
      <c r="G689" s="10" t="s">
        <v>1439</v>
      </c>
      <c r="H689" s="10">
        <v>0</v>
      </c>
      <c r="I689" s="10">
        <v>0</v>
      </c>
      <c r="J689" s="43" t="e">
        <f t="array" aca="1" ref="J689" ca="1">_xludf.XLOOKUP(F689, analysis!A:A, analysis!I:I)</f>
        <v>#NAME?</v>
      </c>
      <c r="K689" s="10" t="e">
        <f t="array" aca="1" ref="K689" ca="1">_xludf.XLOOKUP(F689, analysis!A:A, analysis!J:J)</f>
        <v>#NAME?</v>
      </c>
      <c r="L689" s="10" t="e">
        <f t="shared" ca="1" si="38"/>
        <v>#NAME?</v>
      </c>
      <c r="M689" s="10" t="s">
        <v>1423</v>
      </c>
    </row>
    <row r="690" spans="6:14" ht="13.2">
      <c r="F690" s="10" t="s">
        <v>1440</v>
      </c>
      <c r="G690" s="10" t="s">
        <v>1439</v>
      </c>
      <c r="H690" s="10">
        <v>0</v>
      </c>
      <c r="I690" s="10">
        <v>0</v>
      </c>
      <c r="J690" s="43" t="e">
        <f t="array" aca="1" ref="J690" ca="1">_xludf.XLOOKUP(F690, analysis!A:A, analysis!I:I)</f>
        <v>#NAME?</v>
      </c>
      <c r="K690" s="10" t="e">
        <f t="array" aca="1" ref="K690" ca="1">_xludf.XLOOKUP(F690, analysis!A:A, analysis!J:J)</f>
        <v>#NAME?</v>
      </c>
      <c r="L690" s="10" t="e">
        <f t="shared" ca="1" si="38"/>
        <v>#NAME?</v>
      </c>
      <c r="M690" s="10" t="s">
        <v>1425</v>
      </c>
      <c r="N690" s="10">
        <f>(2/3*4700*4.2*80/0.63+(50/60)*5773920)*(10^-6)*50</f>
        <v>324.13555555555553</v>
      </c>
    </row>
    <row r="691" spans="6:14" ht="13.2">
      <c r="F691" s="10" t="s">
        <v>1530</v>
      </c>
      <c r="G691" s="10" t="s">
        <v>1479</v>
      </c>
      <c r="H691" s="10" t="s">
        <v>1444</v>
      </c>
      <c r="I691" s="10">
        <v>454</v>
      </c>
      <c r="J691" s="43" t="e">
        <f t="array" aca="1" ref="J691" ca="1">_xludf.XLOOKUP(F691, analysis!A:A, analysis!I:I)</f>
        <v>#NAME?</v>
      </c>
      <c r="K691" s="10" t="e">
        <f t="array" aca="1" ref="K691" ca="1">_xludf.XLOOKUP(F691, analysis!A:A, analysis!J:J)</f>
        <v>#NAME?</v>
      </c>
      <c r="L691" s="10" t="e">
        <f t="shared" ca="1" si="38"/>
        <v>#NAME?</v>
      </c>
      <c r="M691" s="10" t="s">
        <v>1428</v>
      </c>
    </row>
    <row r="692" spans="6:14" ht="13.2">
      <c r="F692" s="10" t="s">
        <v>667</v>
      </c>
      <c r="G692" s="10" t="s">
        <v>1612</v>
      </c>
      <c r="H692" s="10" t="s">
        <v>1422</v>
      </c>
      <c r="I692" s="10">
        <v>360</v>
      </c>
      <c r="J692" s="43" t="e">
        <f t="array" aca="1" ref="J692" ca="1">_xludf.XLOOKUP(F692, analysis!A:A, analysis!I:I)</f>
        <v>#NAME?</v>
      </c>
      <c r="K692" s="10" t="e">
        <f t="array" aca="1" ref="K692" ca="1">_xludf.XLOOKUP(F692, analysis!A:A, analysis!J:J)</f>
        <v>#NAME?</v>
      </c>
      <c r="L692" s="10" t="e">
        <f t="shared" ca="1" si="38"/>
        <v>#NAME?</v>
      </c>
      <c r="M692" s="10" t="s">
        <v>1429</v>
      </c>
    </row>
    <row r="693" spans="6:14" ht="13.2">
      <c r="F693" s="10" t="s">
        <v>1421</v>
      </c>
      <c r="G693" s="10" t="s">
        <v>746</v>
      </c>
      <c r="H693" s="10" t="s">
        <v>1422</v>
      </c>
      <c r="I693" s="10">
        <f>0.927*15</f>
        <v>13.905000000000001</v>
      </c>
      <c r="J693" s="43" t="e">
        <f t="array" aca="1" ref="J693" ca="1">_xludf.XLOOKUP(F693, analysis!A:A, analysis!I:I)</f>
        <v>#NAME?</v>
      </c>
      <c r="K693" s="10" t="e">
        <f t="array" aca="1" ref="K693" ca="1">_xludf.XLOOKUP(F693, analysis!A:A, analysis!J:J)</f>
        <v>#NAME?</v>
      </c>
      <c r="L693" s="10" t="e">
        <f t="shared" ca="1" si="38"/>
        <v>#NAME?</v>
      </c>
      <c r="M693" s="10" t="s">
        <v>1430</v>
      </c>
      <c r="N693" s="10">
        <f>(((I693*1.97*160)/0.63)+(5/60)*5773920+(5/60)*5773920+(2.5/60)*5773920+(1/60)*5773920+(1.5/60)*5773920+(5/60)*5773920)*10^-6*50</f>
        <v>96.57984571428571</v>
      </c>
    </row>
    <row r="694" spans="6:14" ht="13.2">
      <c r="F694" s="10" t="s">
        <v>651</v>
      </c>
      <c r="G694" s="10">
        <v>1</v>
      </c>
      <c r="H694" s="10" t="s">
        <v>1416</v>
      </c>
      <c r="I694" s="10">
        <v>70</v>
      </c>
      <c r="J694" s="43" t="e">
        <f t="array" aca="1" ref="J694" ca="1">_xludf.XLOOKUP(F694, analysis!A:A, analysis!I:I)</f>
        <v>#NAME?</v>
      </c>
      <c r="K694" s="10" t="e">
        <f t="array" aca="1" ref="K694" ca="1">_xludf.XLOOKUP(F694, analysis!A:A, analysis!J:J)</f>
        <v>#NAME?</v>
      </c>
      <c r="L694" s="10" t="e">
        <f t="shared" ca="1" si="38"/>
        <v>#NAME?</v>
      </c>
      <c r="M694" s="10" t="s">
        <v>1432</v>
      </c>
    </row>
    <row r="695" spans="6:14" ht="13.2">
      <c r="F695" s="10" t="s">
        <v>1475</v>
      </c>
      <c r="G695" s="10">
        <v>1</v>
      </c>
      <c r="H695" s="10" t="s">
        <v>1416</v>
      </c>
      <c r="I695" s="10">
        <v>55</v>
      </c>
      <c r="J695" s="43" t="e">
        <f t="array" aca="1" ref="J695" ca="1">_xludf.XLOOKUP(F695, analysis!A:A, analysis!I:I)</f>
        <v>#NAME?</v>
      </c>
      <c r="K695" s="10" t="e">
        <f t="array" aca="1" ref="K695" ca="1">_xludf.XLOOKUP(F695, analysis!A:A, analysis!J:J)</f>
        <v>#NAME?</v>
      </c>
      <c r="L695" s="10" t="e">
        <f t="shared" ca="1" si="38"/>
        <v>#NAME?</v>
      </c>
      <c r="M695" s="10" t="s">
        <v>1433</v>
      </c>
    </row>
    <row r="696" spans="6:14" ht="13.2">
      <c r="F696" s="10" t="s">
        <v>658</v>
      </c>
      <c r="G696" s="10">
        <v>2</v>
      </c>
      <c r="H696" s="10" t="s">
        <v>1416</v>
      </c>
      <c r="I696" s="10">
        <f>2*100</f>
        <v>200</v>
      </c>
      <c r="J696" s="43" t="e">
        <f t="array" aca="1" ref="J696" ca="1">_xludf.XLOOKUP(F696, analysis!A:A, analysis!I:I)</f>
        <v>#NAME?</v>
      </c>
      <c r="K696" s="10" t="e">
        <f t="array" aca="1" ref="K696" ca="1">_xludf.XLOOKUP(F696, analysis!A:A, analysis!J:J)</f>
        <v>#NAME?</v>
      </c>
      <c r="L696" s="10" t="e">
        <f t="shared" ca="1" si="38"/>
        <v>#NAME?</v>
      </c>
      <c r="M696" s="10" t="s">
        <v>1434</v>
      </c>
    </row>
    <row r="697" spans="6:14" ht="13.2">
      <c r="F697" s="10" t="s">
        <v>737</v>
      </c>
      <c r="G697" s="10">
        <v>3</v>
      </c>
      <c r="H697" s="10" t="s">
        <v>1416</v>
      </c>
      <c r="I697" s="10">
        <f>3*4.4</f>
        <v>13.200000000000001</v>
      </c>
      <c r="J697" s="43" t="e">
        <f t="array" aca="1" ref="J697" ca="1">_xludf.XLOOKUP(F697, analysis!A:A, analysis!I:I)</f>
        <v>#NAME?</v>
      </c>
      <c r="K697" s="10" t="e">
        <f t="array" aca="1" ref="K697" ca="1">_xludf.XLOOKUP(F697, analysis!A:A, analysis!J:J)</f>
        <v>#NAME?</v>
      </c>
      <c r="L697" s="10" t="e">
        <f t="shared" ca="1" si="38"/>
        <v>#NAME?</v>
      </c>
      <c r="M697" s="10" t="s">
        <v>1437</v>
      </c>
    </row>
    <row r="698" spans="6:14" ht="13.2">
      <c r="F698" s="10" t="s">
        <v>1456</v>
      </c>
      <c r="G698" s="10">
        <v>1</v>
      </c>
      <c r="H698" s="10" t="s">
        <v>1416</v>
      </c>
      <c r="I698" s="10">
        <v>55</v>
      </c>
      <c r="J698" s="43" t="e">
        <f t="array" aca="1" ref="J698" ca="1">_xludf.XLOOKUP(F698, analysis!A:A, analysis!I:I)</f>
        <v>#NAME?</v>
      </c>
      <c r="K698" s="10" t="e">
        <f t="array" aca="1" ref="K698" ca="1">_xludf.XLOOKUP(F698, analysis!A:A, analysis!J:J)</f>
        <v>#NAME?</v>
      </c>
      <c r="L698" s="10" t="e">
        <f t="shared" ca="1" si="38"/>
        <v>#NAME?</v>
      </c>
      <c r="M698" s="10" t="s">
        <v>1474</v>
      </c>
    </row>
    <row r="699" spans="6:14" ht="13.2">
      <c r="F699" s="10" t="s">
        <v>1471</v>
      </c>
      <c r="G699" s="10" t="s">
        <v>1610</v>
      </c>
      <c r="H699" s="10" t="s">
        <v>1444</v>
      </c>
      <c r="I699" s="10">
        <v>16</v>
      </c>
      <c r="J699" s="43" t="e">
        <f t="array" aca="1" ref="J699" ca="1">_xludf.XLOOKUP(F699, analysis!A:A, analysis!I:I)</f>
        <v>#NAME?</v>
      </c>
      <c r="K699" s="10" t="e">
        <f t="array" aca="1" ref="K699" ca="1">_xludf.XLOOKUP(F699, analysis!A:A, analysis!J:J)</f>
        <v>#NAME?</v>
      </c>
      <c r="L699" s="10" t="e">
        <f t="shared" ca="1" si="38"/>
        <v>#NAME?</v>
      </c>
      <c r="M699" s="10" t="s">
        <v>1625</v>
      </c>
    </row>
    <row r="700" spans="6:14" ht="13.2">
      <c r="F700" s="10" t="s">
        <v>663</v>
      </c>
      <c r="G700" s="10" t="s">
        <v>1645</v>
      </c>
      <c r="H700" s="10" t="s">
        <v>1422</v>
      </c>
      <c r="I700" s="10">
        <f>403*1.02</f>
        <v>411.06</v>
      </c>
      <c r="J700" s="43" t="e">
        <f t="array" aca="1" ref="J700" ca="1">_xludf.XLOOKUP(F700, analysis!A:A, analysis!I:I)</f>
        <v>#NAME?</v>
      </c>
      <c r="K700" s="10" t="e">
        <f t="array" aca="1" ref="K700" ca="1">_xludf.XLOOKUP(F700, analysis!A:A, analysis!J:J)</f>
        <v>#NAME?</v>
      </c>
      <c r="L700" s="10" t="e">
        <f t="shared" ca="1" si="38"/>
        <v>#NAME?</v>
      </c>
    </row>
    <row r="701" spans="6:14" ht="13.2">
      <c r="F701" s="10" t="s">
        <v>1467</v>
      </c>
      <c r="G701" s="10" t="s">
        <v>1508</v>
      </c>
      <c r="H701" s="10" t="s">
        <v>1422</v>
      </c>
      <c r="I701" s="10">
        <f>0.994*120</f>
        <v>119.28</v>
      </c>
      <c r="J701" s="43" t="e">
        <f t="array" aca="1" ref="J701" ca="1">_xludf.XLOOKUP(F701, analysis!A:A, analysis!I:I)</f>
        <v>#NAME?</v>
      </c>
      <c r="K701" s="10" t="e">
        <f t="array" aca="1" ref="K701" ca="1">_xludf.XLOOKUP(F701, analysis!A:A, analysis!J:J)</f>
        <v>#NAME?</v>
      </c>
      <c r="L701" s="10" t="e">
        <f t="shared" ca="1" si="38"/>
        <v>#NAME?</v>
      </c>
    </row>
    <row r="702" spans="6:14" ht="13.2">
      <c r="F702" s="10" t="s">
        <v>712</v>
      </c>
      <c r="G702" s="10" t="s">
        <v>746</v>
      </c>
      <c r="H702" s="10" t="s">
        <v>1422</v>
      </c>
      <c r="I702" s="10">
        <f>0.89*15</f>
        <v>13.35</v>
      </c>
      <c r="J702" s="43" t="e">
        <f t="array" aca="1" ref="J702" ca="1">_xludf.XLOOKUP(F702, analysis!A:A, analysis!I:I)</f>
        <v>#NAME?</v>
      </c>
      <c r="K702" s="10" t="e">
        <f t="array" aca="1" ref="K702" ca="1">_xludf.XLOOKUP(F702, analysis!A:A, analysis!J:J)</f>
        <v>#NAME?</v>
      </c>
      <c r="L702" s="10" t="e">
        <f t="shared" ca="1" si="38"/>
        <v>#NAME?</v>
      </c>
    </row>
    <row r="703" spans="6:14" ht="13.2">
      <c r="F703" s="10" t="s">
        <v>1635</v>
      </c>
      <c r="G703" s="10" t="s">
        <v>1505</v>
      </c>
      <c r="H703" s="10" t="s">
        <v>1444</v>
      </c>
      <c r="I703" s="10">
        <v>8</v>
      </c>
      <c r="J703" s="43" t="e">
        <f t="array" aca="1" ref="J703" ca="1">_xludf.XLOOKUP(F703, analysis!A:A, analysis!I:I)</f>
        <v>#NAME?</v>
      </c>
      <c r="K703" s="10" t="e">
        <f t="array" aca="1" ref="K703" ca="1">_xludf.XLOOKUP(F703, analysis!A:A, analysis!J:J)</f>
        <v>#NAME?</v>
      </c>
      <c r="L703" s="10" t="e">
        <f t="shared" ca="1" si="38"/>
        <v>#NAME?</v>
      </c>
    </row>
    <row r="705" spans="4:17" ht="13.2">
      <c r="K705" s="20" t="s">
        <v>1441</v>
      </c>
      <c r="L705" s="37" t="e">
        <f ca="1">SUM(L687:L703)</f>
        <v>#NAME?</v>
      </c>
      <c r="M705" s="20" t="s">
        <v>1442</v>
      </c>
      <c r="N705" s="37">
        <f>SUM(N687:N699)</f>
        <v>431.69706793650789</v>
      </c>
    </row>
    <row r="706" spans="4:17" ht="13.2">
      <c r="F706" s="185" t="s">
        <v>1117</v>
      </c>
      <c r="G706" s="180"/>
      <c r="H706" s="180"/>
      <c r="I706" s="180"/>
      <c r="J706" s="180"/>
      <c r="K706" s="180"/>
      <c r="L706" s="180"/>
      <c r="M706" s="180"/>
      <c r="N706" s="180"/>
      <c r="O706" s="180"/>
    </row>
    <row r="707" spans="4:17" ht="13.2">
      <c r="F707" s="18" t="s">
        <v>1408</v>
      </c>
      <c r="G707" s="18" t="s">
        <v>543</v>
      </c>
      <c r="H707" s="10" t="s">
        <v>1409</v>
      </c>
      <c r="I707" s="10" t="s">
        <v>1410</v>
      </c>
      <c r="J707" s="10" t="s">
        <v>1411</v>
      </c>
      <c r="K707" s="10" t="s">
        <v>1412</v>
      </c>
      <c r="L707" s="10" t="s">
        <v>1413</v>
      </c>
      <c r="M707" s="179" t="s">
        <v>1468</v>
      </c>
      <c r="N707" s="180"/>
      <c r="O707" s="10" t="s">
        <v>1415</v>
      </c>
    </row>
    <row r="708" spans="4:17" ht="13.2">
      <c r="D708" s="18"/>
      <c r="E708" s="18"/>
      <c r="F708" s="18" t="s">
        <v>1636</v>
      </c>
      <c r="G708" s="18" t="s">
        <v>1497</v>
      </c>
      <c r="H708" s="10" t="s">
        <v>1444</v>
      </c>
      <c r="I708" s="10">
        <v>907</v>
      </c>
      <c r="J708" s="43" t="e">
        <f t="array" aca="1" ref="J708" ca="1">_xludf.XLOOKUP(F708, analysis!A:A, analysis!I:I)</f>
        <v>#NAME?</v>
      </c>
      <c r="K708" s="10" t="e">
        <f t="array" aca="1" ref="K708" ca="1">_xludf.XLOOKUP(F708, analysis!A:A, analysis!J:J)</f>
        <v>#NAME?</v>
      </c>
      <c r="L708" s="10" t="e">
        <f t="shared" ref="L708:L723" ca="1" si="39">K708*I708*J708/1000</f>
        <v>#NAME?</v>
      </c>
      <c r="M708" s="10" t="s">
        <v>1417</v>
      </c>
      <c r="P708" s="10" t="str">
        <f ca="1">IFERROR(__xludf.DUMMYFUNCTION("transpose(split(F708,CHAR(10)))"),"chicken breast")</f>
        <v>chicken breast</v>
      </c>
      <c r="Q708" s="10" t="str">
        <f ca="1">IFERROR(__xludf.DUMMYFUNCTION("transpose(split(G708,CHAR(10)))"),"907g")</f>
        <v>907g</v>
      </c>
    </row>
    <row r="709" spans="4:17" ht="13.2">
      <c r="F709" s="10" t="s">
        <v>692</v>
      </c>
      <c r="G709" s="10" t="s">
        <v>746</v>
      </c>
      <c r="H709" s="10" t="s">
        <v>1422</v>
      </c>
      <c r="I709" s="10">
        <f>1.12*15</f>
        <v>16.8</v>
      </c>
      <c r="J709" s="43" t="e">
        <f t="array" aca="1" ref="J709" ca="1">_xludf.XLOOKUP(F709, analysis!A:A, analysis!I:I)</f>
        <v>#NAME?</v>
      </c>
      <c r="K709" s="10" t="e">
        <f t="array" aca="1" ref="K709" ca="1">_xludf.XLOOKUP(F709, analysis!A:A, analysis!J:J)</f>
        <v>#NAME?</v>
      </c>
      <c r="L709" s="10" t="e">
        <f t="shared" ca="1" si="39"/>
        <v>#NAME?</v>
      </c>
      <c r="M709" s="10" t="s">
        <v>1420</v>
      </c>
    </row>
    <row r="710" spans="4:17" ht="13.2">
      <c r="F710" s="10" t="s">
        <v>694</v>
      </c>
      <c r="G710" s="10" t="s">
        <v>1505</v>
      </c>
      <c r="H710" s="10" t="s">
        <v>1444</v>
      </c>
      <c r="I710" s="10">
        <v>8</v>
      </c>
      <c r="J710" s="43" t="e">
        <f t="array" aca="1" ref="J710" ca="1">_xludf.XLOOKUP(F710, analysis!A:A, analysis!I:I)</f>
        <v>#NAME?</v>
      </c>
      <c r="K710" s="10" t="e">
        <f t="array" aca="1" ref="K710" ca="1">_xludf.XLOOKUP(F710, analysis!A:A, analysis!J:J)</f>
        <v>#NAME?</v>
      </c>
      <c r="L710" s="10" t="e">
        <f t="shared" ca="1" si="39"/>
        <v>#NAME?</v>
      </c>
      <c r="M710" s="10" t="s">
        <v>1423</v>
      </c>
    </row>
    <row r="711" spans="4:17" ht="13.2">
      <c r="F711" s="10" t="s">
        <v>1646</v>
      </c>
      <c r="G711" s="10" t="s">
        <v>746</v>
      </c>
      <c r="H711" s="10" t="s">
        <v>1422</v>
      </c>
      <c r="I711" s="10">
        <f>0.9225*15</f>
        <v>13.8375</v>
      </c>
      <c r="J711" s="43" t="e">
        <f t="array" aca="1" ref="J711" ca="1">_xludf.XLOOKUP(F711, analysis!A:A, analysis!I:I)</f>
        <v>#NAME?</v>
      </c>
      <c r="K711" s="10" t="e">
        <f t="array" aca="1" ref="K711" ca="1">_xludf.XLOOKUP(F711, analysis!A:A, analysis!J:J)</f>
        <v>#NAME?</v>
      </c>
      <c r="L711" s="10" t="e">
        <f t="shared" ca="1" si="39"/>
        <v>#NAME?</v>
      </c>
      <c r="M711" s="10" t="s">
        <v>1425</v>
      </c>
    </row>
    <row r="712" spans="4:17" ht="13.2">
      <c r="F712" s="10" t="s">
        <v>692</v>
      </c>
      <c r="G712" s="10" t="s">
        <v>1564</v>
      </c>
      <c r="H712" s="10" t="s">
        <v>1422</v>
      </c>
      <c r="I712" s="10">
        <f>1.12*80</f>
        <v>89.600000000000009</v>
      </c>
      <c r="J712" s="43" t="e">
        <f t="array" aca="1" ref="J712" ca="1">_xludf.XLOOKUP(F712, analysis!A:A, analysis!I:I)</f>
        <v>#NAME?</v>
      </c>
      <c r="K712" s="10" t="e">
        <f t="array" aca="1" ref="K712" ca="1">_xludf.XLOOKUP(F712, analysis!A:A, analysis!J:J)</f>
        <v>#NAME?</v>
      </c>
      <c r="L712" s="10" t="e">
        <f t="shared" ca="1" si="39"/>
        <v>#NAME?</v>
      </c>
      <c r="M712" s="10" t="s">
        <v>1428</v>
      </c>
    </row>
    <row r="713" spans="4:17" ht="13.2">
      <c r="F713" s="10" t="s">
        <v>653</v>
      </c>
      <c r="G713" s="10" t="s">
        <v>1492</v>
      </c>
      <c r="H713" s="10" t="s">
        <v>1422</v>
      </c>
      <c r="I713" s="10">
        <v>240</v>
      </c>
      <c r="J713" s="43" t="e">
        <f t="array" aca="1" ref="J713" ca="1">_xludf.XLOOKUP(F713, analysis!A:A, analysis!I:I)</f>
        <v>#NAME?</v>
      </c>
      <c r="K713" s="10" t="e">
        <f t="array" aca="1" ref="K713" ca="1">_xludf.XLOOKUP(F713, analysis!A:A, analysis!J:J)</f>
        <v>#NAME?</v>
      </c>
      <c r="L713" s="10" t="e">
        <f t="shared" ca="1" si="39"/>
        <v>#NAME?</v>
      </c>
      <c r="M713" s="10" t="s">
        <v>1429</v>
      </c>
    </row>
    <row r="714" spans="4:17" ht="13.2">
      <c r="F714" s="10" t="s">
        <v>1646</v>
      </c>
      <c r="G714" s="10" t="s">
        <v>746</v>
      </c>
      <c r="H714" s="10" t="s">
        <v>1422</v>
      </c>
      <c r="I714" s="10">
        <f>0.9225*15</f>
        <v>13.8375</v>
      </c>
      <c r="J714" s="43" t="e">
        <f t="array" aca="1" ref="J714" ca="1">_xludf.XLOOKUP(F714, analysis!A:A, analysis!I:I)</f>
        <v>#NAME?</v>
      </c>
      <c r="K714" s="10" t="e">
        <f t="array" aca="1" ref="K714" ca="1">_xludf.XLOOKUP(F714, analysis!A:A, analysis!J:J)</f>
        <v>#NAME?</v>
      </c>
      <c r="L714" s="10" t="e">
        <f t="shared" ca="1" si="39"/>
        <v>#NAME?</v>
      </c>
      <c r="M714" s="10" t="s">
        <v>1430</v>
      </c>
      <c r="N714" s="10">
        <f>(((I716*1.96*160)/0.63)+(5/60)*5773920+(9/60)*5773920+(0.5/60)*5773920+(5/60)*5773920)*10^-6*50</f>
        <v>94.518359999999987</v>
      </c>
    </row>
    <row r="715" spans="4:17" ht="13.2">
      <c r="F715" s="10" t="s">
        <v>694</v>
      </c>
      <c r="G715" s="10" t="s">
        <v>1505</v>
      </c>
      <c r="H715" s="10" t="s">
        <v>1444</v>
      </c>
      <c r="I715" s="10">
        <v>8</v>
      </c>
      <c r="J715" s="43" t="e">
        <f t="array" aca="1" ref="J715" ca="1">_xludf.XLOOKUP(F715, analysis!A:A, analysis!I:I)</f>
        <v>#NAME?</v>
      </c>
      <c r="K715" s="10" t="e">
        <f t="array" aca="1" ref="K715" ca="1">_xludf.XLOOKUP(F715, analysis!A:A, analysis!J:J)</f>
        <v>#NAME?</v>
      </c>
      <c r="L715" s="10" t="e">
        <f t="shared" ca="1" si="39"/>
        <v>#NAME?</v>
      </c>
      <c r="M715" s="10" t="s">
        <v>1432</v>
      </c>
    </row>
    <row r="716" spans="4:17" ht="13.2">
      <c r="F716" s="10" t="s">
        <v>733</v>
      </c>
      <c r="G716" s="10" t="s">
        <v>1506</v>
      </c>
      <c r="H716" s="10" t="s">
        <v>1422</v>
      </c>
      <c r="I716" s="10">
        <f>0.927*30</f>
        <v>27.810000000000002</v>
      </c>
      <c r="J716" s="43" t="e">
        <f t="array" aca="1" ref="J716" ca="1">_xludf.XLOOKUP(F716, analysis!A:A, analysis!I:I)</f>
        <v>#NAME?</v>
      </c>
      <c r="K716" s="10" t="e">
        <f t="array" aca="1" ref="K716" ca="1">_xludf.XLOOKUP(F716, analysis!A:A, analysis!J:J)</f>
        <v>#NAME?</v>
      </c>
      <c r="L716" s="10" t="e">
        <f t="shared" ca="1" si="39"/>
        <v>#NAME?</v>
      </c>
      <c r="M716" s="10" t="s">
        <v>1433</v>
      </c>
    </row>
    <row r="717" spans="4:17" ht="13.2">
      <c r="F717" s="10" t="s">
        <v>651</v>
      </c>
      <c r="G717" s="10">
        <v>2</v>
      </c>
      <c r="H717" s="10" t="s">
        <v>1416</v>
      </c>
      <c r="I717" s="10">
        <f>70*2</f>
        <v>140</v>
      </c>
      <c r="J717" s="43" t="e">
        <f t="array" aca="1" ref="J717" ca="1">_xludf.XLOOKUP(F717, analysis!A:A, analysis!I:I)</f>
        <v>#NAME?</v>
      </c>
      <c r="K717" s="10" t="e">
        <f t="array" aca="1" ref="K717" ca="1">_xludf.XLOOKUP(F717, analysis!A:A, analysis!J:J)</f>
        <v>#NAME?</v>
      </c>
      <c r="L717" s="10" t="e">
        <f t="shared" ca="1" si="39"/>
        <v>#NAME?</v>
      </c>
      <c r="M717" s="10" t="s">
        <v>1434</v>
      </c>
    </row>
    <row r="718" spans="4:17" ht="13.2">
      <c r="F718" s="10" t="s">
        <v>1475</v>
      </c>
      <c r="G718" s="10">
        <v>1</v>
      </c>
      <c r="H718" s="10" t="s">
        <v>1416</v>
      </c>
      <c r="I718" s="10">
        <v>55</v>
      </c>
      <c r="J718" s="43" t="e">
        <f t="array" aca="1" ref="J718" ca="1">_xludf.XLOOKUP(F718, analysis!A:A, analysis!I:I)</f>
        <v>#NAME?</v>
      </c>
      <c r="K718" s="10" t="e">
        <f t="array" aca="1" ref="K718" ca="1">_xludf.XLOOKUP(F718, analysis!A:A, analysis!J:J)</f>
        <v>#NAME?</v>
      </c>
      <c r="L718" s="10" t="e">
        <f t="shared" ca="1" si="39"/>
        <v>#NAME?</v>
      </c>
      <c r="M718" s="10" t="s">
        <v>1437</v>
      </c>
    </row>
    <row r="719" spans="4:17" ht="13.2">
      <c r="F719" s="10" t="s">
        <v>1647</v>
      </c>
      <c r="G719" s="10">
        <v>1</v>
      </c>
      <c r="H719" s="10" t="s">
        <v>1416</v>
      </c>
      <c r="I719" s="10">
        <v>55</v>
      </c>
      <c r="J719" s="43" t="e">
        <f t="array" aca="1" ref="J719" ca="1">_xludf.XLOOKUP(F719, analysis!A:A, analysis!I:I)</f>
        <v>#NAME?</v>
      </c>
      <c r="K719" s="10" t="e">
        <f t="array" aca="1" ref="K719" ca="1">_xludf.XLOOKUP(F719, analysis!A:A, analysis!J:J)</f>
        <v>#NAME?</v>
      </c>
      <c r="L719" s="10" t="e">
        <f t="shared" ca="1" si="39"/>
        <v>#NAME?</v>
      </c>
      <c r="M719" s="10" t="s">
        <v>1474</v>
      </c>
    </row>
    <row r="720" spans="4:17" ht="13.2">
      <c r="F720" s="10" t="s">
        <v>1648</v>
      </c>
      <c r="G720" s="10">
        <v>1</v>
      </c>
      <c r="H720" s="10" t="s">
        <v>1416</v>
      </c>
      <c r="I720" s="10">
        <v>55</v>
      </c>
      <c r="J720" s="43" t="e">
        <f t="array" aca="1" ref="J720" ca="1">_xludf.XLOOKUP(F720, analysis!A:A, analysis!I:I)</f>
        <v>#NAME?</v>
      </c>
      <c r="K720" s="10" t="e">
        <f t="array" aca="1" ref="K720" ca="1">_xludf.XLOOKUP(F720, analysis!A:A, analysis!J:J)</f>
        <v>#NAME?</v>
      </c>
      <c r="L720" s="10" t="e">
        <f t="shared" ca="1" si="39"/>
        <v>#NAME?</v>
      </c>
      <c r="M720" s="10" t="s">
        <v>1625</v>
      </c>
    </row>
    <row r="721" spans="4:17" ht="13.2">
      <c r="F721" s="10" t="s">
        <v>737</v>
      </c>
      <c r="G721" s="10">
        <v>2</v>
      </c>
      <c r="H721" s="10" t="s">
        <v>1416</v>
      </c>
      <c r="I721" s="10">
        <f>2*4.4</f>
        <v>8.8000000000000007</v>
      </c>
      <c r="J721" s="43" t="e">
        <f t="array" aca="1" ref="J721" ca="1">_xludf.XLOOKUP(F721, analysis!A:A, analysis!I:I)</f>
        <v>#NAME?</v>
      </c>
      <c r="K721" s="10" t="e">
        <f t="array" aca="1" ref="K721" ca="1">_xludf.XLOOKUP(F721, analysis!A:A, analysis!J:J)</f>
        <v>#NAME?</v>
      </c>
      <c r="L721" s="10" t="e">
        <f t="shared" ca="1" si="39"/>
        <v>#NAME?</v>
      </c>
    </row>
    <row r="722" spans="4:17" ht="13.2">
      <c r="F722" s="10" t="s">
        <v>1633</v>
      </c>
      <c r="G722" s="10" t="s">
        <v>1649</v>
      </c>
      <c r="H722" s="10" t="s">
        <v>1444</v>
      </c>
      <c r="I722" s="10">
        <v>49</v>
      </c>
      <c r="J722" s="43" t="e">
        <f t="array" aca="1" ref="J722" ca="1">_xludf.XLOOKUP(F722, analysis!A:A, analysis!I:I)</f>
        <v>#NAME?</v>
      </c>
      <c r="K722" s="10" t="e">
        <f t="array" aca="1" ref="K722" ca="1">_xludf.XLOOKUP(F722, analysis!A:A, analysis!J:J)</f>
        <v>#NAME?</v>
      </c>
      <c r="L722" s="10" t="e">
        <f t="shared" ca="1" si="39"/>
        <v>#NAME?</v>
      </c>
    </row>
    <row r="723" spans="4:17" ht="13.2">
      <c r="F723" s="10" t="s">
        <v>1457</v>
      </c>
      <c r="G723" s="10" t="s">
        <v>1439</v>
      </c>
      <c r="H723" s="10">
        <v>0</v>
      </c>
      <c r="I723" s="10">
        <v>0</v>
      </c>
      <c r="J723" s="43" t="e">
        <f t="array" aca="1" ref="J723" ca="1">_xludf.XLOOKUP(F723, analysis!A:A, analysis!I:I)</f>
        <v>#NAME?</v>
      </c>
      <c r="K723" s="10" t="e">
        <f t="array" aca="1" ref="K723" ca="1">_xludf.XLOOKUP(F723, analysis!A:A, analysis!J:J)</f>
        <v>#NAME?</v>
      </c>
      <c r="L723" s="10" t="e">
        <f t="shared" ca="1" si="39"/>
        <v>#NAME?</v>
      </c>
    </row>
    <row r="725" spans="4:17" ht="13.2">
      <c r="K725" s="20" t="s">
        <v>1441</v>
      </c>
      <c r="L725" s="37" t="e">
        <f ca="1">SUM(L708:L723)</f>
        <v>#NAME?</v>
      </c>
      <c r="M725" s="20" t="s">
        <v>1442</v>
      </c>
      <c r="N725" s="37">
        <f>SUM(N708:N720)</f>
        <v>94.518359999999987</v>
      </c>
    </row>
    <row r="727" spans="4:17" ht="13.2">
      <c r="F727" s="185" t="s">
        <v>1120</v>
      </c>
      <c r="G727" s="180"/>
      <c r="H727" s="180"/>
      <c r="I727" s="180"/>
      <c r="J727" s="180"/>
      <c r="K727" s="180"/>
      <c r="L727" s="180"/>
      <c r="M727" s="180"/>
      <c r="N727" s="180"/>
      <c r="O727" s="180"/>
    </row>
    <row r="728" spans="4:17" ht="13.2">
      <c r="F728" s="18" t="s">
        <v>1408</v>
      </c>
      <c r="G728" s="18" t="s">
        <v>543</v>
      </c>
      <c r="H728" s="10" t="s">
        <v>1409</v>
      </c>
      <c r="I728" s="10" t="s">
        <v>1410</v>
      </c>
      <c r="J728" s="10" t="s">
        <v>1411</v>
      </c>
      <c r="K728" s="10" t="s">
        <v>1412</v>
      </c>
      <c r="L728" s="10" t="s">
        <v>1413</v>
      </c>
      <c r="M728" s="179" t="s">
        <v>1468</v>
      </c>
      <c r="N728" s="180"/>
      <c r="O728" s="10" t="s">
        <v>1415</v>
      </c>
    </row>
    <row r="729" spans="4:17" ht="13.2">
      <c r="D729" s="18"/>
      <c r="E729" s="18"/>
      <c r="F729" s="18" t="s">
        <v>1636</v>
      </c>
      <c r="G729" s="18" t="s">
        <v>1484</v>
      </c>
      <c r="H729" s="10" t="s">
        <v>1444</v>
      </c>
      <c r="I729" s="10">
        <v>226</v>
      </c>
      <c r="J729" s="43" t="e">
        <f t="array" aca="1" ref="J729" ca="1">_xludf.XLOOKUP(F729, analysis!A:A, analysis!I:I)</f>
        <v>#NAME?</v>
      </c>
      <c r="K729" s="10" t="e">
        <f t="array" aca="1" ref="K729" ca="1">_xludf.XLOOKUP(F729, analysis!A:A, analysis!J:J)</f>
        <v>#NAME?</v>
      </c>
      <c r="L729" s="10" t="e">
        <f t="shared" ref="L729:L742" ca="1" si="40">K729*I729*J729/1000</f>
        <v>#NAME?</v>
      </c>
      <c r="M729" s="10" t="s">
        <v>1417</v>
      </c>
      <c r="P729" s="10" t="str">
        <f ca="1">IFERROR(__xludf.DUMMYFUNCTION("transpose(split(F729,CHAR(10)))"),"chicken breast")</f>
        <v>chicken breast</v>
      </c>
      <c r="Q729" s="10" t="str">
        <f ca="1">IFERROR(__xludf.DUMMYFUNCTION("transpose(split(G729,CHAR(10)))"),"226g")</f>
        <v>226g</v>
      </c>
    </row>
    <row r="730" spans="4:17" ht="13.2">
      <c r="F730" s="10" t="s">
        <v>646</v>
      </c>
      <c r="G730" s="10" t="s">
        <v>1439</v>
      </c>
      <c r="H730" s="10">
        <v>0</v>
      </c>
      <c r="I730" s="10">
        <v>0</v>
      </c>
      <c r="J730" s="43" t="e">
        <f t="array" aca="1" ref="J730" ca="1">_xludf.XLOOKUP(F730, analysis!A:A, analysis!I:I)</f>
        <v>#NAME?</v>
      </c>
      <c r="K730" s="10" t="e">
        <f t="array" aca="1" ref="K730" ca="1">_xludf.XLOOKUP(F730, analysis!A:A, analysis!J:J)</f>
        <v>#NAME?</v>
      </c>
      <c r="L730" s="10" t="e">
        <f t="shared" ca="1" si="40"/>
        <v>#NAME?</v>
      </c>
      <c r="M730" s="10" t="s">
        <v>1420</v>
      </c>
    </row>
    <row r="731" spans="4:17" ht="13.2">
      <c r="F731" s="10" t="s">
        <v>1421</v>
      </c>
      <c r="G731" s="10" t="s">
        <v>746</v>
      </c>
      <c r="H731" s="10" t="s">
        <v>1422</v>
      </c>
      <c r="I731" s="10">
        <f>0.914*15</f>
        <v>13.71</v>
      </c>
      <c r="J731" s="43" t="e">
        <f t="array" aca="1" ref="J731" ca="1">_xludf.XLOOKUP(F731, analysis!A:A, analysis!I:I)</f>
        <v>#NAME?</v>
      </c>
      <c r="K731" s="10" t="e">
        <f t="array" aca="1" ref="K731" ca="1">_xludf.XLOOKUP(F731, analysis!A:A, analysis!J:J)</f>
        <v>#NAME?</v>
      </c>
      <c r="L731" s="10" t="e">
        <f t="shared" ca="1" si="40"/>
        <v>#NAME?</v>
      </c>
      <c r="M731" s="10" t="s">
        <v>1423</v>
      </c>
    </row>
    <row r="732" spans="4:17" ht="13.2">
      <c r="F732" s="10" t="s">
        <v>652</v>
      </c>
      <c r="G732" s="10" t="s">
        <v>1512</v>
      </c>
      <c r="H732" s="10" t="s">
        <v>1444</v>
      </c>
      <c r="I732" s="10">
        <v>14</v>
      </c>
      <c r="J732" s="43" t="e">
        <f t="array" aca="1" ref="J732" ca="1">_xludf.XLOOKUP(F732, analysis!A:A, analysis!I:I)</f>
        <v>#NAME?</v>
      </c>
      <c r="K732" s="10" t="e">
        <f t="array" aca="1" ref="K732" ca="1">_xludf.XLOOKUP(F732, analysis!A:A, analysis!J:J)</f>
        <v>#NAME?</v>
      </c>
      <c r="L732" s="10" t="e">
        <f t="shared" ca="1" si="40"/>
        <v>#NAME?</v>
      </c>
      <c r="M732" s="10" t="s">
        <v>1425</v>
      </c>
    </row>
    <row r="733" spans="4:17" ht="13.2">
      <c r="F733" s="10" t="s">
        <v>651</v>
      </c>
      <c r="G733" s="10">
        <v>1</v>
      </c>
      <c r="H733" s="10" t="s">
        <v>1416</v>
      </c>
      <c r="I733" s="10">
        <v>70</v>
      </c>
      <c r="J733" s="43" t="e">
        <f t="array" aca="1" ref="J733" ca="1">_xludf.XLOOKUP(F733, analysis!A:A, analysis!I:I)</f>
        <v>#NAME?</v>
      </c>
      <c r="K733" s="10" t="e">
        <f t="array" aca="1" ref="K733" ca="1">_xludf.XLOOKUP(F733, analysis!A:A, analysis!J:J)</f>
        <v>#NAME?</v>
      </c>
      <c r="L733" s="10" t="e">
        <f t="shared" ca="1" si="40"/>
        <v>#NAME?</v>
      </c>
      <c r="M733" s="10" t="s">
        <v>1428</v>
      </c>
    </row>
    <row r="734" spans="4:17" ht="13.2">
      <c r="F734" s="10" t="s">
        <v>737</v>
      </c>
      <c r="G734" s="10">
        <v>3</v>
      </c>
      <c r="H734" s="10" t="s">
        <v>1416</v>
      </c>
      <c r="I734" s="10">
        <f>3*4.4</f>
        <v>13.200000000000001</v>
      </c>
      <c r="J734" s="43" t="e">
        <f t="array" aca="1" ref="J734" ca="1">_xludf.XLOOKUP(F734, analysis!A:A, analysis!I:I)</f>
        <v>#NAME?</v>
      </c>
      <c r="K734" s="10" t="e">
        <f t="array" aca="1" ref="K734" ca="1">_xludf.XLOOKUP(F734, analysis!A:A, analysis!J:J)</f>
        <v>#NAME?</v>
      </c>
      <c r="L734" s="10" t="e">
        <f t="shared" ca="1" si="40"/>
        <v>#NAME?</v>
      </c>
      <c r="M734" s="10" t="s">
        <v>1429</v>
      </c>
    </row>
    <row r="735" spans="4:17" ht="13.2">
      <c r="F735" s="10" t="s">
        <v>657</v>
      </c>
      <c r="G735" s="10" t="s">
        <v>1508</v>
      </c>
      <c r="H735" s="10" t="s">
        <v>1422</v>
      </c>
      <c r="I735" s="10">
        <f>1.03*120</f>
        <v>123.60000000000001</v>
      </c>
      <c r="J735" s="43" t="e">
        <f t="array" aca="1" ref="J735" ca="1">_xludf.XLOOKUP(F735, analysis!A:A, analysis!I:I)</f>
        <v>#NAME?</v>
      </c>
      <c r="K735" s="10" t="e">
        <f t="array" aca="1" ref="K735" ca="1">_xludf.XLOOKUP(F735, analysis!A:A, analysis!J:J)</f>
        <v>#NAME?</v>
      </c>
      <c r="L735" s="10" t="e">
        <f t="shared" ca="1" si="40"/>
        <v>#NAME?</v>
      </c>
      <c r="M735" s="10" t="s">
        <v>1430</v>
      </c>
      <c r="N735" s="10">
        <f>(((I731*1.97*160)/0.63)+(2.5/60)*5773920+(1/60)*5773920+(2.5/60)*5773920+(17.5/60)*5773920)*10^-6*50</f>
        <v>113.41556761904761</v>
      </c>
    </row>
    <row r="736" spans="4:17" ht="13.2">
      <c r="F736" s="10" t="s">
        <v>1440</v>
      </c>
      <c r="G736" s="10" t="s">
        <v>1439</v>
      </c>
      <c r="H736" s="10">
        <v>0</v>
      </c>
      <c r="I736" s="10">
        <v>0</v>
      </c>
      <c r="J736" s="43" t="e">
        <f t="array" aca="1" ref="J736" ca="1">_xludf.XLOOKUP(F736, analysis!A:A, analysis!I:I)</f>
        <v>#NAME?</v>
      </c>
      <c r="K736" s="10" t="e">
        <f t="array" aca="1" ref="K736" ca="1">_xludf.XLOOKUP(F736, analysis!A:A, analysis!J:J)</f>
        <v>#NAME?</v>
      </c>
      <c r="L736" s="10" t="e">
        <f t="shared" ca="1" si="40"/>
        <v>#NAME?</v>
      </c>
      <c r="M736" s="10" t="s">
        <v>1432</v>
      </c>
      <c r="N736" s="10">
        <f>((1.012*1.2923*10^-3*70000*240/0.63)/0.13+(11.5/60)*5773920)*(10^-6)*50</f>
        <v>68.746811282051283</v>
      </c>
    </row>
    <row r="737" spans="4:17" ht="13.2">
      <c r="F737" s="10" t="s">
        <v>1650</v>
      </c>
      <c r="G737" s="10" t="s">
        <v>1479</v>
      </c>
      <c r="H737" s="10" t="s">
        <v>1444</v>
      </c>
      <c r="I737" s="10">
        <v>454</v>
      </c>
      <c r="J737" s="43" t="e">
        <f t="array" aca="1" ref="J737" ca="1">_xludf.XLOOKUP(F737, analysis!A:A, analysis!I:I)</f>
        <v>#NAME?</v>
      </c>
      <c r="K737" s="10" t="e">
        <f t="array" aca="1" ref="K737" ca="1">_xludf.XLOOKUP(F737, analysis!A:A, analysis!J:J)</f>
        <v>#NAME?</v>
      </c>
      <c r="L737" s="10" t="e">
        <f t="shared" ca="1" si="40"/>
        <v>#NAME?</v>
      </c>
      <c r="M737" s="10" t="s">
        <v>1433</v>
      </c>
    </row>
    <row r="738" spans="4:17" ht="13.2">
      <c r="F738" s="10" t="s">
        <v>657</v>
      </c>
      <c r="G738" s="10" t="s">
        <v>1651</v>
      </c>
      <c r="H738" s="10" t="s">
        <v>1422</v>
      </c>
      <c r="I738" s="10">
        <f>160*1.03</f>
        <v>164.8</v>
      </c>
      <c r="J738" s="43" t="e">
        <f t="array" aca="1" ref="J738" ca="1">_xludf.XLOOKUP(F738, analysis!A:A, analysis!I:I)</f>
        <v>#NAME?</v>
      </c>
      <c r="K738" s="10" t="e">
        <f t="array" aca="1" ref="K738" ca="1">_xludf.XLOOKUP(F738, analysis!A:A, analysis!J:J)</f>
        <v>#NAME?</v>
      </c>
      <c r="L738" s="10" t="e">
        <f t="shared" ca="1" si="40"/>
        <v>#NAME?</v>
      </c>
      <c r="M738" s="10" t="s">
        <v>1434</v>
      </c>
      <c r="N738" s="10">
        <f>(((2/3*4500)*4.2*100/0.63)+(10/60)*5773920)*(10^-6)*50</f>
        <v>148.11600000000001</v>
      </c>
    </row>
    <row r="739" spans="4:17" ht="13.2">
      <c r="F739" s="10" t="s">
        <v>1483</v>
      </c>
      <c r="G739" s="10" t="s">
        <v>1652</v>
      </c>
      <c r="H739" s="10" t="s">
        <v>1444</v>
      </c>
      <c r="I739" s="10">
        <v>168</v>
      </c>
      <c r="J739" s="43" t="e">
        <f t="array" aca="1" ref="J739" ca="1">_xludf.XLOOKUP(F739, analysis!A:A, analysis!I:I)</f>
        <v>#NAME?</v>
      </c>
      <c r="K739" s="10" t="e">
        <f t="array" aca="1" ref="K739" ca="1">_xludf.XLOOKUP(F739, analysis!A:A, analysis!J:J)</f>
        <v>#NAME?</v>
      </c>
      <c r="L739" s="10" t="e">
        <f t="shared" ca="1" si="40"/>
        <v>#NAME?</v>
      </c>
      <c r="M739" s="10" t="s">
        <v>1437</v>
      </c>
    </row>
    <row r="740" spans="4:17" ht="13.2">
      <c r="F740" s="10" t="s">
        <v>662</v>
      </c>
      <c r="G740" s="10" t="s">
        <v>1621</v>
      </c>
      <c r="H740" s="10" t="s">
        <v>1489</v>
      </c>
      <c r="I740" s="10">
        <f>0.2*5/2</f>
        <v>0.5</v>
      </c>
      <c r="J740" s="43" t="e">
        <f t="array" aca="1" ref="J740" ca="1">_xludf.XLOOKUP(F740, analysis!A:A, analysis!I:I)</f>
        <v>#NAME?</v>
      </c>
      <c r="K740" s="10" t="e">
        <f t="array" aca="1" ref="K740" ca="1">_xludf.XLOOKUP(F740, analysis!A:A, analysis!J:J)</f>
        <v>#NAME?</v>
      </c>
      <c r="L740" s="10" t="e">
        <f t="shared" ca="1" si="40"/>
        <v>#NAME?</v>
      </c>
      <c r="M740" s="10" t="s">
        <v>1474</v>
      </c>
    </row>
    <row r="741" spans="4:17" ht="13.2">
      <c r="F741" s="10" t="s">
        <v>1554</v>
      </c>
      <c r="G741" s="10" t="s">
        <v>1617</v>
      </c>
      <c r="H741" s="10" t="s">
        <v>1444</v>
      </c>
      <c r="I741" s="10">
        <v>45</v>
      </c>
      <c r="J741" s="43" t="e">
        <f t="array" aca="1" ref="J741" ca="1">_xludf.XLOOKUP(F741, analysis!A:A, analysis!I:I)</f>
        <v>#NAME?</v>
      </c>
      <c r="K741" s="10" t="e">
        <f t="array" aca="1" ref="K741" ca="1">_xludf.XLOOKUP(F741, analysis!A:A, analysis!J:J)</f>
        <v>#NAME?</v>
      </c>
      <c r="L741" s="10" t="e">
        <f t="shared" ca="1" si="40"/>
        <v>#NAME?</v>
      </c>
      <c r="M741" s="10" t="s">
        <v>1625</v>
      </c>
    </row>
    <row r="742" spans="4:17" ht="13.2">
      <c r="F742" s="10" t="s">
        <v>1535</v>
      </c>
      <c r="G742" s="10" t="s">
        <v>1539</v>
      </c>
      <c r="H742" s="10" t="s">
        <v>1444</v>
      </c>
      <c r="I742" s="10">
        <v>250</v>
      </c>
      <c r="J742" s="43" t="e">
        <f t="array" aca="1" ref="J742" ca="1">_xludf.XLOOKUP(F742, analysis!A:A, analysis!I:I)</f>
        <v>#NAME?</v>
      </c>
      <c r="K742" s="10" t="e">
        <f t="array" aca="1" ref="K742" ca="1">_xludf.XLOOKUP(F742, analysis!A:A, analysis!J:J)</f>
        <v>#NAME?</v>
      </c>
      <c r="L742" s="10" t="e">
        <f t="shared" ca="1" si="40"/>
        <v>#NAME?</v>
      </c>
    </row>
    <row r="744" spans="4:17" ht="13.2">
      <c r="K744" s="20" t="s">
        <v>1441</v>
      </c>
      <c r="L744" s="37" t="e">
        <f ca="1">SUM(L729:L742)</f>
        <v>#NAME?</v>
      </c>
      <c r="M744" s="20" t="s">
        <v>1442</v>
      </c>
      <c r="N744" s="37">
        <f>SUM(N729:N741)</f>
        <v>330.2783789010989</v>
      </c>
    </row>
    <row r="746" spans="4:17" ht="13.2">
      <c r="F746" s="185" t="s">
        <v>1124</v>
      </c>
      <c r="G746" s="180"/>
      <c r="H746" s="180"/>
      <c r="I746" s="180"/>
      <c r="J746" s="180"/>
      <c r="K746" s="180"/>
      <c r="L746" s="180"/>
      <c r="M746" s="180"/>
      <c r="N746" s="180"/>
      <c r="O746" s="180"/>
    </row>
    <row r="747" spans="4:17" ht="13.2">
      <c r="F747" s="18" t="s">
        <v>1408</v>
      </c>
      <c r="G747" s="18" t="s">
        <v>543</v>
      </c>
      <c r="H747" s="10" t="s">
        <v>1409</v>
      </c>
      <c r="I747" s="10" t="s">
        <v>1410</v>
      </c>
      <c r="J747" s="10" t="s">
        <v>1411</v>
      </c>
      <c r="K747" s="10" t="s">
        <v>1412</v>
      </c>
      <c r="L747" s="10" t="s">
        <v>1413</v>
      </c>
      <c r="M747" s="179" t="s">
        <v>1468</v>
      </c>
      <c r="N747" s="180"/>
      <c r="O747" s="10" t="s">
        <v>1415</v>
      </c>
    </row>
    <row r="748" spans="4:17" ht="13.2">
      <c r="D748" s="18"/>
      <c r="E748" s="18"/>
      <c r="F748" s="18" t="s">
        <v>1653</v>
      </c>
      <c r="G748" s="18" t="s">
        <v>1654</v>
      </c>
      <c r="H748" s="10" t="s">
        <v>1427</v>
      </c>
      <c r="I748" s="10">
        <v>1650</v>
      </c>
      <c r="J748" s="43" t="e">
        <f t="array" aca="1" ref="J748" ca="1">_xludf.XLOOKUP(F748, analysis!A:A, analysis!I:I)</f>
        <v>#NAME?</v>
      </c>
      <c r="K748" s="10" t="e">
        <f t="array" aca="1" ref="K748" ca="1">_xludf.XLOOKUP(F748, analysis!A:A, analysis!J:J)</f>
        <v>#NAME?</v>
      </c>
      <c r="L748" s="10" t="e">
        <f t="shared" ref="L748:L754" ca="1" si="41">K748*I748*J748/1000</f>
        <v>#NAME?</v>
      </c>
      <c r="M748" s="10" t="s">
        <v>1417</v>
      </c>
      <c r="P748" s="10" t="str">
        <f ca="1">IFERROR(__xludf.DUMMYFUNCTION("transpose(split(F748,CHAR(10)))"),"chicken whole")</f>
        <v>chicken whole</v>
      </c>
      <c r="Q748" s="10" t="str">
        <f ca="1">IFERROR(__xludf.DUMMYFUNCTION("transpose(split(G748,CHAR(10)))"),"1.5-1.8Kg")</f>
        <v>1.5-1.8Kg</v>
      </c>
    </row>
    <row r="749" spans="4:17" ht="13.2">
      <c r="F749" s="10" t="s">
        <v>737</v>
      </c>
      <c r="G749" s="10">
        <v>6</v>
      </c>
      <c r="H749" s="10" t="s">
        <v>1416</v>
      </c>
      <c r="I749" s="10">
        <f>6*4.4</f>
        <v>26.400000000000002</v>
      </c>
      <c r="J749" s="43" t="e">
        <f t="array" aca="1" ref="J749" ca="1">_xludf.XLOOKUP(F749, analysis!A:A, analysis!I:I)</f>
        <v>#NAME?</v>
      </c>
      <c r="K749" s="10" t="e">
        <f t="array" aca="1" ref="K749" ca="1">_xludf.XLOOKUP(F749, analysis!A:A, analysis!J:J)</f>
        <v>#NAME?</v>
      </c>
      <c r="L749" s="10" t="e">
        <f t="shared" ca="1" si="41"/>
        <v>#NAME?</v>
      </c>
      <c r="M749" s="10" t="s">
        <v>1420</v>
      </c>
    </row>
    <row r="750" spans="4:17" ht="13.2">
      <c r="F750" s="10" t="s">
        <v>646</v>
      </c>
      <c r="G750" s="10" t="s">
        <v>1512</v>
      </c>
      <c r="H750" s="10" t="s">
        <v>1444</v>
      </c>
      <c r="I750" s="10">
        <v>14</v>
      </c>
      <c r="J750" s="43" t="e">
        <f t="array" aca="1" ref="J750" ca="1">_xludf.XLOOKUP(F750, analysis!A:A, analysis!I:I)</f>
        <v>#NAME?</v>
      </c>
      <c r="K750" s="10" t="e">
        <f t="array" aca="1" ref="K750" ca="1">_xludf.XLOOKUP(F750, analysis!A:A, analysis!J:J)</f>
        <v>#NAME?</v>
      </c>
      <c r="L750" s="10" t="e">
        <f t="shared" ca="1" si="41"/>
        <v>#NAME?</v>
      </c>
      <c r="M750" s="10" t="s">
        <v>1423</v>
      </c>
    </row>
    <row r="751" spans="4:17" ht="13.2">
      <c r="F751" s="10" t="s">
        <v>1503</v>
      </c>
      <c r="G751" s="10" t="s">
        <v>1509</v>
      </c>
      <c r="H751" s="10" t="s">
        <v>1489</v>
      </c>
      <c r="I751" s="10">
        <f>0.57*5</f>
        <v>2.8499999999999996</v>
      </c>
      <c r="J751" s="43" t="e">
        <f t="array" aca="1" ref="J751" ca="1">_xludf.XLOOKUP(F751, analysis!A:A, analysis!I:I)</f>
        <v>#NAME?</v>
      </c>
      <c r="K751" s="10" t="e">
        <f t="array" aca="1" ref="K751" ca="1">_xludf.XLOOKUP(F751, analysis!A:A, analysis!J:J)</f>
        <v>#NAME?</v>
      </c>
      <c r="L751" s="10" t="e">
        <f t="shared" ca="1" si="41"/>
        <v>#NAME?</v>
      </c>
      <c r="M751" s="10" t="s">
        <v>1425</v>
      </c>
    </row>
    <row r="752" spans="4:17" ht="13.2">
      <c r="F752" s="10" t="s">
        <v>1440</v>
      </c>
      <c r="G752" s="10" t="s">
        <v>1439</v>
      </c>
      <c r="H752" s="10">
        <v>0</v>
      </c>
      <c r="I752" s="10">
        <v>0</v>
      </c>
      <c r="J752" s="43" t="e">
        <f t="array" aca="1" ref="J752" ca="1">_xludf.XLOOKUP(F752, analysis!A:A, analysis!I:I)</f>
        <v>#NAME?</v>
      </c>
      <c r="K752" s="10" t="e">
        <f t="array" aca="1" ref="K752" ca="1">_xludf.XLOOKUP(F752, analysis!A:A, analysis!J:J)</f>
        <v>#NAME?</v>
      </c>
      <c r="L752" s="10" t="e">
        <f t="shared" ca="1" si="41"/>
        <v>#NAME?</v>
      </c>
      <c r="M752" s="10" t="s">
        <v>1428</v>
      </c>
    </row>
    <row r="753" spans="6:17" ht="13.2">
      <c r="F753" s="10" t="s">
        <v>1495</v>
      </c>
      <c r="G753" s="10">
        <v>1</v>
      </c>
      <c r="H753" s="10" t="s">
        <v>1416</v>
      </c>
      <c r="I753" s="10">
        <v>84</v>
      </c>
      <c r="J753" s="43" t="e">
        <f t="array" aca="1" ref="J753" ca="1">_xludf.XLOOKUP(F753, analysis!A:A, analysis!I:I)</f>
        <v>#NAME?</v>
      </c>
      <c r="K753" s="10" t="e">
        <f t="array" aca="1" ref="K753" ca="1">_xludf.XLOOKUP(F753, analysis!A:A, analysis!J:J)</f>
        <v>#NAME?</v>
      </c>
      <c r="L753" s="10" t="e">
        <f t="shared" ca="1" si="41"/>
        <v>#NAME?</v>
      </c>
      <c r="M753" s="10" t="s">
        <v>1429</v>
      </c>
    </row>
    <row r="754" spans="6:17" ht="13.2">
      <c r="F754" s="10" t="s">
        <v>1421</v>
      </c>
      <c r="G754" s="10" t="s">
        <v>1596</v>
      </c>
      <c r="H754" s="10" t="s">
        <v>1422</v>
      </c>
      <c r="I754" s="10">
        <f>0.914*60</f>
        <v>54.84</v>
      </c>
      <c r="J754" s="43" t="e">
        <f t="array" aca="1" ref="J754" ca="1">_xludf.XLOOKUP(F754, analysis!A:A, analysis!I:I)</f>
        <v>#NAME?</v>
      </c>
      <c r="K754" s="10" t="e">
        <f t="array" aca="1" ref="K754" ca="1">_xludf.XLOOKUP(F754, analysis!A:A, analysis!J:J)</f>
        <v>#NAME?</v>
      </c>
      <c r="L754" s="10" t="e">
        <f t="shared" ca="1" si="41"/>
        <v>#NAME?</v>
      </c>
      <c r="M754" s="10" t="s">
        <v>1430</v>
      </c>
    </row>
    <row r="755" spans="6:17" ht="13.2">
      <c r="M755" s="10" t="s">
        <v>1432</v>
      </c>
      <c r="N755" s="10">
        <f>((1.012*1.2923*10^-3*70000*240/0.63)/0.13+(45/60)*5773920)*(10^-6)*50</f>
        <v>229.93541128205126</v>
      </c>
    </row>
    <row r="756" spans="6:17" ht="13.2">
      <c r="M756" s="10" t="s">
        <v>1433</v>
      </c>
    </row>
    <row r="757" spans="6:17" ht="13.2">
      <c r="M757" s="10" t="s">
        <v>1434</v>
      </c>
    </row>
    <row r="758" spans="6:17" ht="13.2">
      <c r="M758" s="10" t="s">
        <v>1437</v>
      </c>
    </row>
    <row r="759" spans="6:17" ht="13.2">
      <c r="M759" s="10" t="s">
        <v>1474</v>
      </c>
    </row>
    <row r="760" spans="6:17" ht="13.2">
      <c r="M760" s="10" t="s">
        <v>1625</v>
      </c>
    </row>
    <row r="762" spans="6:17" ht="13.2">
      <c r="J762" s="20"/>
      <c r="K762" s="20" t="s">
        <v>1441</v>
      </c>
      <c r="L762" s="37" t="e">
        <f ca="1">SUM(L748:L754)</f>
        <v>#NAME?</v>
      </c>
      <c r="M762" s="20" t="s">
        <v>1442</v>
      </c>
      <c r="N762" s="37">
        <f>SUM(N748:N760)</f>
        <v>229.93541128205126</v>
      </c>
    </row>
    <row r="764" spans="6:17" ht="13.2">
      <c r="F764" s="184" t="s">
        <v>934</v>
      </c>
      <c r="G764" s="180"/>
      <c r="H764" s="180"/>
      <c r="I764" s="180"/>
      <c r="J764" s="180"/>
      <c r="K764" s="180"/>
      <c r="L764" s="180"/>
      <c r="M764" s="180"/>
      <c r="N764" s="180"/>
      <c r="O764" s="180"/>
    </row>
    <row r="765" spans="6:17" ht="13.2">
      <c r="F765" s="18" t="s">
        <v>1408</v>
      </c>
      <c r="G765" s="18" t="s">
        <v>543</v>
      </c>
      <c r="H765" s="10" t="s">
        <v>1409</v>
      </c>
      <c r="I765" s="10" t="s">
        <v>1410</v>
      </c>
      <c r="J765" s="10" t="s">
        <v>1411</v>
      </c>
      <c r="K765" s="10" t="s">
        <v>1412</v>
      </c>
      <c r="L765" s="10" t="s">
        <v>1413</v>
      </c>
      <c r="M765" s="179" t="s">
        <v>1468</v>
      </c>
      <c r="N765" s="180"/>
      <c r="O765" s="10" t="s">
        <v>1415</v>
      </c>
    </row>
    <row r="766" spans="6:17" ht="13.2">
      <c r="F766" s="18" t="s">
        <v>653</v>
      </c>
      <c r="G766" s="18" t="s">
        <v>1655</v>
      </c>
      <c r="H766" s="10" t="s">
        <v>1584</v>
      </c>
      <c r="I766" s="10">
        <v>1000</v>
      </c>
      <c r="J766" s="43" t="e">
        <f t="array" aca="1" ref="J766" ca="1">_xludf.XLOOKUP(F766, analysis!A:A, analysis!I:I)</f>
        <v>#NAME?</v>
      </c>
      <c r="K766" s="10" t="e">
        <f t="array" aca="1" ref="K766" ca="1">_xludf.XLOOKUP(F766, analysis!A:A, analysis!J:J)</f>
        <v>#NAME?</v>
      </c>
      <c r="L766" s="10" t="e">
        <f t="shared" ref="L766:L772" ca="1" si="42">K766*I766*J766/1000</f>
        <v>#NAME?</v>
      </c>
      <c r="M766" s="10" t="s">
        <v>1417</v>
      </c>
      <c r="P766" s="10" t="str">
        <f ca="1">IFERROR(__xludf.DUMMYFUNCTION("transpose(split(F766,CHAR(10)))"),"water")</f>
        <v>water</v>
      </c>
      <c r="Q766" s="10" t="str">
        <f ca="1">IFERROR(__xludf.DUMMYFUNCTION("transpose(split(G766,CHAR(10)))"),"1litre")</f>
        <v>1litre</v>
      </c>
    </row>
    <row r="767" spans="6:17" ht="13.2">
      <c r="F767" s="10" t="s">
        <v>1656</v>
      </c>
      <c r="G767" s="10" t="s">
        <v>1657</v>
      </c>
      <c r="H767" s="10" t="s">
        <v>1444</v>
      </c>
      <c r="I767" s="10">
        <v>325</v>
      </c>
      <c r="J767" s="43" t="e">
        <f t="array" aca="1" ref="J767" ca="1">_xludf.XLOOKUP(F767, analysis!A:A, analysis!I:I)</f>
        <v>#NAME?</v>
      </c>
      <c r="K767" s="10" t="e">
        <f t="array" aca="1" ref="K767" ca="1">_xludf.XLOOKUP(F767, analysis!A:A, analysis!J:J)</f>
        <v>#NAME?</v>
      </c>
      <c r="L767" s="10" t="e">
        <f t="shared" ca="1" si="42"/>
        <v>#NAME?</v>
      </c>
      <c r="M767" s="10" t="s">
        <v>1420</v>
      </c>
    </row>
    <row r="768" spans="6:17" ht="13.2">
      <c r="F768" s="10" t="s">
        <v>667</v>
      </c>
      <c r="G768" s="10" t="s">
        <v>1595</v>
      </c>
      <c r="H768" s="10" t="s">
        <v>1422</v>
      </c>
      <c r="I768" s="10">
        <v>250</v>
      </c>
      <c r="J768" s="43" t="e">
        <f t="array" aca="1" ref="J768" ca="1">_xludf.XLOOKUP(F768, analysis!A:A, analysis!I:I)</f>
        <v>#NAME?</v>
      </c>
      <c r="K768" s="10" t="e">
        <f t="array" aca="1" ref="K768" ca="1">_xludf.XLOOKUP(F768, analysis!A:A, analysis!J:J)</f>
        <v>#NAME?</v>
      </c>
      <c r="L768" s="10" t="e">
        <f t="shared" ca="1" si="42"/>
        <v>#NAME?</v>
      </c>
      <c r="M768" s="10" t="s">
        <v>1423</v>
      </c>
    </row>
    <row r="769" spans="4:17" ht="13.2">
      <c r="F769" s="10" t="s">
        <v>1421</v>
      </c>
      <c r="G769" s="10" t="s">
        <v>1506</v>
      </c>
      <c r="H769" s="10" t="s">
        <v>1422</v>
      </c>
      <c r="I769" s="10">
        <v>30</v>
      </c>
      <c r="J769" s="43" t="e">
        <f t="array" aca="1" ref="J769" ca="1">_xludf.XLOOKUP(F769, analysis!A:A, analysis!I:I)</f>
        <v>#NAME?</v>
      </c>
      <c r="K769" s="10" t="e">
        <f t="array" aca="1" ref="K769" ca="1">_xludf.XLOOKUP(F769, analysis!A:A, analysis!J:J)</f>
        <v>#NAME?</v>
      </c>
      <c r="L769" s="10" t="e">
        <f t="shared" ca="1" si="42"/>
        <v>#NAME?</v>
      </c>
      <c r="M769" s="10" t="s">
        <v>1425</v>
      </c>
      <c r="N769" s="10">
        <f>(1000*4.2*80/0.63+(3/60)*5773920)*(10^-6)*50</f>
        <v>41.101466666666667</v>
      </c>
    </row>
    <row r="770" spans="4:17" ht="13.2">
      <c r="F770" s="10" t="s">
        <v>1463</v>
      </c>
      <c r="G770" s="10" t="s">
        <v>1506</v>
      </c>
      <c r="H770" s="10" t="s">
        <v>1422</v>
      </c>
      <c r="I770" s="10">
        <v>30</v>
      </c>
      <c r="J770" s="43" t="e">
        <f t="array" aca="1" ref="J770" ca="1">_xludf.XLOOKUP(F770, analysis!A:A, analysis!I:I)</f>
        <v>#NAME?</v>
      </c>
      <c r="K770" s="10" t="e">
        <f t="array" aca="1" ref="K770" ca="1">_xludf.XLOOKUP(F770, analysis!A:A, analysis!J:J)</f>
        <v>#NAME?</v>
      </c>
      <c r="L770" s="10" t="e">
        <f t="shared" ca="1" si="42"/>
        <v>#NAME?</v>
      </c>
      <c r="M770" s="10" t="s">
        <v>1428</v>
      </c>
    </row>
    <row r="771" spans="4:17" ht="13.2">
      <c r="F771" s="10" t="s">
        <v>733</v>
      </c>
      <c r="G771" s="10" t="s">
        <v>1439</v>
      </c>
      <c r="H771" s="10">
        <v>0</v>
      </c>
      <c r="I771" s="10">
        <v>0</v>
      </c>
      <c r="J771" s="43" t="e">
        <f t="array" aca="1" ref="J771" ca="1">_xludf.XLOOKUP(F771, analysis!A:A, analysis!I:I)</f>
        <v>#NAME?</v>
      </c>
      <c r="K771" s="10" t="e">
        <f t="array" aca="1" ref="K771" ca="1">_xludf.XLOOKUP(F771, analysis!A:A, analysis!J:J)</f>
        <v>#NAME?</v>
      </c>
      <c r="L771" s="10" t="e">
        <f t="shared" ca="1" si="42"/>
        <v>#NAME?</v>
      </c>
      <c r="M771" s="10" t="s">
        <v>1429</v>
      </c>
      <c r="N771" s="10">
        <f>((8^2*PI()*5.5*0.927*1.96*170/0.63)+(4/60)*5773920)*(10^-6)*50</f>
        <v>46.354976813155261</v>
      </c>
    </row>
    <row r="772" spans="4:17" ht="13.2">
      <c r="F772" s="10" t="s">
        <v>646</v>
      </c>
      <c r="G772" s="10" t="s">
        <v>1439</v>
      </c>
      <c r="H772" s="10">
        <v>0</v>
      </c>
      <c r="I772" s="10">
        <v>0</v>
      </c>
      <c r="J772" s="43" t="e">
        <f t="array" aca="1" ref="J772" ca="1">_xludf.XLOOKUP(F772, analysis!A:A, analysis!I:I)</f>
        <v>#NAME?</v>
      </c>
      <c r="K772" s="10" t="e">
        <f t="array" aca="1" ref="K772" ca="1">_xludf.XLOOKUP(F772, analysis!A:A, analysis!J:J)</f>
        <v>#NAME?</v>
      </c>
      <c r="L772" s="10" t="e">
        <f t="shared" ca="1" si="42"/>
        <v>#NAME?</v>
      </c>
      <c r="M772" s="10" t="s">
        <v>1430</v>
      </c>
    </row>
    <row r="773" spans="4:17" ht="13.2">
      <c r="M773" s="10" t="s">
        <v>1432</v>
      </c>
    </row>
    <row r="774" spans="4:17" ht="13.2">
      <c r="M774" s="10" t="s">
        <v>1433</v>
      </c>
    </row>
    <row r="775" spans="4:17" ht="13.2">
      <c r="M775" s="10" t="s">
        <v>1434</v>
      </c>
    </row>
    <row r="776" spans="4:17" ht="13.2">
      <c r="M776" s="10" t="s">
        <v>1437</v>
      </c>
    </row>
    <row r="777" spans="4:17" ht="13.2">
      <c r="M777" s="10" t="s">
        <v>1474</v>
      </c>
    </row>
    <row r="778" spans="4:17" ht="13.2">
      <c r="M778" s="10" t="s">
        <v>1625</v>
      </c>
    </row>
    <row r="780" spans="4:17" ht="13.2">
      <c r="K780" s="20" t="s">
        <v>1441</v>
      </c>
      <c r="L780" s="37" t="e">
        <f ca="1">SUM(L766:L772)</f>
        <v>#NAME?</v>
      </c>
      <c r="M780" s="20" t="s">
        <v>1442</v>
      </c>
      <c r="N780" s="37">
        <f>SUM(N766:N778)</f>
        <v>87.456443479821928</v>
      </c>
    </row>
    <row r="782" spans="4:17" ht="13.2">
      <c r="F782" s="185" t="s">
        <v>1221</v>
      </c>
      <c r="G782" s="180"/>
      <c r="H782" s="180"/>
      <c r="I782" s="180"/>
      <c r="J782" s="180"/>
      <c r="K782" s="180"/>
      <c r="L782" s="180"/>
      <c r="M782" s="180"/>
      <c r="N782" s="180"/>
      <c r="O782" s="180"/>
    </row>
    <row r="783" spans="4:17" ht="13.2">
      <c r="F783" s="18" t="s">
        <v>1408</v>
      </c>
      <c r="G783" s="18" t="s">
        <v>543</v>
      </c>
      <c r="H783" s="10" t="s">
        <v>1409</v>
      </c>
      <c r="I783" s="10" t="s">
        <v>1410</v>
      </c>
      <c r="J783" s="10" t="s">
        <v>1411</v>
      </c>
      <c r="K783" s="10" t="s">
        <v>1412</v>
      </c>
      <c r="L783" s="10" t="s">
        <v>1413</v>
      </c>
      <c r="M783" s="179" t="s">
        <v>1468</v>
      </c>
      <c r="N783" s="180"/>
      <c r="O783" s="10" t="s">
        <v>1415</v>
      </c>
    </row>
    <row r="784" spans="4:17" ht="13.2">
      <c r="D784" s="18"/>
      <c r="E784" s="18"/>
      <c r="F784" s="18" t="s">
        <v>1463</v>
      </c>
      <c r="G784" s="18" t="s">
        <v>1658</v>
      </c>
      <c r="H784" s="10" t="s">
        <v>1444</v>
      </c>
      <c r="I784" s="10">
        <v>480</v>
      </c>
      <c r="J784" s="43" t="e">
        <f t="array" aca="1" ref="J784" ca="1">_xludf.XLOOKUP(F784, analysis!A:A, analysis!I:I)</f>
        <v>#NAME?</v>
      </c>
      <c r="K784" s="10" t="e">
        <f t="array" aca="1" ref="K784" ca="1">_xludf.XLOOKUP(F784, analysis!A:A, analysis!J:J)</f>
        <v>#NAME?</v>
      </c>
      <c r="L784" s="10" t="e">
        <f t="shared" ref="L784:L805" ca="1" si="43">K784*I784*J784/1000</f>
        <v>#NAME?</v>
      </c>
      <c r="M784" s="10" t="s">
        <v>1417</v>
      </c>
      <c r="P784" s="10" t="str">
        <f ca="1">IFERROR(__xludf.DUMMYFUNCTION("transpose(split(F784,CHAR(10)))"),"plain flour")</f>
        <v>plain flour</v>
      </c>
      <c r="Q784" s="10" t="str">
        <f ca="1">IFERROR(__xludf.DUMMYFUNCTION("transpose(split(G784,CHAR(10)))"),"480g")</f>
        <v>480g</v>
      </c>
    </row>
    <row r="785" spans="6:14" ht="13.2">
      <c r="F785" s="10" t="s">
        <v>646</v>
      </c>
      <c r="G785" s="10" t="s">
        <v>1509</v>
      </c>
      <c r="H785" s="10" t="s">
        <v>1489</v>
      </c>
      <c r="I785" s="10">
        <f>5*1.38</f>
        <v>6.8999999999999995</v>
      </c>
      <c r="J785" s="43" t="e">
        <f t="array" aca="1" ref="J785" ca="1">_xludf.XLOOKUP(F785, analysis!A:A, analysis!I:I)</f>
        <v>#NAME?</v>
      </c>
      <c r="K785" s="10" t="e">
        <f t="array" aca="1" ref="K785" ca="1">_xludf.XLOOKUP(F785, analysis!A:A, analysis!J:J)</f>
        <v>#NAME?</v>
      </c>
      <c r="L785" s="10" t="e">
        <f t="shared" ca="1" si="43"/>
        <v>#NAME?</v>
      </c>
      <c r="M785" s="10" t="s">
        <v>1420</v>
      </c>
    </row>
    <row r="786" spans="6:14" ht="13.2">
      <c r="F786" s="10" t="s">
        <v>652</v>
      </c>
      <c r="G786" s="10" t="s">
        <v>1606</v>
      </c>
      <c r="H786" s="10" t="s">
        <v>1444</v>
      </c>
      <c r="I786" s="10">
        <v>170</v>
      </c>
      <c r="J786" s="43" t="e">
        <f t="array" aca="1" ref="J786" ca="1">_xludf.XLOOKUP(F786, analysis!A:A, analysis!I:I)</f>
        <v>#NAME?</v>
      </c>
      <c r="K786" s="10" t="e">
        <f t="array" aca="1" ref="K786" ca="1">_xludf.XLOOKUP(F786, analysis!A:A, analysis!J:J)</f>
        <v>#NAME?</v>
      </c>
      <c r="L786" s="10" t="e">
        <f t="shared" ca="1" si="43"/>
        <v>#NAME?</v>
      </c>
      <c r="M786" s="10" t="s">
        <v>1423</v>
      </c>
    </row>
    <row r="787" spans="6:14" ht="13.2">
      <c r="F787" s="10" t="s">
        <v>642</v>
      </c>
      <c r="G787" s="10">
        <v>1</v>
      </c>
      <c r="H787" s="10" t="s">
        <v>1416</v>
      </c>
      <c r="I787" s="10">
        <v>45</v>
      </c>
      <c r="J787" s="43" t="e">
        <f t="array" aca="1" ref="J787" ca="1">_xludf.XLOOKUP(F787, analysis!A:A, analysis!I:I)</f>
        <v>#NAME?</v>
      </c>
      <c r="K787" s="10" t="e">
        <f t="array" aca="1" ref="K787" ca="1">_xludf.XLOOKUP(F787, analysis!A:A, analysis!J:J)</f>
        <v>#NAME?</v>
      </c>
      <c r="L787" s="10" t="e">
        <f t="shared" ca="1" si="43"/>
        <v>#NAME?</v>
      </c>
      <c r="M787" s="10" t="s">
        <v>1425</v>
      </c>
    </row>
    <row r="788" spans="6:14" ht="13.2">
      <c r="F788" s="10" t="s">
        <v>1640</v>
      </c>
      <c r="G788" s="10">
        <v>1</v>
      </c>
      <c r="H788" s="10" t="s">
        <v>1416</v>
      </c>
      <c r="I788" s="10">
        <v>13.5</v>
      </c>
      <c r="J788" s="43" t="e">
        <f t="array" aca="1" ref="J788" ca="1">_xludf.XLOOKUP(F788, analysis!A:A, analysis!I:I)</f>
        <v>#NAME?</v>
      </c>
      <c r="K788" s="10" t="e">
        <f t="array" aca="1" ref="K788" ca="1">_xludf.XLOOKUP(F788, analysis!A:A, analysis!J:J)</f>
        <v>#NAME?</v>
      </c>
      <c r="L788" s="10" t="e">
        <f t="shared" ca="1" si="43"/>
        <v>#NAME?</v>
      </c>
      <c r="M788" s="10" t="s">
        <v>1428</v>
      </c>
    </row>
    <row r="789" spans="6:14" ht="13.2">
      <c r="F789" s="10" t="s">
        <v>653</v>
      </c>
      <c r="G789" s="10" t="s">
        <v>1439</v>
      </c>
      <c r="H789" s="10">
        <v>0</v>
      </c>
      <c r="I789" s="10">
        <v>0</v>
      </c>
      <c r="J789" s="43" t="e">
        <f t="array" aca="1" ref="J789" ca="1">_xludf.XLOOKUP(F789, analysis!A:A, analysis!I:I)</f>
        <v>#NAME?</v>
      </c>
      <c r="K789" s="10" t="e">
        <f t="array" aca="1" ref="K789" ca="1">_xludf.XLOOKUP(F789, analysis!A:A, analysis!J:J)</f>
        <v>#NAME?</v>
      </c>
      <c r="L789" s="10" t="e">
        <f t="shared" ca="1" si="43"/>
        <v>#NAME?</v>
      </c>
      <c r="M789" s="10" t="s">
        <v>1429</v>
      </c>
    </row>
    <row r="790" spans="6:14" ht="13.2">
      <c r="F790" s="10" t="s">
        <v>1636</v>
      </c>
      <c r="G790" s="10" t="s">
        <v>1479</v>
      </c>
      <c r="H790" s="10" t="s">
        <v>1444</v>
      </c>
      <c r="I790" s="10">
        <v>450</v>
      </c>
      <c r="J790" s="43" t="e">
        <f t="array" aca="1" ref="J790" ca="1">_xludf.XLOOKUP(F790, analysis!A:A, analysis!I:I)</f>
        <v>#NAME?</v>
      </c>
      <c r="K790" s="10" t="e">
        <f t="array" aca="1" ref="K790" ca="1">_xludf.XLOOKUP(F790, analysis!A:A, analysis!J:J)</f>
        <v>#NAME?</v>
      </c>
      <c r="L790" s="10" t="e">
        <f t="shared" ca="1" si="43"/>
        <v>#NAME?</v>
      </c>
      <c r="M790" s="10" t="s">
        <v>1430</v>
      </c>
      <c r="N790" s="10">
        <f>(((I792*1.97*160)/0.63)+(3/60)*5773920+(4/60)*5773920+(0.5/60)*5773920+(3/60)*5773920+(6.5/60)*5773920+(5/60)*5773920)*10^-6*50</f>
        <v>106.19816761904761</v>
      </c>
    </row>
    <row r="791" spans="6:14" ht="13.2">
      <c r="F791" s="10" t="s">
        <v>646</v>
      </c>
      <c r="G791" s="10" t="s">
        <v>1439</v>
      </c>
      <c r="H791" s="10">
        <v>0</v>
      </c>
      <c r="I791" s="10">
        <v>0</v>
      </c>
      <c r="J791" s="43" t="e">
        <f t="array" aca="1" ref="J791" ca="1">_xludf.XLOOKUP(F791, analysis!A:A, analysis!I:I)</f>
        <v>#NAME?</v>
      </c>
      <c r="K791" s="10" t="e">
        <f t="array" aca="1" ref="K791" ca="1">_xludf.XLOOKUP(F791, analysis!A:A, analysis!J:J)</f>
        <v>#NAME?</v>
      </c>
      <c r="L791" s="10" t="e">
        <f t="shared" ca="1" si="43"/>
        <v>#NAME?</v>
      </c>
      <c r="M791" s="10" t="s">
        <v>1432</v>
      </c>
      <c r="N791" s="10">
        <f>((1.012*1.2923*10^-3*70000*240/0.63)/0.13+(47.5/60)*5773920)*(10^-6)*50</f>
        <v>241.96441128205123</v>
      </c>
    </row>
    <row r="792" spans="6:14" ht="13.2">
      <c r="F792" s="10" t="s">
        <v>1421</v>
      </c>
      <c r="G792" s="10" t="s">
        <v>746</v>
      </c>
      <c r="H792" s="10" t="s">
        <v>1422</v>
      </c>
      <c r="I792" s="10">
        <f>0.914*15</f>
        <v>13.71</v>
      </c>
      <c r="J792" s="43" t="e">
        <f t="array" aca="1" ref="J792" ca="1">_xludf.XLOOKUP(F792, analysis!A:A, analysis!I:I)</f>
        <v>#NAME?</v>
      </c>
      <c r="K792" s="10" t="e">
        <f t="array" aca="1" ref="K792" ca="1">_xludf.XLOOKUP(F792, analysis!A:A, analysis!J:J)</f>
        <v>#NAME?</v>
      </c>
      <c r="L792" s="10" t="e">
        <f t="shared" ca="1" si="43"/>
        <v>#NAME?</v>
      </c>
      <c r="M792" s="10" t="s">
        <v>1433</v>
      </c>
    </row>
    <row r="793" spans="6:14" ht="13.2">
      <c r="F793" s="10" t="s">
        <v>652</v>
      </c>
      <c r="G793" s="10" t="s">
        <v>1512</v>
      </c>
      <c r="H793" s="10" t="s">
        <v>1444</v>
      </c>
      <c r="I793" s="10">
        <v>14</v>
      </c>
      <c r="J793" s="43" t="e">
        <f t="array" aca="1" ref="J793" ca="1">_xludf.XLOOKUP(F793, analysis!A:A, analysis!I:I)</f>
        <v>#NAME?</v>
      </c>
      <c r="K793" s="10" t="e">
        <f t="array" aca="1" ref="K793" ca="1">_xludf.XLOOKUP(F793, analysis!A:A, analysis!J:J)</f>
        <v>#NAME?</v>
      </c>
      <c r="L793" s="10" t="e">
        <f t="shared" ca="1" si="43"/>
        <v>#NAME?</v>
      </c>
      <c r="M793" s="10" t="s">
        <v>1434</v>
      </c>
      <c r="N793" s="10">
        <f>(((2/3*4500)*4.2*100/0.63)+(15/60)*5773920)*(10^-6)*50</f>
        <v>172.17399999999998</v>
      </c>
    </row>
    <row r="794" spans="6:14" ht="13.2">
      <c r="F794" s="10" t="s">
        <v>651</v>
      </c>
      <c r="G794" s="10">
        <v>1</v>
      </c>
      <c r="H794" s="10" t="s">
        <v>1416</v>
      </c>
      <c r="I794" s="10">
        <v>70</v>
      </c>
      <c r="J794" s="43" t="e">
        <f t="array" aca="1" ref="J794" ca="1">_xludf.XLOOKUP(F794, analysis!A:A, analysis!I:I)</f>
        <v>#NAME?</v>
      </c>
      <c r="K794" s="10" t="e">
        <f t="array" aca="1" ref="K794" ca="1">_xludf.XLOOKUP(F794, analysis!A:A, analysis!J:J)</f>
        <v>#NAME?</v>
      </c>
      <c r="L794" s="10" t="e">
        <f t="shared" ca="1" si="43"/>
        <v>#NAME?</v>
      </c>
      <c r="M794" s="10" t="s">
        <v>1437</v>
      </c>
    </row>
    <row r="795" spans="6:14" ht="13.2">
      <c r="F795" s="10" t="s">
        <v>658</v>
      </c>
      <c r="G795" s="10">
        <v>1</v>
      </c>
      <c r="H795" s="10" t="s">
        <v>1416</v>
      </c>
      <c r="I795" s="10">
        <v>100</v>
      </c>
      <c r="J795" s="43" t="e">
        <f t="array" aca="1" ref="J795" ca="1">_xludf.XLOOKUP(F795, analysis!A:A, analysis!I:I)</f>
        <v>#NAME?</v>
      </c>
      <c r="K795" s="10" t="e">
        <f t="array" aca="1" ref="K795" ca="1">_xludf.XLOOKUP(F795, analysis!A:A, analysis!J:J)</f>
        <v>#NAME?</v>
      </c>
      <c r="L795" s="10" t="e">
        <f t="shared" ca="1" si="43"/>
        <v>#NAME?</v>
      </c>
      <c r="M795" s="10" t="s">
        <v>1474</v>
      </c>
    </row>
    <row r="796" spans="6:14" ht="13.2">
      <c r="F796" s="10" t="s">
        <v>737</v>
      </c>
      <c r="G796" s="10">
        <v>3</v>
      </c>
      <c r="H796" s="10" t="s">
        <v>1416</v>
      </c>
      <c r="I796" s="10">
        <f>3*4.4</f>
        <v>13.200000000000001</v>
      </c>
      <c r="J796" s="43" t="e">
        <f t="array" aca="1" ref="J796" ca="1">_xludf.XLOOKUP(F796, analysis!A:A, analysis!I:I)</f>
        <v>#NAME?</v>
      </c>
      <c r="K796" s="10" t="e">
        <f t="array" aca="1" ref="K796" ca="1">_xludf.XLOOKUP(F796, analysis!A:A, analysis!J:J)</f>
        <v>#NAME?</v>
      </c>
      <c r="L796" s="10" t="e">
        <f t="shared" ca="1" si="43"/>
        <v>#NAME?</v>
      </c>
      <c r="M796" s="10" t="s">
        <v>1625</v>
      </c>
    </row>
    <row r="797" spans="6:14" ht="13.2">
      <c r="F797" s="10" t="s">
        <v>1554</v>
      </c>
      <c r="G797" s="10" t="s">
        <v>1659</v>
      </c>
      <c r="H797" s="10" t="s">
        <v>1444</v>
      </c>
      <c r="I797" s="10">
        <v>90</v>
      </c>
      <c r="J797" s="43" t="e">
        <f t="array" aca="1" ref="J797" ca="1">_xludf.XLOOKUP(F797, analysis!A:A, analysis!I:I)</f>
        <v>#NAME?</v>
      </c>
      <c r="K797" s="10" t="e">
        <f t="array" aca="1" ref="K797" ca="1">_xludf.XLOOKUP(F797, analysis!A:A, analysis!J:J)</f>
        <v>#NAME?</v>
      </c>
      <c r="L797" s="10" t="e">
        <f t="shared" ca="1" si="43"/>
        <v>#NAME?</v>
      </c>
    </row>
    <row r="798" spans="6:14" ht="13.2">
      <c r="F798" s="10" t="s">
        <v>1660</v>
      </c>
      <c r="G798" s="10" t="s">
        <v>1439</v>
      </c>
      <c r="H798" s="10">
        <v>0</v>
      </c>
      <c r="I798" s="10">
        <v>0</v>
      </c>
      <c r="J798" s="43" t="e">
        <f t="array" aca="1" ref="J798" ca="1">_xludf.XLOOKUP(F798, analysis!A:A, analysis!I:I)</f>
        <v>#NAME?</v>
      </c>
      <c r="K798" s="10" t="e">
        <f t="array" aca="1" ref="K798" ca="1">_xludf.XLOOKUP(F798, analysis!A:A, analysis!J:J)</f>
        <v>#NAME?</v>
      </c>
      <c r="L798" s="10" t="e">
        <f t="shared" ca="1" si="43"/>
        <v>#NAME?</v>
      </c>
    </row>
    <row r="799" spans="6:14" ht="13.2">
      <c r="F799" s="10" t="s">
        <v>657</v>
      </c>
      <c r="G799" s="10" t="s">
        <v>1564</v>
      </c>
      <c r="H799" s="10" t="s">
        <v>1422</v>
      </c>
      <c r="I799" s="10">
        <f>1.03*80</f>
        <v>82.4</v>
      </c>
      <c r="J799" s="43" t="e">
        <f t="array" aca="1" ref="J799" ca="1">_xludf.XLOOKUP(F799, analysis!A:A, analysis!I:I)</f>
        <v>#NAME?</v>
      </c>
      <c r="K799" s="10" t="e">
        <f t="array" aca="1" ref="K799" ca="1">_xludf.XLOOKUP(F799, analysis!A:A, analysis!J:J)</f>
        <v>#NAME?</v>
      </c>
      <c r="L799" s="10" t="e">
        <f t="shared" ca="1" si="43"/>
        <v>#NAME?</v>
      </c>
    </row>
    <row r="800" spans="6:14" ht="13.2">
      <c r="F800" s="10" t="s">
        <v>667</v>
      </c>
      <c r="G800" s="10" t="s">
        <v>1508</v>
      </c>
      <c r="H800" s="10" t="s">
        <v>1422</v>
      </c>
      <c r="I800" s="10">
        <v>120</v>
      </c>
      <c r="J800" s="43" t="e">
        <f t="array" aca="1" ref="J800" ca="1">_xludf.XLOOKUP(F800, analysis!A:A, analysis!I:I)</f>
        <v>#NAME?</v>
      </c>
      <c r="K800" s="10" t="e">
        <f t="array" aca="1" ref="K800" ca="1">_xludf.XLOOKUP(F800, analysis!A:A, analysis!J:J)</f>
        <v>#NAME?</v>
      </c>
      <c r="L800" s="10" t="e">
        <f t="shared" ca="1" si="43"/>
        <v>#NAME?</v>
      </c>
    </row>
    <row r="801" spans="4:17" ht="13.2">
      <c r="F801" s="10" t="s">
        <v>640</v>
      </c>
      <c r="G801" s="10" t="s">
        <v>1564</v>
      </c>
      <c r="H801" s="10" t="s">
        <v>1422</v>
      </c>
      <c r="I801" s="10">
        <f>1.04*80</f>
        <v>83.2</v>
      </c>
      <c r="J801" s="43" t="e">
        <f t="array" aca="1" ref="J801" ca="1">_xludf.XLOOKUP(F801, analysis!A:A, analysis!I:I)</f>
        <v>#NAME?</v>
      </c>
      <c r="K801" s="10" t="e">
        <f t="array" aca="1" ref="K801" ca="1">_xludf.XLOOKUP(F801, analysis!A:A, analysis!J:J)</f>
        <v>#NAME?</v>
      </c>
      <c r="L801" s="10" t="e">
        <f t="shared" ca="1" si="43"/>
        <v>#NAME?</v>
      </c>
    </row>
    <row r="802" spans="4:17" ht="13.2">
      <c r="F802" s="10" t="s">
        <v>1463</v>
      </c>
      <c r="G802" s="10" t="s">
        <v>1505</v>
      </c>
      <c r="H802" s="10" t="s">
        <v>1444</v>
      </c>
      <c r="I802" s="10">
        <v>8</v>
      </c>
      <c r="J802" s="43" t="e">
        <f t="array" aca="1" ref="J802" ca="1">_xludf.XLOOKUP(F802, analysis!A:A, analysis!I:I)</f>
        <v>#NAME?</v>
      </c>
      <c r="K802" s="10" t="e">
        <f t="array" aca="1" ref="K802" ca="1">_xludf.XLOOKUP(F802, analysis!A:A, analysis!J:J)</f>
        <v>#NAME?</v>
      </c>
      <c r="L802" s="10" t="e">
        <f t="shared" ca="1" si="43"/>
        <v>#NAME?</v>
      </c>
    </row>
    <row r="803" spans="4:17" ht="13.2">
      <c r="F803" s="10" t="s">
        <v>1440</v>
      </c>
      <c r="G803" s="10" t="s">
        <v>1439</v>
      </c>
      <c r="H803" s="10">
        <v>0</v>
      </c>
      <c r="I803" s="10">
        <v>0</v>
      </c>
      <c r="J803" s="43" t="e">
        <f t="array" aca="1" ref="J803" ca="1">_xludf.XLOOKUP(F803, analysis!A:A, analysis!I:I)</f>
        <v>#NAME?</v>
      </c>
      <c r="K803" s="10" t="e">
        <f t="array" aca="1" ref="K803" ca="1">_xludf.XLOOKUP(F803, analysis!A:A, analysis!J:J)</f>
        <v>#NAME?</v>
      </c>
      <c r="L803" s="10" t="e">
        <f t="shared" ca="1" si="43"/>
        <v>#NAME?</v>
      </c>
    </row>
    <row r="804" spans="4:17" ht="13.2">
      <c r="F804" s="10" t="s">
        <v>1535</v>
      </c>
      <c r="G804" s="10" t="s">
        <v>1522</v>
      </c>
      <c r="H804" s="10" t="s">
        <v>1444</v>
      </c>
      <c r="I804" s="10">
        <v>113</v>
      </c>
      <c r="J804" s="43" t="e">
        <f t="array" aca="1" ref="J804" ca="1">_xludf.XLOOKUP(F804, analysis!A:A, analysis!I:I)</f>
        <v>#NAME?</v>
      </c>
      <c r="K804" s="10" t="e">
        <f t="array" aca="1" ref="K804" ca="1">_xludf.XLOOKUP(F804, analysis!A:A, analysis!J:J)</f>
        <v>#NAME?</v>
      </c>
      <c r="L804" s="10" t="e">
        <f t="shared" ca="1" si="43"/>
        <v>#NAME?</v>
      </c>
    </row>
    <row r="805" spans="4:17" ht="13.2">
      <c r="F805" s="10" t="s">
        <v>1449</v>
      </c>
      <c r="G805" s="10" t="s">
        <v>1510</v>
      </c>
      <c r="H805" s="10" t="s">
        <v>1444</v>
      </c>
      <c r="I805" s="10">
        <v>15</v>
      </c>
      <c r="J805" s="43" t="e">
        <f t="array" aca="1" ref="J805" ca="1">_xludf.XLOOKUP(F805, analysis!A:A, analysis!I:I)</f>
        <v>#NAME?</v>
      </c>
      <c r="K805" s="10" t="e">
        <f t="array" aca="1" ref="K805" ca="1">_xludf.XLOOKUP(F805, analysis!A:A, analysis!J:J)</f>
        <v>#NAME?</v>
      </c>
      <c r="L805" s="10" t="e">
        <f t="shared" ca="1" si="43"/>
        <v>#NAME?</v>
      </c>
    </row>
    <row r="807" spans="4:17" ht="13.2">
      <c r="K807" s="20" t="s">
        <v>1441</v>
      </c>
      <c r="L807" s="37" t="e">
        <f ca="1">SUM(L784:L805)</f>
        <v>#NAME?</v>
      </c>
      <c r="M807" s="20" t="s">
        <v>1442</v>
      </c>
      <c r="N807" s="37">
        <f>SUM(N784:N796)</f>
        <v>520.33657890109885</v>
      </c>
    </row>
    <row r="809" spans="4:17" ht="13.2">
      <c r="F809" s="185" t="s">
        <v>1147</v>
      </c>
      <c r="G809" s="180"/>
      <c r="H809" s="180"/>
      <c r="I809" s="180"/>
      <c r="J809" s="180"/>
      <c r="K809" s="180"/>
      <c r="L809" s="180"/>
      <c r="M809" s="180"/>
      <c r="N809" s="180"/>
      <c r="O809" s="180"/>
    </row>
    <row r="810" spans="4:17" ht="13.2">
      <c r="F810" s="18" t="s">
        <v>1408</v>
      </c>
      <c r="G810" s="18" t="s">
        <v>543</v>
      </c>
      <c r="H810" s="10" t="s">
        <v>1409</v>
      </c>
      <c r="I810" s="10" t="s">
        <v>1410</v>
      </c>
      <c r="J810" s="10" t="s">
        <v>1411</v>
      </c>
      <c r="K810" s="10" t="s">
        <v>1412</v>
      </c>
      <c r="L810" s="10" t="s">
        <v>1413</v>
      </c>
      <c r="M810" s="179" t="s">
        <v>1468</v>
      </c>
      <c r="N810" s="180"/>
      <c r="O810" s="10" t="s">
        <v>1415</v>
      </c>
    </row>
    <row r="811" spans="4:17" ht="13.2">
      <c r="D811" s="18"/>
      <c r="E811" s="18"/>
      <c r="F811" s="18" t="s">
        <v>1661</v>
      </c>
      <c r="G811" s="18">
        <v>8</v>
      </c>
      <c r="H811" s="10" t="s">
        <v>1416</v>
      </c>
      <c r="I811" s="10">
        <f>8*120</f>
        <v>960</v>
      </c>
      <c r="J811" s="43" t="e">
        <f t="array" aca="1" ref="J811" ca="1">_xludf.XLOOKUP(F811, analysis!A:A, analysis!I:I)</f>
        <v>#NAME?</v>
      </c>
      <c r="K811" s="10" t="e">
        <f t="array" aca="1" ref="K811" ca="1">_xludf.XLOOKUP(F811, analysis!A:A, analysis!J:J)</f>
        <v>#NAME?</v>
      </c>
      <c r="L811" s="10" t="e">
        <f t="shared" ref="L811:L817" ca="1" si="44">K811*I811*J811/1000</f>
        <v>#NAME?</v>
      </c>
      <c r="M811" s="10" t="s">
        <v>1417</v>
      </c>
      <c r="P811" s="10" t="str">
        <f ca="1">IFERROR(__xludf.DUMMYFUNCTION("transpose(split(F811,CHAR(10)))"),"white fish")</f>
        <v>white fish</v>
      </c>
      <c r="Q811" s="10">
        <f ca="1">IFERROR(__xludf.DUMMYFUNCTION("transpose(split(G811,CHAR(10)))"),8)</f>
        <v>8</v>
      </c>
    </row>
    <row r="812" spans="4:17" ht="13.2">
      <c r="F812" s="10" t="s">
        <v>1495</v>
      </c>
      <c r="G812" s="10">
        <v>1</v>
      </c>
      <c r="H812" s="10" t="s">
        <v>1416</v>
      </c>
      <c r="I812" s="10">
        <v>84</v>
      </c>
      <c r="J812" s="43" t="e">
        <f t="array" aca="1" ref="J812" ca="1">_xludf.XLOOKUP(F812, analysis!A:A, analysis!I:I)</f>
        <v>#NAME?</v>
      </c>
      <c r="K812" s="10" t="e">
        <f t="array" aca="1" ref="K812" ca="1">_xludf.XLOOKUP(F812, analysis!A:A, analysis!J:J)</f>
        <v>#NAME?</v>
      </c>
      <c r="L812" s="10" t="e">
        <f t="shared" ca="1" si="44"/>
        <v>#NAME?</v>
      </c>
      <c r="M812" s="10" t="s">
        <v>1420</v>
      </c>
    </row>
    <row r="813" spans="4:17" ht="13.2">
      <c r="F813" s="10" t="s">
        <v>1463</v>
      </c>
      <c r="G813" s="10" t="s">
        <v>1539</v>
      </c>
      <c r="H813" s="10" t="s">
        <v>1444</v>
      </c>
      <c r="I813" s="10">
        <v>250</v>
      </c>
      <c r="J813" s="43" t="e">
        <f t="array" aca="1" ref="J813" ca="1">_xludf.XLOOKUP(F813, analysis!A:A, analysis!I:I)</f>
        <v>#NAME?</v>
      </c>
      <c r="K813" s="10" t="e">
        <f t="array" aca="1" ref="K813" ca="1">_xludf.XLOOKUP(F813, analysis!A:A, analysis!J:J)</f>
        <v>#NAME?</v>
      </c>
      <c r="L813" s="10" t="e">
        <f t="shared" ca="1" si="44"/>
        <v>#NAME?</v>
      </c>
      <c r="M813" s="10" t="s">
        <v>1423</v>
      </c>
    </row>
    <row r="814" spans="4:17" ht="13.2">
      <c r="F814" s="10" t="s">
        <v>646</v>
      </c>
      <c r="G814" s="10" t="s">
        <v>1439</v>
      </c>
      <c r="H814" s="10">
        <v>0</v>
      </c>
      <c r="I814" s="10">
        <v>0</v>
      </c>
      <c r="J814" s="43" t="e">
        <f t="array" aca="1" ref="J814" ca="1">_xludf.XLOOKUP(F814, analysis!A:A, analysis!I:I)</f>
        <v>#NAME?</v>
      </c>
      <c r="K814" s="10" t="e">
        <f t="array" aca="1" ref="K814" ca="1">_xludf.XLOOKUP(F814, analysis!A:A, analysis!J:J)</f>
        <v>#NAME?</v>
      </c>
      <c r="L814" s="10" t="e">
        <f t="shared" ca="1" si="44"/>
        <v>#NAME?</v>
      </c>
      <c r="M814" s="10" t="s">
        <v>1425</v>
      </c>
    </row>
    <row r="815" spans="4:17" ht="13.2">
      <c r="F815" s="10" t="s">
        <v>1440</v>
      </c>
      <c r="G815" s="10" t="s">
        <v>1439</v>
      </c>
      <c r="H815" s="10">
        <v>0</v>
      </c>
      <c r="I815" s="10">
        <v>0</v>
      </c>
      <c r="J815" s="43" t="e">
        <f t="array" aca="1" ref="J815" ca="1">_xludf.XLOOKUP(F815, analysis!A:A, analysis!I:I)</f>
        <v>#NAME?</v>
      </c>
      <c r="K815" s="10" t="e">
        <f t="array" aca="1" ref="K815" ca="1">_xludf.XLOOKUP(F815, analysis!A:A, analysis!J:J)</f>
        <v>#NAME?</v>
      </c>
      <c r="L815" s="10" t="e">
        <f t="shared" ca="1" si="44"/>
        <v>#NAME?</v>
      </c>
      <c r="M815" s="10" t="s">
        <v>1428</v>
      </c>
    </row>
    <row r="816" spans="4:17" ht="13.2">
      <c r="F816" s="10" t="s">
        <v>642</v>
      </c>
      <c r="G816" s="10">
        <v>2</v>
      </c>
      <c r="H816" s="10" t="s">
        <v>1416</v>
      </c>
      <c r="I816" s="10">
        <f>45*2</f>
        <v>90</v>
      </c>
      <c r="J816" s="43" t="e">
        <f t="array" aca="1" ref="J816" ca="1">_xludf.XLOOKUP(F816, analysis!A:A, analysis!I:I)</f>
        <v>#NAME?</v>
      </c>
      <c r="K816" s="10" t="e">
        <f t="array" aca="1" ref="K816" ca="1">_xludf.XLOOKUP(F816, analysis!A:A, analysis!J:J)</f>
        <v>#NAME?</v>
      </c>
      <c r="L816" s="10" t="e">
        <f t="shared" ca="1" si="44"/>
        <v>#NAME?</v>
      </c>
      <c r="M816" s="10" t="s">
        <v>1429</v>
      </c>
      <c r="N816" s="10">
        <f>((I817*1.96*160/0.63)+(6/60)*5773920)*(10^-6)*50</f>
        <v>39.944159999999997</v>
      </c>
    </row>
    <row r="817" spans="4:17" ht="13.2">
      <c r="F817" s="10" t="s">
        <v>733</v>
      </c>
      <c r="G817" s="10" t="s">
        <v>1496</v>
      </c>
      <c r="H817" s="10" t="s">
        <v>1422</v>
      </c>
      <c r="I817" s="10">
        <f>480*0.927</f>
        <v>444.96000000000004</v>
      </c>
      <c r="J817" s="43" t="e">
        <f t="array" aca="1" ref="J817" ca="1">_xludf.XLOOKUP(F817, analysis!A:A, analysis!I:I)</f>
        <v>#NAME?</v>
      </c>
      <c r="K817" s="10" t="e">
        <f t="array" aca="1" ref="K817" ca="1">_xludf.XLOOKUP(F817, analysis!A:A, analysis!J:J)</f>
        <v>#NAME?</v>
      </c>
      <c r="L817" s="10" t="e">
        <f t="shared" ca="1" si="44"/>
        <v>#NAME?</v>
      </c>
      <c r="M817" s="10" t="s">
        <v>1430</v>
      </c>
    </row>
    <row r="818" spans="4:17" ht="13.2">
      <c r="M818" s="10" t="s">
        <v>1432</v>
      </c>
    </row>
    <row r="819" spans="4:17" ht="13.2">
      <c r="M819" s="10" t="s">
        <v>1433</v>
      </c>
    </row>
    <row r="820" spans="4:17" ht="13.2">
      <c r="M820" s="10" t="s">
        <v>1434</v>
      </c>
    </row>
    <row r="821" spans="4:17" ht="13.2">
      <c r="M821" s="10" t="s">
        <v>1437</v>
      </c>
    </row>
    <row r="822" spans="4:17" ht="13.2">
      <c r="M822" s="10" t="s">
        <v>1474</v>
      </c>
    </row>
    <row r="823" spans="4:17" ht="13.2">
      <c r="M823" s="10" t="s">
        <v>1625</v>
      </c>
    </row>
    <row r="825" spans="4:17" ht="13.2">
      <c r="K825" s="20" t="s">
        <v>1441</v>
      </c>
      <c r="L825" s="37" t="e">
        <f ca="1">SUM(L811:L817)</f>
        <v>#NAME?</v>
      </c>
      <c r="M825" s="20" t="s">
        <v>1442</v>
      </c>
      <c r="N825" s="37">
        <f>SUM(N811:N823)</f>
        <v>39.944159999999997</v>
      </c>
    </row>
    <row r="827" spans="4:17" ht="13.2">
      <c r="F827" s="185" t="s">
        <v>1152</v>
      </c>
      <c r="G827" s="180"/>
      <c r="H827" s="180"/>
      <c r="I827" s="180"/>
      <c r="J827" s="180"/>
      <c r="K827" s="180"/>
      <c r="L827" s="180"/>
      <c r="M827" s="180"/>
      <c r="N827" s="180"/>
      <c r="O827" s="180"/>
    </row>
    <row r="828" spans="4:17" ht="13.2">
      <c r="F828" s="18" t="s">
        <v>1408</v>
      </c>
      <c r="G828" s="18" t="s">
        <v>543</v>
      </c>
      <c r="H828" s="10" t="s">
        <v>1409</v>
      </c>
      <c r="I828" s="10" t="s">
        <v>1410</v>
      </c>
      <c r="J828" s="10" t="s">
        <v>1411</v>
      </c>
      <c r="K828" s="10" t="s">
        <v>1412</v>
      </c>
      <c r="L828" s="10" t="s">
        <v>1413</v>
      </c>
      <c r="M828" s="179" t="s">
        <v>1468</v>
      </c>
      <c r="N828" s="180"/>
      <c r="O828" s="10" t="s">
        <v>1415</v>
      </c>
    </row>
    <row r="829" spans="4:17" ht="13.2">
      <c r="D829" s="18"/>
      <c r="E829" s="18"/>
      <c r="F829" s="18" t="s">
        <v>652</v>
      </c>
      <c r="G829" s="18" t="s">
        <v>1572</v>
      </c>
      <c r="H829" s="10" t="s">
        <v>1444</v>
      </c>
      <c r="I829" s="10">
        <v>28</v>
      </c>
      <c r="J829" s="43" t="e">
        <f t="array" aca="1" ref="J829" ca="1">_xludf.XLOOKUP(F829, analysis!A:A, analysis!I:I)</f>
        <v>#NAME?</v>
      </c>
      <c r="K829" s="10" t="e">
        <f t="array" aca="1" ref="K829" ca="1">_xludf.XLOOKUP(F829, analysis!A:A, analysis!J:J)</f>
        <v>#NAME?</v>
      </c>
      <c r="L829" s="10" t="e">
        <f t="shared" ref="L829:L848" ca="1" si="45">K829*I829*J829/1000</f>
        <v>#NAME?</v>
      </c>
      <c r="M829" s="10" t="s">
        <v>1417</v>
      </c>
      <c r="P829" s="10" t="str">
        <f ca="1">IFERROR(__xludf.DUMMYFUNCTION("transpose(split(F829,CHAR(10)))"),"butter")</f>
        <v>butter</v>
      </c>
      <c r="Q829" s="10" t="str">
        <f ca="1">IFERROR(__xludf.DUMMYFUNCTION("transpose(split(G829,CHAR(10)))"),"28g")</f>
        <v>28g</v>
      </c>
    </row>
    <row r="830" spans="4:17" ht="13.2">
      <c r="F830" s="10" t="s">
        <v>651</v>
      </c>
      <c r="G830" s="10">
        <v>1</v>
      </c>
      <c r="H830" s="10" t="s">
        <v>1416</v>
      </c>
      <c r="I830" s="10">
        <v>70</v>
      </c>
      <c r="J830" s="43" t="e">
        <f t="array" aca="1" ref="J830" ca="1">_xludf.XLOOKUP(F830, analysis!A:A, analysis!I:I)</f>
        <v>#NAME?</v>
      </c>
      <c r="K830" s="10" t="e">
        <f t="array" aca="1" ref="K830" ca="1">_xludf.XLOOKUP(F830, analysis!A:A, analysis!J:J)</f>
        <v>#NAME?</v>
      </c>
      <c r="L830" s="10" t="e">
        <f t="shared" ca="1" si="45"/>
        <v>#NAME?</v>
      </c>
      <c r="M830" s="10" t="s">
        <v>1420</v>
      </c>
    </row>
    <row r="831" spans="4:17" ht="13.2">
      <c r="F831" s="10" t="s">
        <v>1463</v>
      </c>
      <c r="G831" s="10" t="s">
        <v>1610</v>
      </c>
      <c r="H831" s="10" t="s">
        <v>1444</v>
      </c>
      <c r="I831" s="10">
        <v>16</v>
      </c>
      <c r="J831" s="43" t="e">
        <f t="array" aca="1" ref="J831" ca="1">_xludf.XLOOKUP(F831, analysis!A:A, analysis!I:I)</f>
        <v>#NAME?</v>
      </c>
      <c r="K831" s="10" t="e">
        <f t="array" aca="1" ref="K831" ca="1">_xludf.XLOOKUP(F831, analysis!A:A, analysis!J:J)</f>
        <v>#NAME?</v>
      </c>
      <c r="L831" s="10" t="e">
        <f t="shared" ca="1" si="45"/>
        <v>#NAME?</v>
      </c>
      <c r="M831" s="10" t="s">
        <v>1423</v>
      </c>
    </row>
    <row r="832" spans="4:17" ht="13.2">
      <c r="F832" s="10" t="s">
        <v>640</v>
      </c>
      <c r="G832" s="10" t="s">
        <v>1496</v>
      </c>
      <c r="H832" s="10" t="s">
        <v>1422</v>
      </c>
      <c r="I832" s="10">
        <f>480*1.04</f>
        <v>499.20000000000005</v>
      </c>
      <c r="J832" s="43" t="e">
        <f t="array" aca="1" ref="J832" ca="1">_xludf.XLOOKUP(F832, analysis!A:A, analysis!I:I)</f>
        <v>#NAME?</v>
      </c>
      <c r="K832" s="10" t="e">
        <f t="array" aca="1" ref="K832" ca="1">_xludf.XLOOKUP(F832, analysis!A:A, analysis!J:J)</f>
        <v>#NAME?</v>
      </c>
      <c r="L832" s="10" t="e">
        <f t="shared" ca="1" si="45"/>
        <v>#NAME?</v>
      </c>
      <c r="M832" s="10" t="s">
        <v>1425</v>
      </c>
    </row>
    <row r="833" spans="6:14" ht="13.2">
      <c r="F833" s="10" t="s">
        <v>1467</v>
      </c>
      <c r="G833" s="10" t="s">
        <v>1492</v>
      </c>
      <c r="H833" s="10" t="s">
        <v>1422</v>
      </c>
      <c r="I833" s="10">
        <f>0.994*240</f>
        <v>238.56</v>
      </c>
      <c r="J833" s="43" t="e">
        <f t="array" aca="1" ref="J833" ca="1">_xludf.XLOOKUP(F833, analysis!A:A, analysis!I:I)</f>
        <v>#NAME?</v>
      </c>
      <c r="K833" s="10" t="e">
        <f t="array" aca="1" ref="K833" ca="1">_xludf.XLOOKUP(F833, analysis!A:A, analysis!J:J)</f>
        <v>#NAME?</v>
      </c>
      <c r="L833" s="10" t="e">
        <f t="shared" ca="1" si="45"/>
        <v>#NAME?</v>
      </c>
      <c r="M833" s="10" t="s">
        <v>1428</v>
      </c>
    </row>
    <row r="834" spans="6:14" ht="13.2">
      <c r="F834" s="10" t="s">
        <v>646</v>
      </c>
      <c r="G834" s="10" t="s">
        <v>1439</v>
      </c>
      <c r="H834" s="10">
        <v>0</v>
      </c>
      <c r="I834" s="10">
        <v>0</v>
      </c>
      <c r="J834" s="43" t="e">
        <f t="array" aca="1" ref="J834" ca="1">_xludf.XLOOKUP(F834, analysis!A:A, analysis!I:I)</f>
        <v>#NAME?</v>
      </c>
      <c r="K834" s="10" t="e">
        <f t="array" aca="1" ref="K834" ca="1">_xludf.XLOOKUP(F834, analysis!A:A, analysis!J:J)</f>
        <v>#NAME?</v>
      </c>
      <c r="L834" s="10" t="e">
        <f t="shared" ca="1" si="45"/>
        <v>#NAME?</v>
      </c>
      <c r="M834" s="10" t="s">
        <v>1429</v>
      </c>
    </row>
    <row r="835" spans="6:14" ht="13.2">
      <c r="F835" s="10" t="s">
        <v>1440</v>
      </c>
      <c r="G835" s="10" t="s">
        <v>1439</v>
      </c>
      <c r="H835" s="10">
        <v>0</v>
      </c>
      <c r="I835" s="10">
        <v>0</v>
      </c>
      <c r="J835" s="43" t="e">
        <f t="array" aca="1" ref="J835" ca="1">_xludf.XLOOKUP(F835, analysis!A:A, analysis!I:I)</f>
        <v>#NAME?</v>
      </c>
      <c r="K835" s="10" t="e">
        <f t="array" aca="1" ref="K835" ca="1">_xludf.XLOOKUP(F835, analysis!A:A, analysis!J:J)</f>
        <v>#NAME?</v>
      </c>
      <c r="L835" s="10" t="e">
        <f t="shared" ca="1" si="45"/>
        <v>#NAME?</v>
      </c>
      <c r="M835" s="10" t="s">
        <v>1430</v>
      </c>
      <c r="N835" s="10">
        <f>(((I829*60+I829*2.65*130)/0.63)+(3/60)*5773920+(4/60)*5773920)*10^-6*50+(((I842*1.97*160)/0.63)+(5/60)*5773920)*10^-6*50+(((I844*1.97*160)/0.63)+(5/60)*5773920)*10^-6*50</f>
        <v>83.840940317460309</v>
      </c>
    </row>
    <row r="836" spans="6:14" ht="13.2">
      <c r="F836" s="10" t="s">
        <v>1661</v>
      </c>
      <c r="G836" s="10" t="s">
        <v>1497</v>
      </c>
      <c r="H836" s="10" t="s">
        <v>1444</v>
      </c>
      <c r="I836" s="10">
        <v>907</v>
      </c>
      <c r="J836" s="43" t="e">
        <f t="array" aca="1" ref="J836" ca="1">_xludf.XLOOKUP(F836, analysis!A:A, analysis!I:I)</f>
        <v>#NAME?</v>
      </c>
      <c r="K836" s="10" t="e">
        <f t="array" aca="1" ref="K836" ca="1">_xludf.XLOOKUP(F836, analysis!A:A, analysis!J:J)</f>
        <v>#NAME?</v>
      </c>
      <c r="L836" s="10" t="e">
        <f t="shared" ca="1" si="45"/>
        <v>#NAME?</v>
      </c>
      <c r="M836" s="10" t="s">
        <v>1432</v>
      </c>
      <c r="N836" s="10">
        <f>((1.012*1.2923*10^-3*70000*240/0.63)/0.13+(37.5/60)*5773920)*(10^-6)*50</f>
        <v>193.84841128205127</v>
      </c>
    </row>
    <row r="837" spans="6:14" ht="13.2">
      <c r="F837" s="10" t="s">
        <v>1495</v>
      </c>
      <c r="G837" s="10">
        <v>1</v>
      </c>
      <c r="H837" s="10" t="s">
        <v>1416</v>
      </c>
      <c r="I837" s="10">
        <v>84</v>
      </c>
      <c r="J837" s="43" t="e">
        <f t="array" aca="1" ref="J837" ca="1">_xludf.XLOOKUP(F837, analysis!A:A, analysis!I:I)</f>
        <v>#NAME?</v>
      </c>
      <c r="K837" s="10" t="e">
        <f t="array" aca="1" ref="K837" ca="1">_xludf.XLOOKUP(F837, analysis!A:A, analysis!J:J)</f>
        <v>#NAME?</v>
      </c>
      <c r="L837" s="10" t="e">
        <f t="shared" ca="1" si="45"/>
        <v>#NAME?</v>
      </c>
      <c r="M837" s="10" t="s">
        <v>1433</v>
      </c>
    </row>
    <row r="838" spans="6:14" ht="13.2">
      <c r="F838" s="10" t="s">
        <v>737</v>
      </c>
      <c r="G838" s="10">
        <v>3</v>
      </c>
      <c r="H838" s="10" t="s">
        <v>1416</v>
      </c>
      <c r="I838" s="10">
        <f>3*4.4</f>
        <v>13.200000000000001</v>
      </c>
      <c r="J838" s="43" t="e">
        <f t="array" aca="1" ref="J838" ca="1">_xludf.XLOOKUP(F838, analysis!A:A, analysis!I:I)</f>
        <v>#NAME?</v>
      </c>
      <c r="K838" s="10" t="e">
        <f t="array" aca="1" ref="K838" ca="1">_xludf.XLOOKUP(F838, analysis!A:A, analysis!J:J)</f>
        <v>#NAME?</v>
      </c>
      <c r="L838" s="10" t="e">
        <f t="shared" ca="1" si="45"/>
        <v>#NAME?</v>
      </c>
      <c r="M838" s="10" t="s">
        <v>1434</v>
      </c>
    </row>
    <row r="839" spans="6:14" ht="13.2">
      <c r="F839" s="10" t="s">
        <v>646</v>
      </c>
      <c r="G839" s="10" t="s">
        <v>1439</v>
      </c>
      <c r="H839" s="10">
        <v>0</v>
      </c>
      <c r="I839" s="10">
        <v>0</v>
      </c>
      <c r="J839" s="43" t="e">
        <f t="array" aca="1" ref="J839" ca="1">_xludf.XLOOKUP(F839, analysis!A:A, analysis!I:I)</f>
        <v>#NAME?</v>
      </c>
      <c r="K839" s="10" t="e">
        <f t="array" aca="1" ref="K839" ca="1">_xludf.XLOOKUP(F839, analysis!A:A, analysis!J:J)</f>
        <v>#NAME?</v>
      </c>
      <c r="L839" s="10" t="e">
        <f t="shared" ca="1" si="45"/>
        <v>#NAME?</v>
      </c>
      <c r="M839" s="10" t="s">
        <v>1437</v>
      </c>
    </row>
    <row r="840" spans="6:14" ht="13.2">
      <c r="F840" s="10" t="s">
        <v>1440</v>
      </c>
      <c r="G840" s="10" t="s">
        <v>1439</v>
      </c>
      <c r="H840" s="10">
        <v>0</v>
      </c>
      <c r="I840" s="10">
        <v>0</v>
      </c>
      <c r="J840" s="43" t="e">
        <f t="array" aca="1" ref="J840" ca="1">_xludf.XLOOKUP(F840, analysis!A:A, analysis!I:I)</f>
        <v>#NAME?</v>
      </c>
      <c r="K840" s="10" t="e">
        <f t="array" aca="1" ref="K840" ca="1">_xludf.XLOOKUP(F840, analysis!A:A, analysis!J:J)</f>
        <v>#NAME?</v>
      </c>
      <c r="L840" s="10" t="e">
        <f t="shared" ca="1" si="45"/>
        <v>#NAME?</v>
      </c>
      <c r="M840" s="10" t="s">
        <v>1474</v>
      </c>
    </row>
    <row r="841" spans="6:14" ht="13.2">
      <c r="F841" s="10" t="s">
        <v>1463</v>
      </c>
      <c r="G841" s="10" t="s">
        <v>1481</v>
      </c>
      <c r="H841" s="10" t="s">
        <v>1444</v>
      </c>
      <c r="I841" s="10">
        <v>125</v>
      </c>
      <c r="J841" s="43" t="e">
        <f t="array" aca="1" ref="J841" ca="1">_xludf.XLOOKUP(F841, analysis!A:A, analysis!I:I)</f>
        <v>#NAME?</v>
      </c>
      <c r="K841" s="10" t="e">
        <f t="array" aca="1" ref="K841" ca="1">_xludf.XLOOKUP(F841, analysis!A:A, analysis!J:J)</f>
        <v>#NAME?</v>
      </c>
      <c r="L841" s="10" t="e">
        <f t="shared" ca="1" si="45"/>
        <v>#NAME?</v>
      </c>
      <c r="M841" s="10" t="s">
        <v>1625</v>
      </c>
    </row>
    <row r="842" spans="6:14" ht="13.2">
      <c r="F842" s="10" t="s">
        <v>1421</v>
      </c>
      <c r="G842" s="10" t="s">
        <v>734</v>
      </c>
      <c r="H842" s="10" t="s">
        <v>1422</v>
      </c>
      <c r="I842" s="10">
        <f>0.914*45</f>
        <v>41.13</v>
      </c>
      <c r="J842" s="43" t="e">
        <f t="array" aca="1" ref="J842" ca="1">_xludf.XLOOKUP(F842, analysis!A:A, analysis!I:I)</f>
        <v>#NAME?</v>
      </c>
      <c r="K842" s="10" t="e">
        <f t="array" aca="1" ref="K842" ca="1">_xludf.XLOOKUP(F842, analysis!A:A, analysis!J:J)</f>
        <v>#NAME?</v>
      </c>
      <c r="L842" s="10" t="e">
        <f t="shared" ca="1" si="45"/>
        <v>#NAME?</v>
      </c>
    </row>
    <row r="843" spans="6:14" ht="13.2">
      <c r="F843" s="10" t="s">
        <v>652</v>
      </c>
      <c r="G843" s="10" t="s">
        <v>1572</v>
      </c>
      <c r="H843" s="10" t="s">
        <v>1444</v>
      </c>
      <c r="I843" s="10">
        <v>28</v>
      </c>
      <c r="J843" s="43" t="e">
        <f t="array" aca="1" ref="J843" ca="1">_xludf.XLOOKUP(F843, analysis!A:A, analysis!I:I)</f>
        <v>#NAME?</v>
      </c>
      <c r="K843" s="10" t="e">
        <f t="array" aca="1" ref="K843" ca="1">_xludf.XLOOKUP(F843, analysis!A:A, analysis!J:J)</f>
        <v>#NAME?</v>
      </c>
      <c r="L843" s="10" t="e">
        <f t="shared" ca="1" si="45"/>
        <v>#NAME?</v>
      </c>
    </row>
    <row r="844" spans="6:14" ht="13.2">
      <c r="F844" s="10" t="s">
        <v>1421</v>
      </c>
      <c r="G844" s="10" t="s">
        <v>1509</v>
      </c>
      <c r="H844" s="10" t="s">
        <v>1489</v>
      </c>
      <c r="I844" s="10">
        <f>5*0.927</f>
        <v>4.6349999999999998</v>
      </c>
      <c r="J844" s="43" t="e">
        <f t="array" aca="1" ref="J844" ca="1">_xludf.XLOOKUP(F844, analysis!A:A, analysis!I:I)</f>
        <v>#NAME?</v>
      </c>
      <c r="K844" s="10" t="e">
        <f t="array" aca="1" ref="K844" ca="1">_xludf.XLOOKUP(F844, analysis!A:A, analysis!J:J)</f>
        <v>#NAME?</v>
      </c>
      <c r="L844" s="10" t="e">
        <f t="shared" ca="1" si="45"/>
        <v>#NAME?</v>
      </c>
    </row>
    <row r="845" spans="6:14" ht="13.2">
      <c r="F845" s="10" t="s">
        <v>652</v>
      </c>
      <c r="G845" s="10" t="s">
        <v>1572</v>
      </c>
      <c r="H845" s="10" t="s">
        <v>1444</v>
      </c>
      <c r="I845" s="10">
        <v>28</v>
      </c>
      <c r="J845" s="43" t="e">
        <f t="array" aca="1" ref="J845" ca="1">_xludf.XLOOKUP(F845, analysis!A:A, analysis!I:I)</f>
        <v>#NAME?</v>
      </c>
      <c r="K845" s="10" t="e">
        <f t="array" aca="1" ref="K845" ca="1">_xludf.XLOOKUP(F845, analysis!A:A, analysis!J:J)</f>
        <v>#NAME?</v>
      </c>
      <c r="L845" s="10" t="e">
        <f t="shared" ca="1" si="45"/>
        <v>#NAME?</v>
      </c>
    </row>
    <row r="846" spans="6:14" ht="13.2">
      <c r="F846" s="10" t="s">
        <v>581</v>
      </c>
      <c r="G846" s="10">
        <v>2</v>
      </c>
      <c r="H846" s="10" t="s">
        <v>1416</v>
      </c>
      <c r="I846" s="10">
        <v>75</v>
      </c>
      <c r="J846" s="43" t="e">
        <f t="array" aca="1" ref="J846" ca="1">_xludf.XLOOKUP(F846, analysis!A:A, analysis!I:I)</f>
        <v>#NAME?</v>
      </c>
      <c r="K846" s="10" t="e">
        <f t="array" aca="1" ref="K846" ca="1">_xludf.XLOOKUP(F846, analysis!A:A, analysis!J:J)</f>
        <v>#NAME?</v>
      </c>
      <c r="L846" s="10" t="e">
        <f t="shared" ca="1" si="45"/>
        <v>#NAME?</v>
      </c>
    </row>
    <row r="847" spans="6:14" ht="13.2">
      <c r="F847" s="10" t="s">
        <v>1483</v>
      </c>
      <c r="G847" s="10" t="s">
        <v>1662</v>
      </c>
      <c r="H847" s="10" t="s">
        <v>1444</v>
      </c>
      <c r="I847" s="10">
        <v>112</v>
      </c>
      <c r="J847" s="43" t="e">
        <f t="array" aca="1" ref="J847" ca="1">_xludf.XLOOKUP(F847, analysis!A:A, analysis!I:I)</f>
        <v>#NAME?</v>
      </c>
      <c r="K847" s="10" t="e">
        <f t="array" aca="1" ref="K847" ca="1">_xludf.XLOOKUP(F847, analysis!A:A, analysis!J:J)</f>
        <v>#NAME?</v>
      </c>
      <c r="L847" s="10" t="e">
        <f t="shared" ca="1" si="45"/>
        <v>#NAME?</v>
      </c>
    </row>
    <row r="848" spans="6:14" ht="13.2">
      <c r="F848" s="10" t="s">
        <v>1485</v>
      </c>
      <c r="G848" s="10" t="s">
        <v>1549</v>
      </c>
      <c r="H848" s="10" t="s">
        <v>1444</v>
      </c>
      <c r="I848" s="10">
        <v>50</v>
      </c>
      <c r="J848" s="43" t="e">
        <f t="array" aca="1" ref="J848" ca="1">_xludf.XLOOKUP(F848, analysis!A:A, analysis!I:I)</f>
        <v>#NAME?</v>
      </c>
      <c r="K848" s="10" t="e">
        <f t="array" aca="1" ref="K848" ca="1">_xludf.XLOOKUP(F848, analysis!A:A, analysis!J:J)</f>
        <v>#NAME?</v>
      </c>
      <c r="L848" s="10" t="e">
        <f t="shared" ca="1" si="45"/>
        <v>#NAME?</v>
      </c>
    </row>
    <row r="850" spans="4:17" ht="13.2">
      <c r="K850" s="20" t="s">
        <v>1441</v>
      </c>
      <c r="L850" s="37" t="e">
        <f ca="1">SUM(L829:L848)</f>
        <v>#NAME?</v>
      </c>
      <c r="M850" s="20" t="s">
        <v>1442</v>
      </c>
      <c r="N850" s="37">
        <f>SUM(N829:N841)</f>
        <v>277.68935159951161</v>
      </c>
    </row>
    <row r="852" spans="4:17" ht="13.2">
      <c r="F852" s="185" t="s">
        <v>1155</v>
      </c>
      <c r="G852" s="180"/>
      <c r="H852" s="180"/>
      <c r="I852" s="180"/>
      <c r="J852" s="180"/>
      <c r="K852" s="180"/>
      <c r="L852" s="180"/>
      <c r="M852" s="180"/>
      <c r="N852" s="180"/>
      <c r="O852" s="180"/>
    </row>
    <row r="853" spans="4:17" ht="13.2">
      <c r="F853" s="18" t="s">
        <v>1408</v>
      </c>
      <c r="G853" s="18" t="s">
        <v>543</v>
      </c>
      <c r="H853" s="10" t="s">
        <v>1409</v>
      </c>
      <c r="I853" s="10" t="s">
        <v>1410</v>
      </c>
      <c r="J853" s="10" t="s">
        <v>1411</v>
      </c>
      <c r="K853" s="10" t="s">
        <v>1412</v>
      </c>
      <c r="L853" s="10" t="s">
        <v>1413</v>
      </c>
      <c r="M853" s="179" t="s">
        <v>1468</v>
      </c>
      <c r="N853" s="180"/>
      <c r="O853" s="10" t="s">
        <v>1415</v>
      </c>
    </row>
    <row r="854" spans="4:17" ht="13.2">
      <c r="D854" s="18"/>
      <c r="E854" s="18"/>
      <c r="F854" s="18" t="s">
        <v>709</v>
      </c>
      <c r="G854" s="18" t="s">
        <v>1479</v>
      </c>
      <c r="H854" s="10" t="s">
        <v>1444</v>
      </c>
      <c r="I854" s="10">
        <v>454</v>
      </c>
      <c r="J854" s="43" t="e">
        <f t="array" aca="1" ref="J854" ca="1">_xludf.XLOOKUP(F854, analysis!A:A, analysis!I:I)</f>
        <v>#NAME?</v>
      </c>
      <c r="K854" s="10" t="e">
        <f t="array" aca="1" ref="K854" ca="1">_xludf.XLOOKUP(F854, analysis!A:A, analysis!J:J)</f>
        <v>#NAME?</v>
      </c>
      <c r="L854" s="10" t="e">
        <f t="shared" ref="L854:L860" ca="1" si="46">K854*I854*J854/1000</f>
        <v>#NAME?</v>
      </c>
      <c r="M854" s="10" t="s">
        <v>1417</v>
      </c>
      <c r="P854" s="10" t="str">
        <f ca="1">IFERROR(__xludf.DUMMYFUNCTION("transpose(split(F854,CHAR(10)))"),"shrimp")</f>
        <v>shrimp</v>
      </c>
      <c r="Q854" s="10" t="str">
        <f ca="1">IFERROR(__xludf.DUMMYFUNCTION("transpose(split(G854,CHAR(10)))"),"454g")</f>
        <v>454g</v>
      </c>
    </row>
    <row r="855" spans="4:17" ht="13.2">
      <c r="F855" s="10" t="s">
        <v>646</v>
      </c>
      <c r="G855" s="10" t="s">
        <v>1439</v>
      </c>
      <c r="H855" s="10">
        <v>0</v>
      </c>
      <c r="I855" s="10">
        <v>0</v>
      </c>
      <c r="J855" s="43" t="e">
        <f t="array" aca="1" ref="J855" ca="1">_xludf.XLOOKUP(F855, analysis!A:A, analysis!I:I)</f>
        <v>#NAME?</v>
      </c>
      <c r="K855" s="10" t="e">
        <f t="array" aca="1" ref="K855" ca="1">_xludf.XLOOKUP(F855, analysis!A:A, analysis!J:J)</f>
        <v>#NAME?</v>
      </c>
      <c r="L855" s="10" t="e">
        <f t="shared" ca="1" si="46"/>
        <v>#NAME?</v>
      </c>
      <c r="M855" s="10" t="s">
        <v>1420</v>
      </c>
    </row>
    <row r="856" spans="4:17" ht="13.2">
      <c r="F856" s="10" t="s">
        <v>1440</v>
      </c>
      <c r="G856" s="10" t="s">
        <v>1439</v>
      </c>
      <c r="H856" s="10">
        <v>0</v>
      </c>
      <c r="I856" s="10">
        <v>0</v>
      </c>
      <c r="J856" s="43" t="e">
        <f t="array" aca="1" ref="J856" ca="1">_xludf.XLOOKUP(F856, analysis!A:A, analysis!I:I)</f>
        <v>#NAME?</v>
      </c>
      <c r="K856" s="10" t="e">
        <f t="array" aca="1" ref="K856" ca="1">_xludf.XLOOKUP(F856, analysis!A:A, analysis!J:J)</f>
        <v>#NAME?</v>
      </c>
      <c r="L856" s="10" t="e">
        <f t="shared" ca="1" si="46"/>
        <v>#NAME?</v>
      </c>
      <c r="M856" s="10" t="s">
        <v>1423</v>
      </c>
    </row>
    <row r="857" spans="4:17" ht="13.2">
      <c r="F857" s="10" t="s">
        <v>1421</v>
      </c>
      <c r="G857" s="10" t="s">
        <v>734</v>
      </c>
      <c r="H857" s="10" t="s">
        <v>1422</v>
      </c>
      <c r="I857" s="10">
        <f>0.914*45</f>
        <v>41.13</v>
      </c>
      <c r="J857" s="43" t="e">
        <f t="array" aca="1" ref="J857" ca="1">_xludf.XLOOKUP(F857, analysis!A:A, analysis!I:I)</f>
        <v>#NAME?</v>
      </c>
      <c r="K857" s="10" t="e">
        <f t="array" aca="1" ref="K857" ca="1">_xludf.XLOOKUP(F857, analysis!A:A, analysis!J:J)</f>
        <v>#NAME?</v>
      </c>
      <c r="L857" s="10" t="e">
        <f t="shared" ca="1" si="46"/>
        <v>#NAME?</v>
      </c>
      <c r="M857" s="10" t="s">
        <v>1425</v>
      </c>
    </row>
    <row r="858" spans="4:17" ht="13.2">
      <c r="F858" s="10" t="s">
        <v>737</v>
      </c>
      <c r="G858" s="10">
        <v>5</v>
      </c>
      <c r="H858" s="10" t="s">
        <v>1416</v>
      </c>
      <c r="I858" s="10">
        <f>4.4*5</f>
        <v>22</v>
      </c>
      <c r="J858" s="43" t="e">
        <f t="array" aca="1" ref="J858" ca="1">_xludf.XLOOKUP(F858, analysis!A:A, analysis!I:I)</f>
        <v>#NAME?</v>
      </c>
      <c r="K858" s="10" t="e">
        <f t="array" aca="1" ref="K858" ca="1">_xludf.XLOOKUP(F858, analysis!A:A, analysis!J:J)</f>
        <v>#NAME?</v>
      </c>
      <c r="L858" s="10" t="e">
        <f t="shared" ca="1" si="46"/>
        <v>#NAME?</v>
      </c>
      <c r="M858" s="10" t="s">
        <v>1428</v>
      </c>
    </row>
    <row r="859" spans="4:17" ht="13.2">
      <c r="F859" s="10" t="s">
        <v>1495</v>
      </c>
      <c r="G859" s="17">
        <v>46024</v>
      </c>
      <c r="H859" s="10" t="s">
        <v>1416</v>
      </c>
      <c r="I859" s="10">
        <f>84*0.5</f>
        <v>42</v>
      </c>
      <c r="J859" s="43" t="e">
        <f t="array" aca="1" ref="J859" ca="1">_xludf.XLOOKUP(F859, analysis!A:A, analysis!I:I)</f>
        <v>#NAME?</v>
      </c>
      <c r="K859" s="10" t="e">
        <f t="array" aca="1" ref="K859" ca="1">_xludf.XLOOKUP(F859, analysis!A:A, analysis!J:J)</f>
        <v>#NAME?</v>
      </c>
      <c r="L859" s="10" t="e">
        <f t="shared" ca="1" si="46"/>
        <v>#NAME?</v>
      </c>
      <c r="M859" s="10" t="s">
        <v>1429</v>
      </c>
    </row>
    <row r="860" spans="4:17" ht="13.2">
      <c r="F860" s="10" t="s">
        <v>1449</v>
      </c>
      <c r="G860" s="10" t="s">
        <v>1510</v>
      </c>
      <c r="H860" s="10" t="s">
        <v>1444</v>
      </c>
      <c r="I860" s="10">
        <v>15</v>
      </c>
      <c r="J860" s="43" t="e">
        <f t="array" aca="1" ref="J860" ca="1">_xludf.XLOOKUP(F860, analysis!A:A, analysis!I:I)</f>
        <v>#NAME?</v>
      </c>
      <c r="K860" s="10" t="e">
        <f t="array" aca="1" ref="K860" ca="1">_xludf.XLOOKUP(F860, analysis!A:A, analysis!J:J)</f>
        <v>#NAME?</v>
      </c>
      <c r="L860" s="10" t="e">
        <f t="shared" ca="1" si="46"/>
        <v>#NAME?</v>
      </c>
      <c r="M860" s="10" t="s">
        <v>1430</v>
      </c>
      <c r="N860" s="10">
        <f>(((30*0.914*1.97*160)/0.63)+(5/60)*5773920)*10^-6*50+(((15*0.914*1.97*160)/0.63)+(1/60)*5773920)*10^-6*50</f>
        <v>29.898502857142859</v>
      </c>
    </row>
    <row r="861" spans="4:17" ht="13.2">
      <c r="M861" s="10" t="s">
        <v>1432</v>
      </c>
    </row>
    <row r="862" spans="4:17" ht="13.2">
      <c r="M862" s="10" t="s">
        <v>1433</v>
      </c>
    </row>
    <row r="863" spans="4:17" ht="13.2">
      <c r="M863" s="10" t="s">
        <v>1434</v>
      </c>
    </row>
    <row r="864" spans="4:17" ht="13.2">
      <c r="M864" s="10" t="s">
        <v>1437</v>
      </c>
    </row>
    <row r="865" spans="4:17" ht="13.2">
      <c r="M865" s="10" t="s">
        <v>1474</v>
      </c>
    </row>
    <row r="866" spans="4:17" ht="13.2">
      <c r="M866" s="10" t="s">
        <v>1625</v>
      </c>
    </row>
    <row r="868" spans="4:17" ht="13.2">
      <c r="K868" s="20" t="s">
        <v>1441</v>
      </c>
      <c r="L868" s="37" t="e">
        <f ca="1">SUM(L854:L860)</f>
        <v>#NAME?</v>
      </c>
      <c r="M868" s="20" t="s">
        <v>1442</v>
      </c>
      <c r="N868" s="37">
        <f>SUM(N854:N866)</f>
        <v>29.898502857142859</v>
      </c>
    </row>
    <row r="870" spans="4:17" ht="13.2">
      <c r="F870" s="184" t="s">
        <v>1159</v>
      </c>
      <c r="G870" s="180"/>
      <c r="H870" s="180"/>
      <c r="I870" s="180"/>
      <c r="J870" s="180"/>
      <c r="K870" s="180"/>
      <c r="L870" s="180"/>
      <c r="M870" s="180"/>
      <c r="N870" s="180"/>
      <c r="O870" s="180"/>
    </row>
    <row r="871" spans="4:17" ht="13.2">
      <c r="F871" s="10" t="s">
        <v>1408</v>
      </c>
      <c r="G871" s="10" t="s">
        <v>543</v>
      </c>
      <c r="H871" s="10" t="s">
        <v>1409</v>
      </c>
      <c r="I871" s="10" t="s">
        <v>1410</v>
      </c>
      <c r="J871" s="10" t="s">
        <v>1411</v>
      </c>
      <c r="K871" s="10" t="s">
        <v>1412</v>
      </c>
      <c r="L871" s="10" t="s">
        <v>1413</v>
      </c>
      <c r="M871" s="179" t="s">
        <v>1468</v>
      </c>
      <c r="N871" s="180"/>
      <c r="O871" s="10" t="s">
        <v>1415</v>
      </c>
    </row>
    <row r="872" spans="4:17" ht="13.2">
      <c r="D872" s="10"/>
      <c r="E872" s="10"/>
      <c r="F872" s="10" t="s">
        <v>709</v>
      </c>
      <c r="G872" s="10" t="s">
        <v>1497</v>
      </c>
      <c r="H872" s="10" t="s">
        <v>1444</v>
      </c>
      <c r="I872" s="10">
        <v>907</v>
      </c>
      <c r="J872" s="43" t="e">
        <f t="array" aca="1" ref="J872" ca="1">_xludf.XLOOKUP(F872, analysis!A:A, analysis!I:I)</f>
        <v>#NAME?</v>
      </c>
      <c r="K872" s="10" t="e">
        <f t="array" aca="1" ref="K872" ca="1">_xludf.XLOOKUP(F872, analysis!A:A, analysis!J:J)</f>
        <v>#NAME?</v>
      </c>
      <c r="L872" s="10" t="e">
        <f t="shared" ref="L872:L884" ca="1" si="47">K872*I872*J872/1000</f>
        <v>#NAME?</v>
      </c>
      <c r="M872" s="10" t="s">
        <v>1417</v>
      </c>
      <c r="P872" s="10" t="str">
        <f ca="1">IFERROR(__xludf.DUMMYFUNCTION("transpose(split(F872,CHAR(10)))"),"shrimp")</f>
        <v>shrimp</v>
      </c>
      <c r="Q872" s="10" t="str">
        <f ca="1">IFERROR(__xludf.DUMMYFUNCTION("transpose(split(G872,CHAR(10)))"),"907g")</f>
        <v>907g</v>
      </c>
    </row>
    <row r="873" spans="4:17" ht="13.2">
      <c r="F873" s="10" t="s">
        <v>646</v>
      </c>
      <c r="G873" s="10" t="s">
        <v>1439</v>
      </c>
      <c r="H873" s="10">
        <v>0</v>
      </c>
      <c r="I873" s="10">
        <v>0</v>
      </c>
      <c r="J873" s="43" t="e">
        <f t="array" aca="1" ref="J873" ca="1">_xludf.XLOOKUP(F873, analysis!A:A, analysis!I:I)</f>
        <v>#NAME?</v>
      </c>
      <c r="K873" s="10" t="e">
        <f t="array" aca="1" ref="K873" ca="1">_xludf.XLOOKUP(F873, analysis!A:A, analysis!J:J)</f>
        <v>#NAME?</v>
      </c>
      <c r="L873" s="10" t="e">
        <f t="shared" ca="1" si="47"/>
        <v>#NAME?</v>
      </c>
      <c r="M873" s="10" t="s">
        <v>1420</v>
      </c>
    </row>
    <row r="874" spans="4:17" ht="13.2">
      <c r="F874" s="10" t="s">
        <v>1440</v>
      </c>
      <c r="G874" s="10" t="s">
        <v>1439</v>
      </c>
      <c r="H874" s="10">
        <v>0</v>
      </c>
      <c r="I874" s="10">
        <v>0</v>
      </c>
      <c r="J874" s="43" t="e">
        <f t="array" aca="1" ref="J874" ca="1">_xludf.XLOOKUP(F874, analysis!A:A, analysis!I:I)</f>
        <v>#NAME?</v>
      </c>
      <c r="K874" s="10" t="e">
        <f t="array" aca="1" ref="K874" ca="1">_xludf.XLOOKUP(F874, analysis!A:A, analysis!J:J)</f>
        <v>#NAME?</v>
      </c>
      <c r="L874" s="10" t="e">
        <f t="shared" ca="1" si="47"/>
        <v>#NAME?</v>
      </c>
      <c r="M874" s="10" t="s">
        <v>1423</v>
      </c>
    </row>
    <row r="875" spans="4:17" ht="13.2">
      <c r="F875" s="10" t="s">
        <v>1421</v>
      </c>
      <c r="G875" s="10" t="s">
        <v>746</v>
      </c>
      <c r="H875" s="10" t="s">
        <v>1422</v>
      </c>
      <c r="I875" s="10">
        <f>0.927*15</f>
        <v>13.905000000000001</v>
      </c>
      <c r="J875" s="43" t="e">
        <f t="array" aca="1" ref="J875" ca="1">_xludf.XLOOKUP(F875, analysis!A:A, analysis!I:I)</f>
        <v>#NAME?</v>
      </c>
      <c r="K875" s="10" t="e">
        <f t="array" aca="1" ref="K875" ca="1">_xludf.XLOOKUP(F875, analysis!A:A, analysis!J:J)</f>
        <v>#NAME?</v>
      </c>
      <c r="L875" s="10" t="e">
        <f t="shared" ca="1" si="47"/>
        <v>#NAME?</v>
      </c>
      <c r="M875" s="10" t="s">
        <v>1425</v>
      </c>
    </row>
    <row r="876" spans="4:17" ht="13.2">
      <c r="F876" s="10" t="s">
        <v>652</v>
      </c>
      <c r="G876" s="10" t="s">
        <v>1572</v>
      </c>
      <c r="H876" s="10" t="s">
        <v>1444</v>
      </c>
      <c r="I876" s="10">
        <v>28</v>
      </c>
      <c r="J876" s="43" t="e">
        <f t="array" aca="1" ref="J876" ca="1">_xludf.XLOOKUP(F876, analysis!A:A, analysis!I:I)</f>
        <v>#NAME?</v>
      </c>
      <c r="K876" s="10" t="e">
        <f t="array" aca="1" ref="K876" ca="1">_xludf.XLOOKUP(F876, analysis!A:A, analysis!J:J)</f>
        <v>#NAME?</v>
      </c>
      <c r="L876" s="10" t="e">
        <f t="shared" ca="1" si="47"/>
        <v>#NAME?</v>
      </c>
      <c r="M876" s="10" t="s">
        <v>1428</v>
      </c>
    </row>
    <row r="877" spans="4:17" ht="13.2">
      <c r="F877" s="10" t="s">
        <v>651</v>
      </c>
      <c r="G877" s="10">
        <v>1</v>
      </c>
      <c r="H877" s="10" t="s">
        <v>1416</v>
      </c>
      <c r="I877" s="10">
        <v>70</v>
      </c>
      <c r="J877" s="43" t="e">
        <f t="array" aca="1" ref="J877" ca="1">_xludf.XLOOKUP(F877, analysis!A:A, analysis!I:I)</f>
        <v>#NAME?</v>
      </c>
      <c r="K877" s="10" t="e">
        <f t="array" aca="1" ref="K877" ca="1">_xludf.XLOOKUP(F877, analysis!A:A, analysis!J:J)</f>
        <v>#NAME?</v>
      </c>
      <c r="L877" s="10" t="e">
        <f t="shared" ca="1" si="47"/>
        <v>#NAME?</v>
      </c>
      <c r="M877" s="10" t="s">
        <v>1429</v>
      </c>
    </row>
    <row r="878" spans="4:17" ht="13.2">
      <c r="F878" s="10" t="s">
        <v>737</v>
      </c>
      <c r="G878" s="10">
        <v>4</v>
      </c>
      <c r="H878" s="10" t="s">
        <v>1416</v>
      </c>
      <c r="I878" s="10">
        <f>4*4.4</f>
        <v>17.600000000000001</v>
      </c>
      <c r="J878" s="43" t="e">
        <f t="array" aca="1" ref="J878" ca="1">_xludf.XLOOKUP(F878, analysis!A:A, analysis!I:I)</f>
        <v>#NAME?</v>
      </c>
      <c r="K878" s="10" t="e">
        <f t="array" aca="1" ref="K878" ca="1">_xludf.XLOOKUP(F878, analysis!A:A, analysis!J:J)</f>
        <v>#NAME?</v>
      </c>
      <c r="L878" s="10" t="e">
        <f t="shared" ca="1" si="47"/>
        <v>#NAME?</v>
      </c>
      <c r="M878" s="10" t="s">
        <v>1430</v>
      </c>
      <c r="N878" s="10">
        <f>(((I875*1.97*160)/0.63)+(3/60)*5773920+(3/60)*5773920+(1/60)*5773920+(1.5/60)*5773920)*10^-6*50</f>
        <v>41.246445714285713</v>
      </c>
    </row>
    <row r="879" spans="4:17" ht="13.2">
      <c r="F879" s="10" t="s">
        <v>1463</v>
      </c>
      <c r="G879" s="10" t="s">
        <v>1610</v>
      </c>
      <c r="H879" s="10" t="s">
        <v>1444</v>
      </c>
      <c r="I879" s="10">
        <v>16</v>
      </c>
      <c r="J879" s="43" t="e">
        <f t="array" aca="1" ref="J879" ca="1">_xludf.XLOOKUP(F879, analysis!A:A, analysis!I:I)</f>
        <v>#NAME?</v>
      </c>
      <c r="K879" s="10" t="e">
        <f t="array" aca="1" ref="K879" ca="1">_xludf.XLOOKUP(F879, analysis!A:A, analysis!J:J)</f>
        <v>#NAME?</v>
      </c>
      <c r="L879" s="10" t="e">
        <f t="shared" ca="1" si="47"/>
        <v>#NAME?</v>
      </c>
      <c r="M879" s="10" t="s">
        <v>1432</v>
      </c>
      <c r="N879" s="10">
        <f>((1.012*1.2923*10^-3*70000*240/0.63)/0.13+(37.5/60)*5773920)*(10^-6)*50</f>
        <v>193.84841128205127</v>
      </c>
    </row>
    <row r="880" spans="4:17" ht="13.2">
      <c r="F880" s="10" t="s">
        <v>1471</v>
      </c>
      <c r="G880" s="10" t="s">
        <v>1610</v>
      </c>
      <c r="H880" s="10" t="s">
        <v>1444</v>
      </c>
      <c r="I880" s="10">
        <v>16</v>
      </c>
      <c r="J880" s="43" t="e">
        <f t="array" aca="1" ref="J880" ca="1">_xludf.XLOOKUP(F880, analysis!A:A, analysis!I:I)</f>
        <v>#NAME?</v>
      </c>
      <c r="K880" s="10" t="e">
        <f t="array" aca="1" ref="K880" ca="1">_xludf.XLOOKUP(F880, analysis!A:A, analysis!J:J)</f>
        <v>#NAME?</v>
      </c>
      <c r="L880" s="10" t="e">
        <f t="shared" ca="1" si="47"/>
        <v>#NAME?</v>
      </c>
      <c r="M880" s="10" t="s">
        <v>1433</v>
      </c>
    </row>
    <row r="881" spans="6:17" ht="13.2">
      <c r="F881" s="10" t="s">
        <v>640</v>
      </c>
      <c r="G881" s="10" t="s">
        <v>1492</v>
      </c>
      <c r="H881" s="10" t="s">
        <v>1422</v>
      </c>
      <c r="I881" s="10">
        <f>1.04*240</f>
        <v>249.60000000000002</v>
      </c>
      <c r="J881" s="43" t="e">
        <f t="array" aca="1" ref="J881" ca="1">_xludf.XLOOKUP(F881, analysis!A:A, analysis!I:I)</f>
        <v>#NAME?</v>
      </c>
      <c r="K881" s="10" t="e">
        <f t="array" aca="1" ref="K881" ca="1">_xludf.XLOOKUP(F881, analysis!A:A, analysis!J:J)</f>
        <v>#NAME?</v>
      </c>
      <c r="L881" s="10" t="e">
        <f t="shared" ca="1" si="47"/>
        <v>#NAME?</v>
      </c>
      <c r="M881" s="10" t="s">
        <v>1434</v>
      </c>
    </row>
    <row r="882" spans="6:17" ht="13.2">
      <c r="F882" s="10" t="s">
        <v>1535</v>
      </c>
      <c r="G882" s="10" t="s">
        <v>1479</v>
      </c>
      <c r="H882" s="10" t="s">
        <v>1444</v>
      </c>
      <c r="I882" s="10">
        <v>454</v>
      </c>
      <c r="J882" s="43" t="e">
        <f t="array" aca="1" ref="J882" ca="1">_xludf.XLOOKUP(F882, analysis!A:A, analysis!I:I)</f>
        <v>#NAME?</v>
      </c>
      <c r="K882" s="10" t="e">
        <f t="array" aca="1" ref="K882" ca="1">_xludf.XLOOKUP(F882, analysis!A:A, analysis!J:J)</f>
        <v>#NAME?</v>
      </c>
      <c r="L882" s="10" t="e">
        <f t="shared" ca="1" si="47"/>
        <v>#NAME?</v>
      </c>
      <c r="M882" s="10" t="s">
        <v>1437</v>
      </c>
    </row>
    <row r="883" spans="6:17" ht="13.2">
      <c r="F883" s="10" t="s">
        <v>1545</v>
      </c>
      <c r="G883" s="10" t="s">
        <v>1621</v>
      </c>
      <c r="H883" s="10" t="s">
        <v>1489</v>
      </c>
      <c r="I883" s="10">
        <f>0.47/2</f>
        <v>0.23499999999999999</v>
      </c>
      <c r="J883" s="43" t="e">
        <f t="array" aca="1" ref="J883" ca="1">_xludf.XLOOKUP(F883, analysis!A:A, analysis!I:I)</f>
        <v>#NAME?</v>
      </c>
      <c r="K883" s="10" t="e">
        <f t="array" aca="1" ref="K883" ca="1">_xludf.XLOOKUP(F883, analysis!A:A, analysis!J:J)</f>
        <v>#NAME?</v>
      </c>
      <c r="L883" s="10" t="e">
        <f t="shared" ca="1" si="47"/>
        <v>#NAME?</v>
      </c>
      <c r="M883" s="10" t="s">
        <v>1474</v>
      </c>
    </row>
    <row r="884" spans="6:17" ht="13.2">
      <c r="F884" s="10" t="s">
        <v>1483</v>
      </c>
      <c r="G884" s="10" t="s">
        <v>1486</v>
      </c>
      <c r="H884" s="10" t="s">
        <v>1444</v>
      </c>
      <c r="I884" s="10">
        <v>100</v>
      </c>
      <c r="J884" s="43" t="e">
        <f t="array" aca="1" ref="J884" ca="1">_xludf.XLOOKUP(F884, analysis!A:A, analysis!I:I)</f>
        <v>#NAME?</v>
      </c>
      <c r="K884" s="10" t="e">
        <f t="array" aca="1" ref="K884" ca="1">_xludf.XLOOKUP(F884, analysis!A:A, analysis!J:J)</f>
        <v>#NAME?</v>
      </c>
      <c r="L884" s="10" t="e">
        <f t="shared" ca="1" si="47"/>
        <v>#NAME?</v>
      </c>
      <c r="M884" s="10" t="s">
        <v>1625</v>
      </c>
    </row>
    <row r="886" spans="6:17" ht="13.2">
      <c r="K886" s="20" t="s">
        <v>1441</v>
      </c>
      <c r="L886" s="37" t="e">
        <f ca="1">SUM(L872:L884)</f>
        <v>#NAME?</v>
      </c>
      <c r="M886" s="20" t="s">
        <v>1442</v>
      </c>
      <c r="N886" s="37">
        <f>SUM(N872:N884)</f>
        <v>235.094856996337</v>
      </c>
    </row>
    <row r="887" spans="6:17" ht="13.2">
      <c r="F887" s="187" t="s">
        <v>740</v>
      </c>
      <c r="G887" s="180"/>
      <c r="H887" s="180"/>
      <c r="I887" s="180"/>
      <c r="J887" s="180"/>
      <c r="K887" s="180"/>
      <c r="L887" s="180"/>
      <c r="M887" s="180"/>
      <c r="N887" s="180"/>
      <c r="O887" s="180"/>
    </row>
    <row r="888" spans="6:17" ht="13.2">
      <c r="F888" s="10" t="s">
        <v>1408</v>
      </c>
      <c r="G888" s="10" t="s">
        <v>543</v>
      </c>
      <c r="H888" s="10" t="s">
        <v>1409</v>
      </c>
      <c r="I888" s="10" t="s">
        <v>1410</v>
      </c>
      <c r="J888" s="10" t="s">
        <v>1411</v>
      </c>
      <c r="K888" s="10" t="s">
        <v>1412</v>
      </c>
      <c r="L888" s="10" t="s">
        <v>1413</v>
      </c>
      <c r="M888" s="179" t="s">
        <v>1468</v>
      </c>
      <c r="N888" s="180"/>
      <c r="O888" s="10" t="s">
        <v>1415</v>
      </c>
    </row>
    <row r="889" spans="6:17" ht="13.2">
      <c r="F889" s="10" t="s">
        <v>1663</v>
      </c>
      <c r="G889" s="10" t="s">
        <v>1479</v>
      </c>
      <c r="H889" s="10" t="s">
        <v>1444</v>
      </c>
      <c r="I889" s="10">
        <v>454</v>
      </c>
      <c r="J889" s="43" t="e">
        <f t="array" aca="1" ref="J889" ca="1">_xludf.XLOOKUP(F889, analysis!A:A, analysis!I:I)</f>
        <v>#NAME?</v>
      </c>
      <c r="K889" s="10" t="e">
        <f t="array" aca="1" ref="K889" ca="1">_xludf.XLOOKUP(F889, analysis!A:A, analysis!J:J)</f>
        <v>#NAME?</v>
      </c>
      <c r="L889" s="10" t="e">
        <f t="shared" ref="L889:L902" ca="1" si="48">K889*I889*J889/1000</f>
        <v>#NAME?</v>
      </c>
      <c r="M889" s="10" t="s">
        <v>1417</v>
      </c>
      <c r="P889" s="10" t="str">
        <f ca="1">IFERROR(__xludf.DUMMYFUNCTION("transpose(split(F889,CHAR(10)))"),"salt cod")</f>
        <v>salt cod</v>
      </c>
      <c r="Q889" s="10" t="str">
        <f ca="1">IFERROR(__xludf.DUMMYFUNCTION("transpose(split(G889,CHAR(10)))"),"454g")</f>
        <v>454g</v>
      </c>
    </row>
    <row r="890" spans="6:17" ht="13.2">
      <c r="F890" s="10" t="s">
        <v>1421</v>
      </c>
      <c r="G890" s="10" t="s">
        <v>1596</v>
      </c>
      <c r="H890" s="10" t="s">
        <v>1422</v>
      </c>
      <c r="I890" s="10">
        <f>0.914*60</f>
        <v>54.84</v>
      </c>
      <c r="J890" s="43" t="e">
        <f t="array" aca="1" ref="J890" ca="1">_xludf.XLOOKUP(F890, analysis!A:A, analysis!I:I)</f>
        <v>#NAME?</v>
      </c>
      <c r="K890" s="10" t="e">
        <f t="array" aca="1" ref="K890" ca="1">_xludf.XLOOKUP(F890, analysis!A:A, analysis!J:J)</f>
        <v>#NAME?</v>
      </c>
      <c r="L890" s="10" t="e">
        <f t="shared" ca="1" si="48"/>
        <v>#NAME?</v>
      </c>
      <c r="M890" s="10" t="s">
        <v>1420</v>
      </c>
    </row>
    <row r="891" spans="6:17" ht="13.2">
      <c r="F891" s="10" t="s">
        <v>651</v>
      </c>
      <c r="G891" s="10">
        <v>1</v>
      </c>
      <c r="H891" s="10" t="s">
        <v>1416</v>
      </c>
      <c r="I891" s="10">
        <v>70</v>
      </c>
      <c r="J891" s="43" t="e">
        <f t="array" aca="1" ref="J891" ca="1">_xludf.XLOOKUP(F891, analysis!A:A, analysis!I:I)</f>
        <v>#NAME?</v>
      </c>
      <c r="K891" s="10" t="e">
        <f t="array" aca="1" ref="K891" ca="1">_xludf.XLOOKUP(F891, analysis!A:A, analysis!J:J)</f>
        <v>#NAME?</v>
      </c>
      <c r="L891" s="10" t="e">
        <f t="shared" ca="1" si="48"/>
        <v>#NAME?</v>
      </c>
      <c r="M891" s="10" t="s">
        <v>1423</v>
      </c>
    </row>
    <row r="892" spans="6:17" ht="13.2">
      <c r="F892" s="10" t="s">
        <v>1475</v>
      </c>
      <c r="G892" s="10">
        <v>1</v>
      </c>
      <c r="H892" s="10" t="s">
        <v>1416</v>
      </c>
      <c r="I892" s="10">
        <v>55</v>
      </c>
      <c r="J892" s="43" t="e">
        <f t="array" aca="1" ref="J892" ca="1">_xludf.XLOOKUP(F892, analysis!A:A, analysis!I:I)</f>
        <v>#NAME?</v>
      </c>
      <c r="K892" s="10" t="e">
        <f t="array" aca="1" ref="K892" ca="1">_xludf.XLOOKUP(F892, analysis!A:A, analysis!J:J)</f>
        <v>#NAME?</v>
      </c>
      <c r="L892" s="10" t="e">
        <f t="shared" ca="1" si="48"/>
        <v>#NAME?</v>
      </c>
      <c r="M892" s="10" t="s">
        <v>1425</v>
      </c>
      <c r="N892" s="10">
        <f>(2/3*4700*4.2*80/0.63+(2.5/60)*5773920)*(10^-6)*50</f>
        <v>95.584555555555553</v>
      </c>
    </row>
    <row r="893" spans="6:17" ht="13.2">
      <c r="F893" s="10" t="s">
        <v>1647</v>
      </c>
      <c r="G893" s="10">
        <v>1</v>
      </c>
      <c r="H893" s="10" t="s">
        <v>1416</v>
      </c>
      <c r="I893" s="10">
        <v>55</v>
      </c>
      <c r="J893" s="43" t="e">
        <f t="array" aca="1" ref="J893" ca="1">_xludf.XLOOKUP(F893, analysis!A:A, analysis!I:I)</f>
        <v>#NAME?</v>
      </c>
      <c r="K893" s="10" t="e">
        <f t="array" aca="1" ref="K893" ca="1">_xludf.XLOOKUP(F893, analysis!A:A, analysis!J:J)</f>
        <v>#NAME?</v>
      </c>
      <c r="L893" s="10" t="e">
        <f t="shared" ca="1" si="48"/>
        <v>#NAME?</v>
      </c>
      <c r="M893" s="10" t="s">
        <v>1428</v>
      </c>
    </row>
    <row r="894" spans="6:17" ht="13.2">
      <c r="F894" s="10" t="s">
        <v>1648</v>
      </c>
      <c r="G894" s="10">
        <v>1</v>
      </c>
      <c r="H894" s="10" t="s">
        <v>1416</v>
      </c>
      <c r="I894" s="10">
        <v>55</v>
      </c>
      <c r="J894" s="43" t="e">
        <f t="array" aca="1" ref="J894" ca="1">_xludf.XLOOKUP(F894, analysis!A:A, analysis!I:I)</f>
        <v>#NAME?</v>
      </c>
      <c r="K894" s="10" t="e">
        <f t="array" aca="1" ref="K894" ca="1">_xludf.XLOOKUP(F894, analysis!A:A, analysis!J:J)</f>
        <v>#NAME?</v>
      </c>
      <c r="L894" s="10" t="e">
        <f t="shared" ca="1" si="48"/>
        <v>#NAME?</v>
      </c>
      <c r="M894" s="10" t="s">
        <v>1429</v>
      </c>
    </row>
    <row r="895" spans="6:17" ht="13.2">
      <c r="F895" s="10" t="s">
        <v>658</v>
      </c>
      <c r="G895" s="10">
        <v>1</v>
      </c>
      <c r="H895" s="10" t="s">
        <v>1416</v>
      </c>
      <c r="I895" s="10">
        <v>100</v>
      </c>
      <c r="J895" s="43" t="e">
        <f t="array" aca="1" ref="J895" ca="1">_xludf.XLOOKUP(F895, analysis!A:A, analysis!I:I)</f>
        <v>#NAME?</v>
      </c>
      <c r="K895" s="10" t="e">
        <f t="array" aca="1" ref="K895" ca="1">_xludf.XLOOKUP(F895, analysis!A:A, analysis!J:J)</f>
        <v>#NAME?</v>
      </c>
      <c r="L895" s="10" t="e">
        <f t="shared" ca="1" si="48"/>
        <v>#NAME?</v>
      </c>
      <c r="M895" s="10" t="s">
        <v>1430</v>
      </c>
      <c r="N895" s="10">
        <f>(((I890*1.97*160)/0.63)+(2.5/60)*5773920+(3.5/60)*5773920+(1/60)*5773920+(4/60)*5773920)*10^-6*50</f>
        <v>54.299470476190479</v>
      </c>
    </row>
    <row r="896" spans="6:17" ht="13.2">
      <c r="F896" s="10" t="s">
        <v>737</v>
      </c>
      <c r="G896" s="10">
        <v>3</v>
      </c>
      <c r="H896" s="10" t="s">
        <v>1416</v>
      </c>
      <c r="I896" s="10">
        <f>3*4.4</f>
        <v>13.200000000000001</v>
      </c>
      <c r="J896" s="43" t="e">
        <f t="array" aca="1" ref="J896" ca="1">_xludf.XLOOKUP(F896, analysis!A:A, analysis!I:I)</f>
        <v>#NAME?</v>
      </c>
      <c r="K896" s="10" t="e">
        <f t="array" aca="1" ref="K896" ca="1">_xludf.XLOOKUP(F896, analysis!A:A, analysis!J:J)</f>
        <v>#NAME?</v>
      </c>
      <c r="L896" s="10" t="e">
        <f t="shared" ca="1" si="48"/>
        <v>#NAME?</v>
      </c>
      <c r="M896" s="10" t="s">
        <v>1432</v>
      </c>
    </row>
    <row r="897" spans="6:17" ht="13.2">
      <c r="F897" s="10" t="s">
        <v>1642</v>
      </c>
      <c r="G897" s="10" t="s">
        <v>1643</v>
      </c>
      <c r="H897" s="10" t="s">
        <v>1444</v>
      </c>
      <c r="I897" s="10">
        <v>5</v>
      </c>
      <c r="J897" s="43" t="e">
        <f t="array" aca="1" ref="J897" ca="1">_xludf.XLOOKUP(F897, analysis!A:A, analysis!I:I)</f>
        <v>#NAME?</v>
      </c>
      <c r="K897" s="10" t="e">
        <f t="array" aca="1" ref="K897" ca="1">_xludf.XLOOKUP(F897, analysis!A:A, analysis!J:J)</f>
        <v>#NAME?</v>
      </c>
      <c r="L897" s="10" t="e">
        <f t="shared" ca="1" si="48"/>
        <v>#NAME?</v>
      </c>
      <c r="M897" s="10" t="s">
        <v>1433</v>
      </c>
    </row>
    <row r="898" spans="6:17" ht="13.2">
      <c r="F898" s="10" t="s">
        <v>1471</v>
      </c>
      <c r="G898" s="10" t="s">
        <v>1505</v>
      </c>
      <c r="H898" s="10" t="s">
        <v>1444</v>
      </c>
      <c r="I898" s="10">
        <v>8</v>
      </c>
      <c r="J898" s="43" t="e">
        <f t="array" aca="1" ref="J898" ca="1">_xludf.XLOOKUP(F898, analysis!A:A, analysis!I:I)</f>
        <v>#NAME?</v>
      </c>
      <c r="K898" s="10" t="e">
        <f t="array" aca="1" ref="K898" ca="1">_xludf.XLOOKUP(F898, analysis!A:A, analysis!J:J)</f>
        <v>#NAME?</v>
      </c>
      <c r="L898" s="10" t="e">
        <f t="shared" ca="1" si="48"/>
        <v>#NAME?</v>
      </c>
      <c r="M898" s="10" t="s">
        <v>1434</v>
      </c>
    </row>
    <row r="899" spans="6:17" ht="13.2">
      <c r="F899" s="10" t="s">
        <v>1664</v>
      </c>
      <c r="G899" s="10" t="s">
        <v>741</v>
      </c>
      <c r="H899" s="10" t="s">
        <v>1452</v>
      </c>
      <c r="I899" s="10">
        <v>1000</v>
      </c>
      <c r="J899" s="43" t="e">
        <f t="array" aca="1" ref="J899" ca="1">_xludf.XLOOKUP(F899, analysis!A:A, analysis!I:I)</f>
        <v>#NAME?</v>
      </c>
      <c r="K899" s="10" t="e">
        <f ca="1">0.9567*(L1174+N1174)</f>
        <v>#NAME?</v>
      </c>
      <c r="L899" s="10" t="e">
        <f t="shared" ca="1" si="48"/>
        <v>#NAME?</v>
      </c>
      <c r="M899" s="10" t="s">
        <v>1437</v>
      </c>
    </row>
    <row r="900" spans="6:17" ht="13.2">
      <c r="F900" s="10" t="s">
        <v>1665</v>
      </c>
      <c r="G900" s="10" t="s">
        <v>1659</v>
      </c>
      <c r="H900" s="10" t="s">
        <v>1444</v>
      </c>
      <c r="I900" s="10">
        <v>90</v>
      </c>
      <c r="J900" s="43" t="e">
        <f t="array" aca="1" ref="J900" ca="1">_xludf.XLOOKUP(F900, analysis!A:A, analysis!I:I)</f>
        <v>#NAME?</v>
      </c>
      <c r="K900" s="10" t="e">
        <f t="array" aca="1" ref="K900" ca="1">_xludf.XLOOKUP(F900, analysis!A:A, analysis!J:J)</f>
        <v>#NAME?</v>
      </c>
      <c r="L900" s="10" t="e">
        <f t="shared" ca="1" si="48"/>
        <v>#NAME?</v>
      </c>
      <c r="M900" s="10" t="s">
        <v>1474</v>
      </c>
    </row>
    <row r="901" spans="6:17" ht="13.2">
      <c r="F901" s="10" t="s">
        <v>1449</v>
      </c>
      <c r="G901" s="10" t="s">
        <v>1494</v>
      </c>
      <c r="H901" s="10" t="s">
        <v>1444</v>
      </c>
      <c r="I901" s="10">
        <v>60</v>
      </c>
      <c r="J901" s="43" t="e">
        <f t="array" aca="1" ref="J901" ca="1">_xludf.XLOOKUP(F901, analysis!A:A, analysis!I:I)</f>
        <v>#NAME?</v>
      </c>
      <c r="K901" s="10" t="e">
        <f t="array" aca="1" ref="K901" ca="1">_xludf.XLOOKUP(F901, analysis!A:A, analysis!J:J)</f>
        <v>#NAME?</v>
      </c>
      <c r="L901" s="10" t="e">
        <f t="shared" ca="1" si="48"/>
        <v>#NAME?</v>
      </c>
      <c r="M901" s="10" t="s">
        <v>1625</v>
      </c>
    </row>
    <row r="902" spans="6:17" ht="13.2">
      <c r="F902" s="10" t="s">
        <v>646</v>
      </c>
      <c r="G902" s="10" t="s">
        <v>1439</v>
      </c>
      <c r="H902" s="10">
        <v>0</v>
      </c>
      <c r="I902" s="10">
        <v>0</v>
      </c>
      <c r="J902" s="43" t="e">
        <f t="array" aca="1" ref="J902" ca="1">_xludf.XLOOKUP(F902, analysis!A:A, analysis!I:I)</f>
        <v>#NAME?</v>
      </c>
      <c r="K902" s="10" t="e">
        <f t="array" aca="1" ref="K902" ca="1">_xludf.XLOOKUP(F902, analysis!A:A, analysis!J:J)</f>
        <v>#NAME?</v>
      </c>
      <c r="L902" s="10" t="e">
        <f t="shared" ca="1" si="48"/>
        <v>#NAME?</v>
      </c>
    </row>
    <row r="903" spans="6:17" ht="13.2">
      <c r="M903" s="20"/>
      <c r="N903" s="37"/>
    </row>
    <row r="904" spans="6:17" ht="13.2">
      <c r="K904" s="20" t="s">
        <v>1441</v>
      </c>
      <c r="L904" s="37" t="e">
        <f ca="1">SUM(L890:L902)</f>
        <v>#NAME?</v>
      </c>
      <c r="M904" s="20" t="s">
        <v>1442</v>
      </c>
      <c r="N904" s="37">
        <f>SUM(N889:N901)</f>
        <v>149.88402603174603</v>
      </c>
    </row>
    <row r="906" spans="6:17" ht="13.2">
      <c r="F906" s="187" t="s">
        <v>742</v>
      </c>
      <c r="G906" s="180"/>
      <c r="H906" s="180"/>
      <c r="I906" s="180"/>
      <c r="J906" s="180"/>
      <c r="K906" s="180"/>
      <c r="L906" s="180"/>
      <c r="M906" s="180"/>
      <c r="N906" s="180"/>
      <c r="O906" s="180"/>
    </row>
    <row r="907" spans="6:17" ht="13.2">
      <c r="F907" s="10" t="s">
        <v>1408</v>
      </c>
      <c r="G907" s="10" t="s">
        <v>543</v>
      </c>
      <c r="H907" s="10" t="s">
        <v>1409</v>
      </c>
      <c r="I907" s="10" t="s">
        <v>1410</v>
      </c>
      <c r="J907" s="10" t="s">
        <v>1411</v>
      </c>
      <c r="K907" s="10" t="s">
        <v>1412</v>
      </c>
      <c r="L907" s="10" t="s">
        <v>1413</v>
      </c>
      <c r="M907" s="179" t="s">
        <v>1468</v>
      </c>
      <c r="N907" s="180"/>
      <c r="O907" s="10" t="s">
        <v>1415</v>
      </c>
    </row>
    <row r="908" spans="6:17" ht="13.2">
      <c r="F908" s="10" t="s">
        <v>1666</v>
      </c>
      <c r="G908" s="10" t="s">
        <v>1667</v>
      </c>
      <c r="H908" s="10" t="s">
        <v>1444</v>
      </c>
      <c r="I908" s="10">
        <v>600</v>
      </c>
      <c r="J908" s="43" t="e">
        <f t="array" aca="1" ref="J908" ca="1">_xludf.XLOOKUP(F908, analysis!A:A, analysis!I:I)</f>
        <v>#NAME?</v>
      </c>
      <c r="K908" s="10" t="e">
        <f t="array" aca="1" ref="K908" ca="1">_xludf.XLOOKUP(F908, analysis!A:A, analysis!J:J)</f>
        <v>#NAME?</v>
      </c>
      <c r="L908" s="10" t="e">
        <f t="shared" ref="L908:L918" ca="1" si="49">K908*I908*J908/1000</f>
        <v>#NAME?</v>
      </c>
      <c r="M908" s="10" t="s">
        <v>1417</v>
      </c>
      <c r="P908" s="10" t="str">
        <f ca="1">IFERROR(__xludf.DUMMYFUNCTION("transpose(split(F908,CHAR(10)))"),"octopus tentacles")</f>
        <v>octopus tentacles</v>
      </c>
      <c r="Q908" s="10" t="str">
        <f ca="1">IFERROR(__xludf.DUMMYFUNCTION("transpose(split(G908,CHAR(10)))"),"600g")</f>
        <v>600g</v>
      </c>
    </row>
    <row r="909" spans="6:17" ht="13.2">
      <c r="F909" s="10" t="s">
        <v>1421</v>
      </c>
      <c r="G909" s="10" t="s">
        <v>1596</v>
      </c>
      <c r="H909" s="10" t="s">
        <v>1422</v>
      </c>
      <c r="I909" s="10">
        <f>0.914*60</f>
        <v>54.84</v>
      </c>
      <c r="J909" s="43" t="e">
        <f t="array" aca="1" ref="J909" ca="1">_xludf.XLOOKUP(F909, analysis!A:A, analysis!I:I)</f>
        <v>#NAME?</v>
      </c>
      <c r="K909" s="10" t="e">
        <f t="array" aca="1" ref="K909" ca="1">_xludf.XLOOKUP(F909, analysis!A:A, analysis!J:J)</f>
        <v>#NAME?</v>
      </c>
      <c r="L909" s="10" t="e">
        <f t="shared" ca="1" si="49"/>
        <v>#NAME?</v>
      </c>
      <c r="M909" s="10" t="s">
        <v>1420</v>
      </c>
    </row>
    <row r="910" spans="6:17" ht="13.2">
      <c r="F910" s="10" t="s">
        <v>651</v>
      </c>
      <c r="G910" s="17">
        <v>46024</v>
      </c>
      <c r="H910" s="10" t="s">
        <v>1416</v>
      </c>
      <c r="I910" s="10">
        <f>70*0.5</f>
        <v>35</v>
      </c>
      <c r="J910" s="43" t="e">
        <f t="array" aca="1" ref="J910" ca="1">_xludf.XLOOKUP(F910, analysis!A:A, analysis!I:I)</f>
        <v>#NAME?</v>
      </c>
      <c r="K910" s="10" t="e">
        <f t="array" aca="1" ref="K910" ca="1">_xludf.XLOOKUP(F910, analysis!A:A, analysis!J:J)</f>
        <v>#NAME?</v>
      </c>
      <c r="L910" s="10" t="e">
        <f t="shared" ca="1" si="49"/>
        <v>#NAME?</v>
      </c>
      <c r="M910" s="10" t="s">
        <v>1423</v>
      </c>
    </row>
    <row r="911" spans="6:17" ht="13.2">
      <c r="F911" s="10" t="s">
        <v>737</v>
      </c>
      <c r="G911" s="10">
        <v>5</v>
      </c>
      <c r="H911" s="10" t="s">
        <v>1416</v>
      </c>
      <c r="I911" s="10">
        <f>5*4.4</f>
        <v>22</v>
      </c>
      <c r="J911" s="43" t="e">
        <f t="array" aca="1" ref="J911" ca="1">_xludf.XLOOKUP(F911, analysis!A:A, analysis!I:I)</f>
        <v>#NAME?</v>
      </c>
      <c r="K911" s="10" t="e">
        <f t="array" aca="1" ref="K911" ca="1">_xludf.XLOOKUP(F911, analysis!A:A, analysis!J:J)</f>
        <v>#NAME?</v>
      </c>
      <c r="L911" s="10" t="e">
        <f t="shared" ca="1" si="49"/>
        <v>#NAME?</v>
      </c>
      <c r="M911" s="10" t="s">
        <v>1425</v>
      </c>
      <c r="N911" s="10">
        <f>(2/3*4700*4.2*80/0.63+(4/60)*5773920)*(10^-6)*50</f>
        <v>102.80195555555554</v>
      </c>
    </row>
    <row r="912" spans="6:17" ht="13.2">
      <c r="F912" s="10" t="s">
        <v>1543</v>
      </c>
      <c r="G912" s="10" t="s">
        <v>738</v>
      </c>
      <c r="H912" s="10" t="s">
        <v>1422</v>
      </c>
      <c r="I912" s="10">
        <f>0.48*5</f>
        <v>2.4</v>
      </c>
      <c r="J912" s="43" t="e">
        <f t="array" aca="1" ref="J912" ca="1">_xludf.XLOOKUP(F912, analysis!A:A, analysis!I:I)</f>
        <v>#NAME?</v>
      </c>
      <c r="K912" s="10" t="e">
        <f t="array" aca="1" ref="K912" ca="1">_xludf.XLOOKUP(F912, analysis!A:A, analysis!J:J)</f>
        <v>#NAME?</v>
      </c>
      <c r="L912" s="10" t="e">
        <f t="shared" ca="1" si="49"/>
        <v>#NAME?</v>
      </c>
      <c r="M912" s="10" t="s">
        <v>1428</v>
      </c>
    </row>
    <row r="913" spans="6:17" ht="13.2">
      <c r="F913" s="10" t="s">
        <v>658</v>
      </c>
      <c r="G913" s="10">
        <v>1</v>
      </c>
      <c r="H913" s="10" t="s">
        <v>1416</v>
      </c>
      <c r="I913" s="10">
        <v>100</v>
      </c>
      <c r="J913" s="43" t="e">
        <f t="array" aca="1" ref="J913" ca="1">_xludf.XLOOKUP(F913, analysis!A:A, analysis!I:I)</f>
        <v>#NAME?</v>
      </c>
      <c r="K913" s="10" t="e">
        <f t="array" aca="1" ref="K913" ca="1">_xludf.XLOOKUP(F913, analysis!A:A, analysis!J:J)</f>
        <v>#NAME?</v>
      </c>
      <c r="L913" s="10" t="e">
        <f t="shared" ca="1" si="49"/>
        <v>#NAME?</v>
      </c>
      <c r="M913" s="10" t="s">
        <v>1429</v>
      </c>
    </row>
    <row r="914" spans="6:17" ht="13.2">
      <c r="F914" s="10" t="s">
        <v>1424</v>
      </c>
      <c r="G914" s="10" t="s">
        <v>1595</v>
      </c>
      <c r="H914" s="10" t="s">
        <v>1422</v>
      </c>
      <c r="I914" s="10">
        <f>1.02*250</f>
        <v>255</v>
      </c>
      <c r="J914" s="43" t="e">
        <f t="array" aca="1" ref="J914" ca="1">_xludf.XLOOKUP(F914, analysis!A:A, analysis!I:I)</f>
        <v>#NAME?</v>
      </c>
      <c r="K914" s="10" t="e">
        <f t="array" aca="1" ref="K914" ca="1">_xludf.XLOOKUP(F914, analysis!A:A, analysis!J:J)</f>
        <v>#NAME?</v>
      </c>
      <c r="L914" s="10" t="e">
        <f t="shared" ca="1" si="49"/>
        <v>#NAME?</v>
      </c>
      <c r="M914" s="10" t="s">
        <v>1430</v>
      </c>
      <c r="N914" s="10">
        <f>(((I909/2*1.97*160)/0.63)+(9/60)*5773920+(1/60)*5773920+(1/60)*5773920)*10^-6*50+(((I909/2*1.97*160)/0.63)+(1/60)*5773920+(4.5/60)*5773920)*10^-6*50</f>
        <v>80.763270476190471</v>
      </c>
    </row>
    <row r="915" spans="6:17" ht="13.2">
      <c r="F915" s="10" t="s">
        <v>716</v>
      </c>
      <c r="G915" s="10" t="s">
        <v>726</v>
      </c>
      <c r="H915" s="10" t="s">
        <v>1444</v>
      </c>
      <c r="I915" s="10">
        <v>350</v>
      </c>
      <c r="J915" s="43" t="e">
        <f t="array" aca="1" ref="J915" ca="1">_xludf.XLOOKUP(F915, analysis!A:A, analysis!I:I)</f>
        <v>#NAME?</v>
      </c>
      <c r="K915" s="10" t="e">
        <f t="array" aca="1" ref="K915" ca="1">_xludf.XLOOKUP(F915, analysis!A:A, analysis!J:J)</f>
        <v>#NAME?</v>
      </c>
      <c r="L915" s="10" t="e">
        <f t="shared" ca="1" si="49"/>
        <v>#NAME?</v>
      </c>
      <c r="M915" s="10" t="s">
        <v>1432</v>
      </c>
    </row>
    <row r="916" spans="6:17" ht="13.2">
      <c r="F916" s="10" t="s">
        <v>1664</v>
      </c>
      <c r="G916" s="10" t="s">
        <v>753</v>
      </c>
      <c r="H916" s="10" t="s">
        <v>1444</v>
      </c>
      <c r="I916" s="10">
        <v>400</v>
      </c>
      <c r="J916" s="43" t="e">
        <f t="array" aca="1" ref="J916" ca="1">_xludf.XLOOKUP(F916, analysis!A:A, analysis!I:I)</f>
        <v>#NAME?</v>
      </c>
      <c r="K916" s="10" t="e">
        <f ca="1">0.3348*(L1174+N1174)</f>
        <v>#NAME?</v>
      </c>
      <c r="L916" s="10" t="e">
        <f t="shared" ca="1" si="49"/>
        <v>#NAME?</v>
      </c>
      <c r="M916" s="10" t="s">
        <v>1433</v>
      </c>
    </row>
    <row r="917" spans="6:17" ht="13.2">
      <c r="F917" s="10" t="s">
        <v>1449</v>
      </c>
      <c r="G917" s="10" t="s">
        <v>1668</v>
      </c>
      <c r="H917" s="10" t="s">
        <v>1444</v>
      </c>
      <c r="I917" s="10">
        <v>20</v>
      </c>
      <c r="J917" s="43" t="e">
        <f t="array" aca="1" ref="J917" ca="1">_xludf.XLOOKUP(F917, analysis!A:A, analysis!I:I)</f>
        <v>#NAME?</v>
      </c>
      <c r="K917" s="10" t="e">
        <f t="array" aca="1" ref="K917" ca="1">_xludf.XLOOKUP(F917, analysis!A:A, analysis!J:J)</f>
        <v>#NAME?</v>
      </c>
      <c r="L917" s="10" t="e">
        <f t="shared" ca="1" si="49"/>
        <v>#NAME?</v>
      </c>
      <c r="M917" s="10" t="s">
        <v>1434</v>
      </c>
      <c r="N917" s="10">
        <f>(((2/3*4500)*4.2*100/0.63)+(15/60)*5773920)*(10^-6)*50</f>
        <v>172.17399999999998</v>
      </c>
    </row>
    <row r="918" spans="6:17" ht="13.2">
      <c r="F918" s="10" t="s">
        <v>646</v>
      </c>
      <c r="G918" s="10" t="s">
        <v>1439</v>
      </c>
      <c r="H918" s="10">
        <v>0</v>
      </c>
      <c r="I918" s="10">
        <v>0</v>
      </c>
      <c r="J918" s="43" t="e">
        <f t="array" aca="1" ref="J918" ca="1">_xludf.XLOOKUP(F918, analysis!A:A, analysis!I:I)</f>
        <v>#NAME?</v>
      </c>
      <c r="K918" s="10" t="e">
        <f t="array" aca="1" ref="K918" ca="1">_xludf.XLOOKUP(F918, analysis!A:A, analysis!J:J)</f>
        <v>#NAME?</v>
      </c>
      <c r="L918" s="10" t="e">
        <f t="shared" ca="1" si="49"/>
        <v>#NAME?</v>
      </c>
      <c r="M918" s="10" t="s">
        <v>1437</v>
      </c>
    </row>
    <row r="919" spans="6:17" ht="13.2">
      <c r="M919" s="10" t="s">
        <v>1474</v>
      </c>
    </row>
    <row r="920" spans="6:17" ht="13.2">
      <c r="M920" s="10" t="s">
        <v>1625</v>
      </c>
    </row>
    <row r="922" spans="6:17" ht="13.2">
      <c r="K922" s="20" t="s">
        <v>1441</v>
      </c>
      <c r="L922" s="37" t="e">
        <f ca="1">SUM(L908:L918)</f>
        <v>#NAME?</v>
      </c>
      <c r="M922" s="20" t="s">
        <v>1442</v>
      </c>
      <c r="N922" s="37">
        <f>SUM(N908:N920)</f>
        <v>355.739226031746</v>
      </c>
    </row>
    <row r="924" spans="6:17" ht="13.2">
      <c r="F924" s="184" t="s">
        <v>861</v>
      </c>
      <c r="G924" s="180"/>
      <c r="H924" s="180"/>
      <c r="I924" s="180"/>
      <c r="J924" s="180"/>
      <c r="K924" s="180"/>
      <c r="L924" s="180"/>
      <c r="M924" s="180"/>
      <c r="N924" s="180"/>
      <c r="O924" s="180"/>
    </row>
    <row r="925" spans="6:17" ht="13.2">
      <c r="F925" s="10" t="s">
        <v>1408</v>
      </c>
      <c r="G925" s="10" t="s">
        <v>543</v>
      </c>
      <c r="H925" s="10" t="s">
        <v>1409</v>
      </c>
      <c r="I925" s="10" t="s">
        <v>1410</v>
      </c>
      <c r="J925" s="10" t="s">
        <v>1411</v>
      </c>
      <c r="K925" s="10" t="s">
        <v>1412</v>
      </c>
      <c r="L925" s="10" t="s">
        <v>1413</v>
      </c>
      <c r="M925" s="179" t="s">
        <v>1468</v>
      </c>
      <c r="N925" s="180"/>
      <c r="O925" s="10" t="s">
        <v>1415</v>
      </c>
    </row>
    <row r="926" spans="6:17" ht="13.2">
      <c r="F926" s="10" t="s">
        <v>709</v>
      </c>
      <c r="G926" s="24" t="s">
        <v>1669</v>
      </c>
      <c r="H926" s="10" t="s">
        <v>1444</v>
      </c>
      <c r="I926" s="10">
        <v>800</v>
      </c>
      <c r="J926" s="43" t="e">
        <f t="array" aca="1" ref="J926" ca="1">_xludf.XLOOKUP(F926, analysis!A:A, analysis!I:I)</f>
        <v>#NAME?</v>
      </c>
      <c r="K926" s="10" t="e">
        <f t="array" aca="1" ref="K926" ca="1">_xludf.XLOOKUP(F926, analysis!A:A, analysis!J:J)</f>
        <v>#NAME?</v>
      </c>
      <c r="L926" s="10" t="e">
        <f t="shared" ref="L926:L941" ca="1" si="50">K926*I926*J926/1000</f>
        <v>#NAME?</v>
      </c>
      <c r="M926" s="10" t="s">
        <v>1417</v>
      </c>
      <c r="P926" s="10" t="str">
        <f ca="1">IFERROR(__xludf.DUMMYFUNCTION("transpose(split(F926,CHAR(10)))"),"shrimp")</f>
        <v>shrimp</v>
      </c>
      <c r="Q926" s="10" t="str">
        <f ca="1">IFERROR(__xludf.DUMMYFUNCTION("transpose(split(G926,CHAR(10)))"),"800g")</f>
        <v>800g</v>
      </c>
    </row>
    <row r="927" spans="6:17" ht="13.2">
      <c r="F927" s="10" t="s">
        <v>1495</v>
      </c>
      <c r="G927" s="10">
        <v>1</v>
      </c>
      <c r="H927" s="10" t="s">
        <v>1416</v>
      </c>
      <c r="I927" s="10">
        <v>84</v>
      </c>
      <c r="J927" s="43" t="e">
        <f t="array" aca="1" ref="J927" ca="1">_xludf.XLOOKUP(F927, analysis!A:A, analysis!I:I)</f>
        <v>#NAME?</v>
      </c>
      <c r="K927" s="10" t="e">
        <f t="array" aca="1" ref="K927" ca="1">_xludf.XLOOKUP(F927, analysis!A:A, analysis!J:J)</f>
        <v>#NAME?</v>
      </c>
      <c r="L927" s="10" t="e">
        <f t="shared" ca="1" si="50"/>
        <v>#NAME?</v>
      </c>
      <c r="M927" s="10" t="s">
        <v>1420</v>
      </c>
    </row>
    <row r="928" spans="6:17" ht="13.2">
      <c r="F928" s="10" t="s">
        <v>737</v>
      </c>
      <c r="G928" s="10">
        <v>6</v>
      </c>
      <c r="H928" s="10" t="s">
        <v>1416</v>
      </c>
      <c r="I928" s="10">
        <f>4.4*6</f>
        <v>26.400000000000002</v>
      </c>
      <c r="J928" s="43" t="e">
        <f t="array" aca="1" ref="J928" ca="1">_xludf.XLOOKUP(F928, analysis!A:A, analysis!I:I)</f>
        <v>#NAME?</v>
      </c>
      <c r="K928" s="10" t="e">
        <f t="array" aca="1" ref="K928" ca="1">_xludf.XLOOKUP(F928, analysis!A:A, analysis!J:J)</f>
        <v>#NAME?</v>
      </c>
      <c r="L928" s="10" t="e">
        <f t="shared" ca="1" si="50"/>
        <v>#NAME?</v>
      </c>
      <c r="M928" s="10" t="s">
        <v>1423</v>
      </c>
    </row>
    <row r="929" spans="6:15" ht="13.2">
      <c r="F929" s="10" t="s">
        <v>646</v>
      </c>
      <c r="G929" s="10" t="s">
        <v>1509</v>
      </c>
      <c r="H929" s="10" t="s">
        <v>1489</v>
      </c>
      <c r="I929" s="10">
        <f>5*1.38</f>
        <v>6.8999999999999995</v>
      </c>
      <c r="J929" s="43" t="e">
        <f t="array" aca="1" ref="J929" ca="1">_xludf.XLOOKUP(F929, analysis!A:A, analysis!I:I)</f>
        <v>#NAME?</v>
      </c>
      <c r="K929" s="10" t="e">
        <f t="array" aca="1" ref="K929" ca="1">_xludf.XLOOKUP(F929, analysis!A:A, analysis!J:J)</f>
        <v>#NAME?</v>
      </c>
      <c r="L929" s="10" t="e">
        <f t="shared" ca="1" si="50"/>
        <v>#NAME?</v>
      </c>
      <c r="M929" s="10" t="s">
        <v>1425</v>
      </c>
      <c r="N929" s="10">
        <f>(2/3*1400*4.2*80/0.63+(25/60)*5773920)*(10^-6)*50+(2/3*1400*4.2*80/0.63+(20/60)*5773920)*(10^-6)*50</f>
        <v>266.29977777777782</v>
      </c>
    </row>
    <row r="930" spans="6:15" ht="13.2">
      <c r="F930" s="10" t="s">
        <v>1440</v>
      </c>
      <c r="G930" s="10" t="s">
        <v>1509</v>
      </c>
      <c r="H930" s="10" t="s">
        <v>1489</v>
      </c>
      <c r="I930" s="10">
        <f>5*0.47</f>
        <v>2.3499999999999996</v>
      </c>
      <c r="J930" s="43" t="e">
        <f t="array" aca="1" ref="J930" ca="1">_xludf.XLOOKUP(F930, analysis!A:A, analysis!I:I)</f>
        <v>#NAME?</v>
      </c>
      <c r="K930" s="10" t="e">
        <f t="array" aca="1" ref="K930" ca="1">_xludf.XLOOKUP(F930, analysis!A:A, analysis!J:J)</f>
        <v>#NAME?</v>
      </c>
      <c r="L930" s="10" t="e">
        <f t="shared" ca="1" si="50"/>
        <v>#NAME?</v>
      </c>
      <c r="M930" s="10" t="s">
        <v>1428</v>
      </c>
    </row>
    <row r="931" spans="6:15" ht="13.2">
      <c r="F931" s="10" t="s">
        <v>1530</v>
      </c>
      <c r="G931" s="10" t="s">
        <v>1667</v>
      </c>
      <c r="H931" s="10" t="s">
        <v>1444</v>
      </c>
      <c r="I931" s="10">
        <v>600</v>
      </c>
      <c r="J931" s="43" t="e">
        <f t="array" aca="1" ref="J931" ca="1">_xludf.XLOOKUP(F931, analysis!A:A, analysis!I:I)</f>
        <v>#NAME?</v>
      </c>
      <c r="K931" s="10" t="e">
        <f t="array" aca="1" ref="K931" ca="1">_xludf.XLOOKUP(F931, analysis!A:A, analysis!J:J)</f>
        <v>#NAME?</v>
      </c>
      <c r="L931" s="10" t="e">
        <f t="shared" ca="1" si="50"/>
        <v>#NAME?</v>
      </c>
      <c r="M931" s="10" t="s">
        <v>1429</v>
      </c>
    </row>
    <row r="932" spans="6:15" ht="13.2">
      <c r="F932" s="10" t="s">
        <v>651</v>
      </c>
      <c r="G932" s="10">
        <v>1</v>
      </c>
      <c r="H932" s="10" t="s">
        <v>1416</v>
      </c>
      <c r="I932" s="10">
        <v>70</v>
      </c>
      <c r="J932" s="43" t="e">
        <f t="array" aca="1" ref="J932" ca="1">_xludf.XLOOKUP(F932, analysis!A:A, analysis!I:I)</f>
        <v>#NAME?</v>
      </c>
      <c r="K932" s="10" t="e">
        <f t="array" aca="1" ref="K932" ca="1">_xludf.XLOOKUP(F932, analysis!A:A, analysis!J:J)</f>
        <v>#NAME?</v>
      </c>
      <c r="L932" s="10" t="e">
        <f t="shared" ca="1" si="50"/>
        <v>#NAME?</v>
      </c>
      <c r="M932" s="10" t="s">
        <v>1430</v>
      </c>
      <c r="N932" s="10">
        <f>(((I936*1.96*160)/0.63)+(5/60)*5773920+(2.5/60)*5773920+(2.5/60)*5773920+(5/60)*5773920+(2.5/60)*5773920)*10^-6*50</f>
        <v>85.587319999999991</v>
      </c>
    </row>
    <row r="933" spans="6:15" ht="13.2">
      <c r="F933" s="10" t="s">
        <v>1670</v>
      </c>
      <c r="G933" s="10">
        <v>6</v>
      </c>
      <c r="H933" s="10" t="s">
        <v>1416</v>
      </c>
      <c r="I933" s="10">
        <f>0.19*6</f>
        <v>1.1400000000000001</v>
      </c>
      <c r="J933" s="43" t="e">
        <f t="array" aca="1" ref="J933" ca="1">_xludf.XLOOKUP(F933, analysis!A:A, analysis!I:I)</f>
        <v>#NAME?</v>
      </c>
      <c r="K933" s="10" t="e">
        <f t="array" aca="1" ref="K933" ca="1">_xludf.XLOOKUP(F933, analysis!A:A, analysis!J:J)</f>
        <v>#NAME?</v>
      </c>
      <c r="L933" s="10" t="e">
        <f t="shared" ca="1" si="50"/>
        <v>#NAME?</v>
      </c>
      <c r="M933" s="10" t="s">
        <v>1432</v>
      </c>
    </row>
    <row r="934" spans="6:15" ht="13.2">
      <c r="F934" s="10" t="s">
        <v>711</v>
      </c>
      <c r="G934" s="10">
        <v>2</v>
      </c>
      <c r="H934" s="10" t="s">
        <v>1416</v>
      </c>
      <c r="I934" s="10">
        <f>2*0.25</f>
        <v>0.5</v>
      </c>
      <c r="J934" s="43" t="e">
        <f t="array" aca="1" ref="J934" ca="1">_xludf.XLOOKUP(F934, analysis!A:A, analysis!I:I)</f>
        <v>#NAME?</v>
      </c>
      <c r="K934" s="10" t="e">
        <f t="array" aca="1" ref="K934" ca="1">_xludf.XLOOKUP(F934, analysis!A:A, analysis!J:J)</f>
        <v>#NAME?</v>
      </c>
      <c r="L934" s="10" t="e">
        <f t="shared" ca="1" si="50"/>
        <v>#NAME?</v>
      </c>
      <c r="M934" s="10" t="s">
        <v>1433</v>
      </c>
    </row>
    <row r="935" spans="6:15" ht="13.2">
      <c r="F935" s="10" t="s">
        <v>663</v>
      </c>
      <c r="G935" s="10" t="s">
        <v>1671</v>
      </c>
      <c r="H935" s="10" t="s">
        <v>1422</v>
      </c>
      <c r="I935" s="10">
        <f>1.02*300</f>
        <v>306</v>
      </c>
      <c r="J935" s="43" t="e">
        <f t="array" aca="1" ref="J935" ca="1">_xludf.XLOOKUP(F935, analysis!A:A, analysis!I:I)</f>
        <v>#NAME?</v>
      </c>
      <c r="K935" s="10" t="e">
        <f t="array" aca="1" ref="K935" ca="1">_xludf.XLOOKUP(F935, analysis!A:A, analysis!J:J)</f>
        <v>#NAME?</v>
      </c>
      <c r="L935" s="10" t="e">
        <f t="shared" ca="1" si="50"/>
        <v>#NAME?</v>
      </c>
      <c r="M935" s="10" t="s">
        <v>1434</v>
      </c>
    </row>
    <row r="936" spans="6:15" ht="13.2">
      <c r="F936" s="10" t="s">
        <v>733</v>
      </c>
      <c r="G936" s="10" t="s">
        <v>1596</v>
      </c>
      <c r="H936" s="10" t="s">
        <v>1422</v>
      </c>
      <c r="I936" s="10">
        <f>0.927*60</f>
        <v>55.620000000000005</v>
      </c>
      <c r="J936" s="43" t="e">
        <f t="array" aca="1" ref="J936" ca="1">_xludf.XLOOKUP(F936, analysis!A:A, analysis!I:I)</f>
        <v>#NAME?</v>
      </c>
      <c r="K936" s="10" t="e">
        <f t="array" aca="1" ref="K936" ca="1">_xludf.XLOOKUP(F936, analysis!A:A, analysis!J:J)</f>
        <v>#NAME?</v>
      </c>
      <c r="L936" s="10" t="e">
        <f t="shared" ca="1" si="50"/>
        <v>#NAME?</v>
      </c>
      <c r="M936" s="10" t="s">
        <v>1437</v>
      </c>
    </row>
    <row r="937" spans="6:15" ht="13.2">
      <c r="F937" s="10" t="s">
        <v>658</v>
      </c>
      <c r="G937" s="10">
        <v>6</v>
      </c>
      <c r="H937" s="10" t="s">
        <v>1416</v>
      </c>
      <c r="I937" s="10">
        <f>6*100</f>
        <v>600</v>
      </c>
      <c r="J937" s="43" t="e">
        <f t="array" aca="1" ref="J937" ca="1">_xludf.XLOOKUP(F937, analysis!A:A, analysis!I:I)</f>
        <v>#NAME?</v>
      </c>
      <c r="K937" s="10" t="e">
        <f t="array" aca="1" ref="K937" ca="1">_xludf.XLOOKUP(F937, analysis!A:A, analysis!J:J)</f>
        <v>#NAME?</v>
      </c>
      <c r="L937" s="10" t="e">
        <f t="shared" ca="1" si="50"/>
        <v>#NAME?</v>
      </c>
      <c r="M937" s="10" t="s">
        <v>1474</v>
      </c>
    </row>
    <row r="938" spans="6:15" ht="13.2">
      <c r="F938" s="10" t="s">
        <v>1471</v>
      </c>
      <c r="G938" s="10" t="s">
        <v>746</v>
      </c>
      <c r="H938" s="10" t="s">
        <v>1422</v>
      </c>
      <c r="I938" s="10">
        <f>1.23*15</f>
        <v>18.45</v>
      </c>
      <c r="J938" s="43" t="e">
        <f t="array" aca="1" ref="J938" ca="1">_xludf.XLOOKUP(F938, analysis!A:A, analysis!I:I)</f>
        <v>#NAME?</v>
      </c>
      <c r="K938" s="10" t="e">
        <f t="array" aca="1" ref="K938" ca="1">_xludf.XLOOKUP(F938, analysis!A:A, analysis!J:J)</f>
        <v>#NAME?</v>
      </c>
      <c r="L938" s="10" t="e">
        <f t="shared" ca="1" si="50"/>
        <v>#NAME?</v>
      </c>
      <c r="M938" s="10" t="s">
        <v>1625</v>
      </c>
    </row>
    <row r="939" spans="6:15" ht="13.2">
      <c r="F939" s="10" t="s">
        <v>1467</v>
      </c>
      <c r="G939" s="10" t="s">
        <v>734</v>
      </c>
      <c r="H939" s="10" t="s">
        <v>1422</v>
      </c>
      <c r="I939" s="10">
        <f>0.994*45</f>
        <v>44.73</v>
      </c>
      <c r="J939" s="43" t="e">
        <f t="array" aca="1" ref="J939" ca="1">_xludf.XLOOKUP(F939, analysis!A:A, analysis!I:I)</f>
        <v>#NAME?</v>
      </c>
      <c r="K939" s="10" t="e">
        <f t="array" aca="1" ref="K939" ca="1">_xludf.XLOOKUP(F939, analysis!A:A, analysis!J:J)</f>
        <v>#NAME?</v>
      </c>
      <c r="L939" s="10" t="e">
        <f t="shared" ca="1" si="50"/>
        <v>#NAME?</v>
      </c>
    </row>
    <row r="940" spans="6:15" ht="13.2">
      <c r="F940" s="10" t="s">
        <v>712</v>
      </c>
      <c r="G940" s="10" t="s">
        <v>1506</v>
      </c>
      <c r="H940" s="10" t="s">
        <v>1422</v>
      </c>
      <c r="I940" s="10">
        <f>0.89*30</f>
        <v>26.7</v>
      </c>
      <c r="J940" s="43" t="e">
        <f t="array" aca="1" ref="J940" ca="1">_xludf.XLOOKUP(F940, analysis!A:A, analysis!I:I)</f>
        <v>#NAME?</v>
      </c>
      <c r="K940" s="10" t="e">
        <f t="array" aca="1" ref="K940" ca="1">_xludf.XLOOKUP(F940, analysis!A:A, analysis!J:J)</f>
        <v>#NAME?</v>
      </c>
      <c r="L940" s="10" t="e">
        <f t="shared" ca="1" si="50"/>
        <v>#NAME?</v>
      </c>
    </row>
    <row r="941" spans="6:15" ht="13.2">
      <c r="F941" s="10" t="s">
        <v>1635</v>
      </c>
      <c r="G941" s="10" t="s">
        <v>1601</v>
      </c>
      <c r="H941" s="10" t="s">
        <v>1444</v>
      </c>
      <c r="I941" s="10">
        <v>25</v>
      </c>
      <c r="J941" s="43" t="e">
        <f t="array" aca="1" ref="J941" ca="1">_xludf.XLOOKUP(F941, analysis!A:A, analysis!I:I)</f>
        <v>#NAME?</v>
      </c>
      <c r="K941" s="10" t="e">
        <f t="array" aca="1" ref="K941" ca="1">_xludf.XLOOKUP(F941, analysis!A:A, analysis!J:J)</f>
        <v>#NAME?</v>
      </c>
      <c r="L941" s="10" t="e">
        <f t="shared" ca="1" si="50"/>
        <v>#NAME?</v>
      </c>
    </row>
    <row r="943" spans="6:15" ht="13.2">
      <c r="K943" s="20" t="s">
        <v>1441</v>
      </c>
      <c r="L943" s="37" t="e">
        <f ca="1">SUM(L926:L941)</f>
        <v>#NAME?</v>
      </c>
      <c r="M943" s="20" t="s">
        <v>1442</v>
      </c>
      <c r="N943" s="37">
        <f>SUM(N926:N938)</f>
        <v>351.8870977777778</v>
      </c>
    </row>
    <row r="944" spans="6:15" ht="13.2">
      <c r="F944" s="184" t="s">
        <v>868</v>
      </c>
      <c r="G944" s="180"/>
      <c r="H944" s="180"/>
      <c r="I944" s="180"/>
      <c r="J944" s="180"/>
      <c r="K944" s="180"/>
      <c r="L944" s="180"/>
      <c r="M944" s="180"/>
      <c r="N944" s="180"/>
      <c r="O944" s="180"/>
    </row>
    <row r="945" spans="6:17" ht="13.2">
      <c r="F945" s="10" t="s">
        <v>1408</v>
      </c>
      <c r="G945" s="10" t="s">
        <v>543</v>
      </c>
      <c r="H945" s="10" t="s">
        <v>1409</v>
      </c>
      <c r="I945" s="10" t="s">
        <v>1410</v>
      </c>
      <c r="J945" s="10" t="s">
        <v>1411</v>
      </c>
      <c r="K945" s="10" t="s">
        <v>1412</v>
      </c>
      <c r="L945" s="10" t="s">
        <v>1413</v>
      </c>
      <c r="M945" s="179" t="s">
        <v>1468</v>
      </c>
      <c r="N945" s="180"/>
      <c r="O945" s="10" t="s">
        <v>1415</v>
      </c>
    </row>
    <row r="946" spans="6:17" ht="13.2">
      <c r="F946" s="10" t="s">
        <v>733</v>
      </c>
      <c r="G946" s="10" t="s">
        <v>1596</v>
      </c>
      <c r="H946" s="10" t="s">
        <v>1422</v>
      </c>
      <c r="I946" s="10">
        <v>60</v>
      </c>
      <c r="J946" s="43" t="e">
        <f t="array" aca="1" ref="J946" ca="1">_xludf.XLOOKUP(F946, analysis!A:A, analysis!I:I)</f>
        <v>#NAME?</v>
      </c>
      <c r="K946" s="10" t="e">
        <f t="array" aca="1" ref="K946" ca="1">_xludf.XLOOKUP(F946, analysis!A:A, analysis!J:J)</f>
        <v>#NAME?</v>
      </c>
      <c r="L946" s="10" t="e">
        <f t="shared" ref="L946:L961" ca="1" si="51">K946*I946*J946/1000</f>
        <v>#NAME?</v>
      </c>
      <c r="M946" s="10" t="s">
        <v>1417</v>
      </c>
      <c r="P946" s="10" t="str">
        <f ca="1">IFERROR(__xludf.DUMMYFUNCTION("transpose(split(F946,CHAR(10)))"),"vegetable oil")</f>
        <v>vegetable oil</v>
      </c>
      <c r="Q946" s="10" t="str">
        <f ca="1">IFERROR(__xludf.DUMMYFUNCTION("transpose(split(G946,CHAR(10)))"),"60ml")</f>
        <v>60ml</v>
      </c>
    </row>
    <row r="947" spans="6:17" ht="13.2">
      <c r="F947" s="10" t="s">
        <v>1475</v>
      </c>
      <c r="G947" s="10">
        <v>1</v>
      </c>
      <c r="H947" s="10" t="s">
        <v>1416</v>
      </c>
      <c r="I947" s="10">
        <v>55</v>
      </c>
      <c r="J947" s="43" t="e">
        <f t="array" aca="1" ref="J947" ca="1">_xludf.XLOOKUP(F947, analysis!A:A, analysis!I:I)</f>
        <v>#NAME?</v>
      </c>
      <c r="K947" s="10" t="e">
        <f t="array" aca="1" ref="K947" ca="1">_xludf.XLOOKUP(F947, analysis!A:A, analysis!J:J)</f>
        <v>#NAME?</v>
      </c>
      <c r="L947" s="10" t="e">
        <f t="shared" ca="1" si="51"/>
        <v>#NAME?</v>
      </c>
      <c r="M947" s="10" t="s">
        <v>1420</v>
      </c>
    </row>
    <row r="948" spans="6:17" ht="13.2">
      <c r="F948" s="10" t="s">
        <v>1628</v>
      </c>
      <c r="G948" s="10">
        <v>1</v>
      </c>
      <c r="H948" s="10" t="s">
        <v>1416</v>
      </c>
      <c r="I948" s="10">
        <v>55</v>
      </c>
      <c r="J948" s="43" t="e">
        <f t="array" aca="1" ref="J948" ca="1">_xludf.XLOOKUP(F948, analysis!A:A, analysis!I:I)</f>
        <v>#NAME?</v>
      </c>
      <c r="K948" s="10" t="e">
        <f t="array" aca="1" ref="K948" ca="1">_xludf.XLOOKUP(F948, analysis!A:A, analysis!J:J)</f>
        <v>#NAME?</v>
      </c>
      <c r="L948" s="10" t="e">
        <f t="shared" ca="1" si="51"/>
        <v>#NAME?</v>
      </c>
      <c r="M948" s="10" t="s">
        <v>1423</v>
      </c>
    </row>
    <row r="949" spans="6:17" ht="13.2">
      <c r="F949" s="10" t="s">
        <v>651</v>
      </c>
      <c r="G949" s="10">
        <v>1</v>
      </c>
      <c r="H949" s="10" t="s">
        <v>1416</v>
      </c>
      <c r="I949" s="10">
        <v>70</v>
      </c>
      <c r="J949" s="43" t="e">
        <f t="array" aca="1" ref="J949" ca="1">_xludf.XLOOKUP(F949, analysis!A:A, analysis!I:I)</f>
        <v>#NAME?</v>
      </c>
      <c r="K949" s="10" t="e">
        <f t="array" aca="1" ref="K949" ca="1">_xludf.XLOOKUP(F949, analysis!A:A, analysis!J:J)</f>
        <v>#NAME?</v>
      </c>
      <c r="L949" s="10" t="e">
        <f t="shared" ca="1" si="51"/>
        <v>#NAME?</v>
      </c>
      <c r="M949" s="10" t="s">
        <v>1425</v>
      </c>
    </row>
    <row r="950" spans="6:17" ht="13.2">
      <c r="F950" s="10" t="s">
        <v>1456</v>
      </c>
      <c r="G950" s="10">
        <v>1</v>
      </c>
      <c r="H950" s="10" t="s">
        <v>1416</v>
      </c>
      <c r="I950" s="10">
        <v>55</v>
      </c>
      <c r="J950" s="43" t="e">
        <f t="array" aca="1" ref="J950" ca="1">_xludf.XLOOKUP(F950, analysis!A:A, analysis!I:I)</f>
        <v>#NAME?</v>
      </c>
      <c r="K950" s="10" t="e">
        <f t="array" aca="1" ref="K950" ca="1">_xludf.XLOOKUP(F950, analysis!A:A, analysis!J:J)</f>
        <v>#NAME?</v>
      </c>
      <c r="L950" s="10" t="e">
        <f t="shared" ca="1" si="51"/>
        <v>#NAME?</v>
      </c>
      <c r="M950" s="10" t="s">
        <v>1428</v>
      </c>
    </row>
    <row r="951" spans="6:17" ht="13.2">
      <c r="F951" s="10" t="s">
        <v>737</v>
      </c>
      <c r="G951" s="10">
        <v>2</v>
      </c>
      <c r="H951" s="10" t="s">
        <v>1416</v>
      </c>
      <c r="I951" s="10">
        <f>2*4.4</f>
        <v>8.8000000000000007</v>
      </c>
      <c r="J951" s="43" t="e">
        <f t="array" aca="1" ref="J951" ca="1">_xludf.XLOOKUP(F951, analysis!A:A, analysis!I:I)</f>
        <v>#NAME?</v>
      </c>
      <c r="K951" s="10" t="e">
        <f t="array" aca="1" ref="K951" ca="1">_xludf.XLOOKUP(F951, analysis!A:A, analysis!J:J)</f>
        <v>#NAME?</v>
      </c>
      <c r="L951" s="10" t="e">
        <f t="shared" ca="1" si="51"/>
        <v>#NAME?</v>
      </c>
      <c r="M951" s="10" t="s">
        <v>1429</v>
      </c>
    </row>
    <row r="952" spans="6:17" ht="13.2">
      <c r="F952" s="10" t="s">
        <v>658</v>
      </c>
      <c r="G952" s="10">
        <v>2</v>
      </c>
      <c r="H952" s="10" t="s">
        <v>1416</v>
      </c>
      <c r="I952" s="10">
        <v>200</v>
      </c>
      <c r="J952" s="43" t="e">
        <f t="array" aca="1" ref="J952" ca="1">_xludf.XLOOKUP(F952, analysis!A:A, analysis!I:I)</f>
        <v>#NAME?</v>
      </c>
      <c r="K952" s="10" t="e">
        <f t="array" aca="1" ref="K952" ca="1">_xludf.XLOOKUP(F952, analysis!A:A, analysis!J:J)</f>
        <v>#NAME?</v>
      </c>
      <c r="L952" s="10" t="e">
        <f t="shared" ca="1" si="51"/>
        <v>#NAME?</v>
      </c>
      <c r="M952" s="10" t="s">
        <v>1430</v>
      </c>
      <c r="N952" s="10">
        <f>(((I946*1.96*160)/0.63)+(3.5/60)*5773920+(1/60)*5773920+(5/60)*5773920+(2/60)*5773920+(2/60)*5773920+(1/60)*5773920)*10^-6*50</f>
        <v>71.261533333333333</v>
      </c>
    </row>
    <row r="953" spans="6:17" ht="13.2">
      <c r="F953" s="10" t="s">
        <v>1471</v>
      </c>
      <c r="G953" s="10" t="s">
        <v>746</v>
      </c>
      <c r="H953" s="10" t="s">
        <v>1422</v>
      </c>
      <c r="I953" s="10">
        <f>1.23*15</f>
        <v>18.45</v>
      </c>
      <c r="J953" s="43" t="e">
        <f t="array" aca="1" ref="J953" ca="1">_xludf.XLOOKUP(F953, analysis!A:A, analysis!I:I)</f>
        <v>#NAME?</v>
      </c>
      <c r="K953" s="10" t="e">
        <f t="array" aca="1" ref="K953" ca="1">_xludf.XLOOKUP(F953, analysis!A:A, analysis!J:J)</f>
        <v>#NAME?</v>
      </c>
      <c r="L953" s="10" t="e">
        <f t="shared" ca="1" si="51"/>
        <v>#NAME?</v>
      </c>
      <c r="M953" s="10" t="s">
        <v>1432</v>
      </c>
    </row>
    <row r="954" spans="6:17" ht="13.2">
      <c r="F954" s="10" t="s">
        <v>1457</v>
      </c>
      <c r="G954" s="10">
        <v>6</v>
      </c>
      <c r="H954" s="10" t="s">
        <v>1416</v>
      </c>
      <c r="I954" s="10">
        <f>6.2*6</f>
        <v>37.200000000000003</v>
      </c>
      <c r="J954" s="43" t="e">
        <f t="array" aca="1" ref="J954" ca="1">_xludf.XLOOKUP(F954, analysis!A:A, analysis!I:I)</f>
        <v>#NAME?</v>
      </c>
      <c r="K954" s="10" t="e">
        <f t="array" aca="1" ref="K954" ca="1">_xludf.XLOOKUP(F954, analysis!A:A, analysis!J:J)</f>
        <v>#NAME?</v>
      </c>
      <c r="L954" s="10" t="e">
        <f t="shared" ca="1" si="51"/>
        <v>#NAME?</v>
      </c>
      <c r="M954" s="10" t="s">
        <v>1433</v>
      </c>
    </row>
    <row r="955" spans="6:17" ht="13.2">
      <c r="F955" s="10" t="s">
        <v>1661</v>
      </c>
      <c r="G955" s="10" t="s">
        <v>1541</v>
      </c>
      <c r="H955" s="10" t="s">
        <v>1427</v>
      </c>
      <c r="I955" s="10">
        <v>1000</v>
      </c>
      <c r="J955" s="43" t="e">
        <f t="array" aca="1" ref="J955" ca="1">_xludf.XLOOKUP(F955, analysis!A:A, analysis!I:I)</f>
        <v>#NAME?</v>
      </c>
      <c r="K955" s="10" t="e">
        <f t="array" aca="1" ref="K955" ca="1">_xludf.XLOOKUP(F955, analysis!A:A, analysis!J:J)</f>
        <v>#NAME?</v>
      </c>
      <c r="L955" s="10" t="e">
        <f t="shared" ca="1" si="51"/>
        <v>#NAME?</v>
      </c>
      <c r="M955" s="10" t="s">
        <v>1434</v>
      </c>
    </row>
    <row r="956" spans="6:17" ht="13.2">
      <c r="F956" s="10" t="s">
        <v>709</v>
      </c>
      <c r="G956" s="10">
        <v>12</v>
      </c>
      <c r="H956" s="10" t="s">
        <v>1416</v>
      </c>
      <c r="I956" s="37">
        <f>(0.053+6+12.4+26.5)/4</f>
        <v>11.238250000000001</v>
      </c>
      <c r="J956" s="43" t="e">
        <f t="array" aca="1" ref="J956" ca="1">_xludf.XLOOKUP(F956, analysis!A:A, analysis!I:I)</f>
        <v>#NAME?</v>
      </c>
      <c r="K956" s="10" t="e">
        <f t="array" aca="1" ref="K956" ca="1">_xludf.XLOOKUP(F956, analysis!A:A, analysis!J:J)</f>
        <v>#NAME?</v>
      </c>
      <c r="L956" s="10" t="e">
        <f t="shared" ca="1" si="51"/>
        <v>#NAME?</v>
      </c>
      <c r="M956" s="10" t="s">
        <v>1437</v>
      </c>
    </row>
    <row r="957" spans="6:17" ht="13.2">
      <c r="F957" s="10" t="s">
        <v>663</v>
      </c>
      <c r="G957" s="10" t="s">
        <v>1634</v>
      </c>
      <c r="H957" s="10" t="s">
        <v>1422</v>
      </c>
      <c r="I957" s="10">
        <f>1.02*400</f>
        <v>408</v>
      </c>
      <c r="J957" s="43" t="e">
        <f t="array" aca="1" ref="J957" ca="1">_xludf.XLOOKUP(F957, analysis!A:A, analysis!I:I)</f>
        <v>#NAME?</v>
      </c>
      <c r="K957" s="10" t="e">
        <f t="array" aca="1" ref="K957" ca="1">_xludf.XLOOKUP(F957, analysis!A:A, analysis!J:J)</f>
        <v>#NAME?</v>
      </c>
      <c r="L957" s="10" t="e">
        <f t="shared" ca="1" si="51"/>
        <v>#NAME?</v>
      </c>
      <c r="M957" s="10" t="s">
        <v>1474</v>
      </c>
    </row>
    <row r="958" spans="6:17" ht="13.2">
      <c r="F958" s="10" t="s">
        <v>712</v>
      </c>
      <c r="G958" s="10" t="s">
        <v>1506</v>
      </c>
      <c r="H958" s="10" t="s">
        <v>1422</v>
      </c>
      <c r="I958" s="10">
        <f>0.89*30</f>
        <v>26.7</v>
      </c>
      <c r="J958" s="43" t="e">
        <f t="array" aca="1" ref="J958" ca="1">_xludf.XLOOKUP(F958, analysis!A:A, analysis!I:I)</f>
        <v>#NAME?</v>
      </c>
      <c r="K958" s="10" t="e">
        <f t="array" aca="1" ref="K958" ca="1">_xludf.XLOOKUP(F958, analysis!A:A, analysis!J:J)</f>
        <v>#NAME?</v>
      </c>
      <c r="L958" s="10" t="e">
        <f t="shared" ca="1" si="51"/>
        <v>#NAME?</v>
      </c>
      <c r="M958" s="10" t="s">
        <v>1625</v>
      </c>
    </row>
    <row r="959" spans="6:17" ht="13.2">
      <c r="F959" s="10" t="s">
        <v>646</v>
      </c>
      <c r="G959" s="10" t="s">
        <v>1439</v>
      </c>
      <c r="H959" s="10">
        <v>0</v>
      </c>
      <c r="I959" s="10">
        <v>0</v>
      </c>
      <c r="J959" s="43" t="e">
        <f t="array" aca="1" ref="J959" ca="1">_xludf.XLOOKUP(F959, analysis!A:A, analysis!I:I)</f>
        <v>#NAME?</v>
      </c>
      <c r="K959" s="10" t="e">
        <f t="array" aca="1" ref="K959" ca="1">_xludf.XLOOKUP(F959, analysis!A:A, analysis!J:J)</f>
        <v>#NAME?</v>
      </c>
      <c r="L959" s="10" t="e">
        <f t="shared" ca="1" si="51"/>
        <v>#NAME?</v>
      </c>
    </row>
    <row r="960" spans="6:17" ht="13.2">
      <c r="F960" s="10" t="s">
        <v>1440</v>
      </c>
      <c r="G960" s="10" t="s">
        <v>1439</v>
      </c>
      <c r="H960" s="10">
        <v>0</v>
      </c>
      <c r="I960" s="10">
        <v>0</v>
      </c>
      <c r="J960" s="43" t="e">
        <f t="array" aca="1" ref="J960" ca="1">_xludf.XLOOKUP(F960, analysis!A:A, analysis!I:I)</f>
        <v>#NAME?</v>
      </c>
      <c r="K960" s="10" t="e">
        <f t="array" aca="1" ref="K960" ca="1">_xludf.XLOOKUP(F960, analysis!A:A, analysis!J:J)</f>
        <v>#NAME?</v>
      </c>
      <c r="L960" s="10" t="e">
        <f t="shared" ca="1" si="51"/>
        <v>#NAME?</v>
      </c>
    </row>
    <row r="961" spans="6:17" ht="13.2">
      <c r="F961" s="10" t="s">
        <v>1635</v>
      </c>
      <c r="G961" s="10" t="s">
        <v>1439</v>
      </c>
      <c r="H961" s="10">
        <v>0</v>
      </c>
      <c r="I961" s="10">
        <v>0</v>
      </c>
      <c r="J961" s="43" t="e">
        <f t="array" aca="1" ref="J961" ca="1">_xludf.XLOOKUP(F961, analysis!A:A, analysis!I:I)</f>
        <v>#NAME?</v>
      </c>
      <c r="K961" s="10" t="e">
        <f t="array" aca="1" ref="K961" ca="1">_xludf.XLOOKUP(F961, analysis!A:A, analysis!J:J)</f>
        <v>#NAME?</v>
      </c>
      <c r="L961" s="10" t="e">
        <f t="shared" ca="1" si="51"/>
        <v>#NAME?</v>
      </c>
    </row>
    <row r="963" spans="6:17" ht="13.2">
      <c r="K963" s="20" t="s">
        <v>1441</v>
      </c>
      <c r="L963" s="37" t="e">
        <f ca="1">SUM(L946:L961)</f>
        <v>#NAME?</v>
      </c>
      <c r="M963" s="20" t="s">
        <v>1442</v>
      </c>
      <c r="N963" s="37">
        <f>SUM(N946:N958)</f>
        <v>71.261533333333333</v>
      </c>
    </row>
    <row r="965" spans="6:17" ht="13.2">
      <c r="F965" s="184" t="s">
        <v>872</v>
      </c>
      <c r="G965" s="180"/>
      <c r="H965" s="180"/>
      <c r="I965" s="180"/>
      <c r="J965" s="180"/>
      <c r="K965" s="180"/>
      <c r="L965" s="180"/>
      <c r="M965" s="180"/>
      <c r="N965" s="180"/>
      <c r="O965" s="180"/>
    </row>
    <row r="966" spans="6:17" ht="13.2">
      <c r="F966" s="10" t="s">
        <v>1408</v>
      </c>
      <c r="G966" s="10" t="s">
        <v>543</v>
      </c>
      <c r="H966" s="10" t="s">
        <v>1409</v>
      </c>
      <c r="I966" s="10" t="s">
        <v>1410</v>
      </c>
      <c r="J966" s="10" t="s">
        <v>1411</v>
      </c>
      <c r="K966" s="10" t="s">
        <v>1412</v>
      </c>
      <c r="L966" s="10" t="s">
        <v>1413</v>
      </c>
      <c r="M966" s="179" t="s">
        <v>1468</v>
      </c>
      <c r="N966" s="180"/>
      <c r="O966" s="10" t="s">
        <v>1415</v>
      </c>
    </row>
    <row r="967" spans="6:17" ht="13.2">
      <c r="F967" s="10" t="s">
        <v>1663</v>
      </c>
      <c r="G967" s="10" t="s">
        <v>723</v>
      </c>
      <c r="H967" s="10" t="s">
        <v>1444</v>
      </c>
      <c r="I967" s="10">
        <v>500</v>
      </c>
      <c r="J967" s="43" t="e">
        <f t="array" aca="1" ref="J967" ca="1">_xludf.XLOOKUP(F967, analysis!A:A, analysis!I:I)</f>
        <v>#NAME?</v>
      </c>
      <c r="K967" s="10" t="e">
        <f t="array" aca="1" ref="K967" ca="1">_xludf.XLOOKUP(F967, analysis!A:A, analysis!J:J)</f>
        <v>#NAME?</v>
      </c>
      <c r="L967" s="10" t="e">
        <f t="shared" ref="L967:L977" ca="1" si="52">K967*I967*J967/1000</f>
        <v>#NAME?</v>
      </c>
      <c r="M967" s="10" t="s">
        <v>1417</v>
      </c>
      <c r="P967" s="10" t="str">
        <f ca="1">IFERROR(__xludf.DUMMYFUNCTION("transpose(split(F967,CHAR(10)))"),"salt cod")</f>
        <v>salt cod</v>
      </c>
      <c r="Q967" s="10" t="str">
        <f ca="1">IFERROR(__xludf.DUMMYFUNCTION("transpose(split(G967,CHAR(10)))"),"500g")</f>
        <v>500g</v>
      </c>
    </row>
    <row r="968" spans="6:17" ht="13.2">
      <c r="F968" s="10" t="s">
        <v>675</v>
      </c>
      <c r="G968" s="10" t="s">
        <v>723</v>
      </c>
      <c r="H968" s="10" t="s">
        <v>1444</v>
      </c>
      <c r="I968" s="10">
        <v>500</v>
      </c>
      <c r="J968" s="43" t="e">
        <f t="array" aca="1" ref="J968" ca="1">_xludf.XLOOKUP(F968, analysis!A:A, analysis!I:I)</f>
        <v>#NAME?</v>
      </c>
      <c r="K968" s="10" t="e">
        <f t="array" aca="1" ref="K968" ca="1">_xludf.XLOOKUP(F968, analysis!A:A, analysis!J:J)</f>
        <v>#NAME?</v>
      </c>
      <c r="L968" s="10" t="e">
        <f t="shared" ca="1" si="52"/>
        <v>#NAME?</v>
      </c>
      <c r="M968" s="10" t="s">
        <v>1420</v>
      </c>
    </row>
    <row r="969" spans="6:17" ht="13.2">
      <c r="F969" s="10" t="s">
        <v>640</v>
      </c>
      <c r="G969" s="10" t="s">
        <v>1655</v>
      </c>
      <c r="H969" s="10" t="s">
        <v>1584</v>
      </c>
      <c r="I969" s="10">
        <f>1000*1.04</f>
        <v>1040</v>
      </c>
      <c r="J969" s="43" t="e">
        <f t="array" aca="1" ref="J969" ca="1">_xludf.XLOOKUP(F969, analysis!A:A, analysis!I:I)</f>
        <v>#NAME?</v>
      </c>
      <c r="K969" s="10" t="e">
        <f t="array" aca="1" ref="K969" ca="1">_xludf.XLOOKUP(F969, analysis!A:A, analysis!J:J)</f>
        <v>#NAME?</v>
      </c>
      <c r="L969" s="10" t="e">
        <f t="shared" ca="1" si="52"/>
        <v>#NAME?</v>
      </c>
      <c r="M969" s="10" t="s">
        <v>1423</v>
      </c>
    </row>
    <row r="970" spans="6:17" ht="13.2">
      <c r="F970" s="10" t="s">
        <v>711</v>
      </c>
      <c r="G970" s="10">
        <v>1</v>
      </c>
      <c r="H970" s="10" t="s">
        <v>1416</v>
      </c>
      <c r="I970" s="10">
        <f>0.25*1</f>
        <v>0.25</v>
      </c>
      <c r="J970" s="43" t="e">
        <f t="array" aca="1" ref="J970" ca="1">_xludf.XLOOKUP(F970, analysis!A:A, analysis!I:I)</f>
        <v>#NAME?</v>
      </c>
      <c r="K970" s="10" t="e">
        <f t="array" aca="1" ref="K970" ca="1">_xludf.XLOOKUP(F970, analysis!A:A, analysis!J:J)</f>
        <v>#NAME?</v>
      </c>
      <c r="L970" s="10" t="e">
        <f t="shared" ca="1" si="52"/>
        <v>#NAME?</v>
      </c>
      <c r="M970" s="10" t="s">
        <v>1425</v>
      </c>
      <c r="N970" s="10">
        <f>(2/3*4700*4.2*80/0.63+(20/60)*5773920)*(10^-6)*50+(I969*1.81*80/0.63*(10^-6)*50)+(2/3*4700*4.2*80/0.63+(20/60)*5773920)*(10^-6)*50+(2/3*1400*4.2*80/0.63+(10/60)*5773920)*(10^-6)*50</f>
        <v>444.53174603174602</v>
      </c>
    </row>
    <row r="971" spans="6:17" ht="13.2">
      <c r="F971" s="10" t="s">
        <v>1421</v>
      </c>
      <c r="G971" s="10" t="s">
        <v>1672</v>
      </c>
      <c r="H971" s="10" t="s">
        <v>1422</v>
      </c>
      <c r="I971" s="10">
        <f>150*0.914</f>
        <v>137.1</v>
      </c>
      <c r="J971" s="43" t="e">
        <f t="array" aca="1" ref="J971" ca="1">_xludf.XLOOKUP(F971, analysis!A:A, analysis!I:I)</f>
        <v>#NAME?</v>
      </c>
      <c r="K971" s="10" t="e">
        <f t="array" aca="1" ref="K971" ca="1">_xludf.XLOOKUP(F971, analysis!A:A, analysis!J:J)</f>
        <v>#NAME?</v>
      </c>
      <c r="L971" s="10" t="e">
        <f t="shared" ca="1" si="52"/>
        <v>#NAME?</v>
      </c>
      <c r="M971" s="10" t="s">
        <v>1428</v>
      </c>
    </row>
    <row r="972" spans="6:17" ht="13.2">
      <c r="F972" s="10" t="s">
        <v>651</v>
      </c>
      <c r="G972" s="10">
        <v>2</v>
      </c>
      <c r="H972" s="10" t="s">
        <v>1416</v>
      </c>
      <c r="I972" s="10">
        <f>2*70</f>
        <v>140</v>
      </c>
      <c r="J972" s="43" t="e">
        <f t="array" aca="1" ref="J972" ca="1">_xludf.XLOOKUP(F972, analysis!A:A, analysis!I:I)</f>
        <v>#NAME?</v>
      </c>
      <c r="K972" s="10" t="e">
        <f t="array" aca="1" ref="K972" ca="1">_xludf.XLOOKUP(F972, analysis!A:A, analysis!J:J)</f>
        <v>#NAME?</v>
      </c>
      <c r="L972" s="10" t="e">
        <f t="shared" ca="1" si="52"/>
        <v>#NAME?</v>
      </c>
      <c r="M972" s="10" t="s">
        <v>1429</v>
      </c>
    </row>
    <row r="973" spans="6:17" ht="13.2">
      <c r="F973" s="10" t="s">
        <v>737</v>
      </c>
      <c r="G973" s="10">
        <v>2</v>
      </c>
      <c r="H973" s="10" t="s">
        <v>1416</v>
      </c>
      <c r="I973" s="10">
        <f>4.4*2</f>
        <v>8.8000000000000007</v>
      </c>
      <c r="J973" s="43" t="e">
        <f t="array" aca="1" ref="J973" ca="1">_xludf.XLOOKUP(F973, analysis!A:A, analysis!I:I)</f>
        <v>#NAME?</v>
      </c>
      <c r="K973" s="10" t="e">
        <f t="array" aca="1" ref="K973" ca="1">_xludf.XLOOKUP(F973, analysis!A:A, analysis!J:J)</f>
        <v>#NAME?</v>
      </c>
      <c r="L973" s="10" t="e">
        <f t="shared" ca="1" si="52"/>
        <v>#NAME?</v>
      </c>
      <c r="M973" s="10" t="s">
        <v>1430</v>
      </c>
      <c r="N973" s="10">
        <f>(((I971*1.97*160)/0.63)+(2.5/60)*5773920+(3.5/60)*5773920)*10^-6*50</f>
        <v>32.299276190476192</v>
      </c>
    </row>
    <row r="974" spans="6:17" ht="13.2">
      <c r="F974" s="10" t="s">
        <v>1665</v>
      </c>
      <c r="G974" s="10" t="s">
        <v>1673</v>
      </c>
      <c r="H974" s="10" t="s">
        <v>1444</v>
      </c>
      <c r="I974" s="10">
        <v>175</v>
      </c>
      <c r="J974" s="43" t="e">
        <f t="array" aca="1" ref="J974" ca="1">_xludf.XLOOKUP(F974, analysis!A:A, analysis!I:I)</f>
        <v>#NAME?</v>
      </c>
      <c r="K974" s="10" t="e">
        <f t="array" aca="1" ref="K974" ca="1">_xludf.XLOOKUP(F974, analysis!A:A, analysis!J:J)</f>
        <v>#NAME?</v>
      </c>
      <c r="L974" s="10" t="e">
        <f t="shared" ca="1" si="52"/>
        <v>#NAME?</v>
      </c>
      <c r="M974" s="10" t="s">
        <v>1432</v>
      </c>
      <c r="N974" s="10">
        <f>((1.012*1.2923*10^-3*70000*180/0.63)/0.13+(10/60)*5773920)*(10^-6)*50</f>
        <v>58.17605846153846</v>
      </c>
    </row>
    <row r="975" spans="6:17" ht="13.2">
      <c r="F975" s="10" t="s">
        <v>1543</v>
      </c>
      <c r="G975" s="10" t="s">
        <v>1674</v>
      </c>
      <c r="H975" s="10">
        <v>0</v>
      </c>
      <c r="I975" s="10">
        <v>0</v>
      </c>
      <c r="J975" s="43" t="e">
        <f t="array" aca="1" ref="J975" ca="1">_xludf.XLOOKUP(F975, analysis!A:A, analysis!I:I)</f>
        <v>#NAME?</v>
      </c>
      <c r="K975" s="10" t="e">
        <f t="array" aca="1" ref="K975" ca="1">_xludf.XLOOKUP(F975, analysis!A:A, analysis!J:J)</f>
        <v>#NAME?</v>
      </c>
      <c r="L975" s="10" t="e">
        <f t="shared" ca="1" si="52"/>
        <v>#NAME?</v>
      </c>
      <c r="M975" s="10" t="s">
        <v>1433</v>
      </c>
    </row>
    <row r="976" spans="6:17" ht="13.2">
      <c r="F976" s="10" t="s">
        <v>1449</v>
      </c>
      <c r="G976" s="10" t="s">
        <v>734</v>
      </c>
      <c r="H976" s="10" t="s">
        <v>1422</v>
      </c>
      <c r="I976" s="10">
        <f>0.11*45</f>
        <v>4.95</v>
      </c>
      <c r="J976" s="43" t="e">
        <f t="array" aca="1" ref="J976" ca="1">_xludf.XLOOKUP(F976, analysis!A:A, analysis!I:I)</f>
        <v>#NAME?</v>
      </c>
      <c r="K976" s="10" t="e">
        <f t="array" aca="1" ref="K976" ca="1">_xludf.XLOOKUP(F976, analysis!A:A, analysis!J:J)</f>
        <v>#NAME?</v>
      </c>
      <c r="L976" s="10" t="e">
        <f t="shared" ca="1" si="52"/>
        <v>#NAME?</v>
      </c>
      <c r="M976" s="10" t="s">
        <v>1434</v>
      </c>
    </row>
    <row r="977" spans="6:17" ht="13.2">
      <c r="F977" s="10" t="s">
        <v>642</v>
      </c>
      <c r="G977" s="10">
        <v>2</v>
      </c>
      <c r="H977" s="10" t="s">
        <v>1416</v>
      </c>
      <c r="I977" s="10">
        <f>2*45</f>
        <v>90</v>
      </c>
      <c r="J977" s="43" t="e">
        <f t="array" aca="1" ref="J977" ca="1">_xludf.XLOOKUP(F977, analysis!A:A, analysis!I:I)</f>
        <v>#NAME?</v>
      </c>
      <c r="K977" s="10" t="e">
        <f t="array" aca="1" ref="K977" ca="1">_xludf.XLOOKUP(F977, analysis!A:A, analysis!J:J)</f>
        <v>#NAME?</v>
      </c>
      <c r="L977" s="10" t="e">
        <f t="shared" ca="1" si="52"/>
        <v>#NAME?</v>
      </c>
      <c r="M977" s="10" t="s">
        <v>1437</v>
      </c>
    </row>
    <row r="978" spans="6:17" ht="13.2">
      <c r="M978" s="10" t="s">
        <v>1474</v>
      </c>
    </row>
    <row r="979" spans="6:17" ht="13.2">
      <c r="M979" s="10" t="s">
        <v>1625</v>
      </c>
    </row>
    <row r="981" spans="6:17" ht="13.2">
      <c r="K981" s="20" t="s">
        <v>1441</v>
      </c>
      <c r="L981" s="37" t="e">
        <f ca="1">SUM(L967:L977)</f>
        <v>#NAME?</v>
      </c>
      <c r="M981" s="20" t="s">
        <v>1442</v>
      </c>
      <c r="N981" s="37">
        <f>SUM(N967:N979)</f>
        <v>535.00708068376071</v>
      </c>
    </row>
    <row r="983" spans="6:17" ht="13.2">
      <c r="F983" s="184" t="s">
        <v>876</v>
      </c>
      <c r="G983" s="180"/>
      <c r="H983" s="180"/>
      <c r="I983" s="180"/>
      <c r="J983" s="180"/>
      <c r="K983" s="180"/>
      <c r="L983" s="180"/>
      <c r="M983" s="180"/>
      <c r="N983" s="180"/>
      <c r="O983" s="180"/>
    </row>
    <row r="984" spans="6:17" ht="13.2">
      <c r="F984" s="10" t="s">
        <v>1408</v>
      </c>
      <c r="G984" s="10" t="s">
        <v>543</v>
      </c>
      <c r="H984" s="10" t="s">
        <v>1409</v>
      </c>
      <c r="I984" s="10" t="s">
        <v>1410</v>
      </c>
      <c r="J984" s="10" t="s">
        <v>1411</v>
      </c>
      <c r="K984" s="10" t="s">
        <v>1412</v>
      </c>
      <c r="L984" s="10" t="s">
        <v>1413</v>
      </c>
      <c r="M984" s="179" t="s">
        <v>1468</v>
      </c>
      <c r="N984" s="180"/>
      <c r="O984" s="10" t="s">
        <v>1415</v>
      </c>
    </row>
    <row r="985" spans="6:17" ht="13.2">
      <c r="F985" s="10" t="s">
        <v>1675</v>
      </c>
      <c r="G985" s="10" t="s">
        <v>1541</v>
      </c>
      <c r="H985" s="10" t="s">
        <v>1427</v>
      </c>
      <c r="I985" s="10">
        <v>1000</v>
      </c>
      <c r="J985" s="43" t="e">
        <f t="array" aca="1" ref="J985" ca="1">_xludf.XLOOKUP(F985, analysis!A:A, analysis!I:I)</f>
        <v>#NAME?</v>
      </c>
      <c r="K985" s="10" t="e">
        <f t="array" aca="1" ref="K985" ca="1">_xludf.XLOOKUP(F985, analysis!A:A, analysis!J:J)</f>
        <v>#NAME?</v>
      </c>
      <c r="L985" s="10" t="e">
        <f t="shared" ref="L985:L999" ca="1" si="53">K985*I985*J985/1000</f>
        <v>#NAME?</v>
      </c>
      <c r="M985" s="10" t="s">
        <v>1417</v>
      </c>
      <c r="P985" s="10" t="str">
        <f ca="1">IFERROR(__xludf.DUMMYFUNCTION("transpose(split(F985,CHAR(10)))"),"mussels")</f>
        <v>mussels</v>
      </c>
      <c r="Q985" s="10" t="str">
        <f ca="1">IFERROR(__xludf.DUMMYFUNCTION("transpose(split(G985,CHAR(10)))"),"1kg")</f>
        <v>1kg</v>
      </c>
    </row>
    <row r="986" spans="6:17" ht="13.2">
      <c r="F986" s="10" t="s">
        <v>709</v>
      </c>
      <c r="G986" s="10" t="s">
        <v>1559</v>
      </c>
      <c r="H986" s="10" t="s">
        <v>1444</v>
      </c>
      <c r="I986" s="10">
        <v>300</v>
      </c>
      <c r="J986" s="43" t="e">
        <f t="array" aca="1" ref="J986" ca="1">_xludf.XLOOKUP(F986, analysis!A:A, analysis!I:I)</f>
        <v>#NAME?</v>
      </c>
      <c r="K986" s="10" t="e">
        <f t="array" aca="1" ref="K986" ca="1">_xludf.XLOOKUP(F986, analysis!A:A, analysis!J:J)</f>
        <v>#NAME?</v>
      </c>
      <c r="L986" s="10" t="e">
        <f t="shared" ca="1" si="53"/>
        <v>#NAME?</v>
      </c>
      <c r="M986" s="10" t="s">
        <v>1420</v>
      </c>
    </row>
    <row r="987" spans="6:17" ht="13.2">
      <c r="F987" s="10" t="s">
        <v>1661</v>
      </c>
      <c r="G987" s="10" t="s">
        <v>1541</v>
      </c>
      <c r="H987" s="10" t="s">
        <v>1427</v>
      </c>
      <c r="I987" s="10">
        <v>1000</v>
      </c>
      <c r="J987" s="43" t="e">
        <f t="array" aca="1" ref="J987" ca="1">_xludf.XLOOKUP(F987, analysis!A:A, analysis!I:I)</f>
        <v>#NAME?</v>
      </c>
      <c r="K987" s="10" t="e">
        <f t="array" aca="1" ref="K987" ca="1">_xludf.XLOOKUP(F987, analysis!A:A, analysis!J:J)</f>
        <v>#NAME?</v>
      </c>
      <c r="L987" s="10" t="e">
        <f t="shared" ca="1" si="53"/>
        <v>#NAME?</v>
      </c>
      <c r="M987" s="10" t="s">
        <v>1423</v>
      </c>
    </row>
    <row r="988" spans="6:17" ht="13.2">
      <c r="F988" s="10" t="s">
        <v>1449</v>
      </c>
      <c r="G988" s="10" t="s">
        <v>1601</v>
      </c>
      <c r="H988" s="10" t="s">
        <v>1444</v>
      </c>
      <c r="I988" s="10">
        <v>25</v>
      </c>
      <c r="J988" s="43" t="e">
        <f t="array" aca="1" ref="J988" ca="1">_xludf.XLOOKUP(F988, analysis!A:A, analysis!I:I)</f>
        <v>#NAME?</v>
      </c>
      <c r="K988" s="10" t="e">
        <f t="array" aca="1" ref="K988" ca="1">_xludf.XLOOKUP(F988, analysis!A:A, analysis!J:J)</f>
        <v>#NAME?</v>
      </c>
      <c r="L988" s="10" t="e">
        <f t="shared" ca="1" si="53"/>
        <v>#NAME?</v>
      </c>
      <c r="M988" s="10" t="s">
        <v>1425</v>
      </c>
      <c r="N988" s="10">
        <f>(2250*4.2*80/0.63+(60/60)*5773920+(5/60)*5773920+(5/60)*5773920)*(10^-6)*50</f>
        <v>396.81200000000001</v>
      </c>
    </row>
    <row r="989" spans="6:17" ht="13.2">
      <c r="F989" s="10" t="s">
        <v>1635</v>
      </c>
      <c r="G989" s="10" t="s">
        <v>1601</v>
      </c>
      <c r="H989" s="10" t="s">
        <v>1444</v>
      </c>
      <c r="I989" s="10">
        <v>25</v>
      </c>
      <c r="J989" s="43" t="e">
        <f t="array" aca="1" ref="J989" ca="1">_xludf.XLOOKUP(F989, analysis!A:A, analysis!I:I)</f>
        <v>#NAME?</v>
      </c>
      <c r="K989" s="10" t="e">
        <f t="array" aca="1" ref="K989" ca="1">_xludf.XLOOKUP(F989, analysis!A:A, analysis!J:J)</f>
        <v>#NAME?</v>
      </c>
      <c r="L989" s="10" t="e">
        <f t="shared" ca="1" si="53"/>
        <v>#NAME?</v>
      </c>
      <c r="M989" s="10" t="s">
        <v>1428</v>
      </c>
    </row>
    <row r="990" spans="6:17" ht="13.2">
      <c r="F990" s="10" t="s">
        <v>711</v>
      </c>
      <c r="G990" s="10">
        <v>1</v>
      </c>
      <c r="H990" s="10" t="s">
        <v>1416</v>
      </c>
      <c r="I990" s="10">
        <v>0.25</v>
      </c>
      <c r="J990" s="43" t="e">
        <f t="array" aca="1" ref="J990" ca="1">_xludf.XLOOKUP(F990, analysis!A:A, analysis!I:I)</f>
        <v>#NAME?</v>
      </c>
      <c r="K990" s="10" t="e">
        <f t="array" aca="1" ref="K990" ca="1">_xludf.XLOOKUP(F990, analysis!A:A, analysis!J:J)</f>
        <v>#NAME?</v>
      </c>
      <c r="L990" s="10" t="e">
        <f t="shared" ca="1" si="53"/>
        <v>#NAME?</v>
      </c>
      <c r="M990" s="10" t="s">
        <v>1429</v>
      </c>
    </row>
    <row r="991" spans="6:17" ht="13.2">
      <c r="F991" s="10" t="s">
        <v>658</v>
      </c>
      <c r="G991" s="10" t="s">
        <v>753</v>
      </c>
      <c r="H991" s="10" t="s">
        <v>1444</v>
      </c>
      <c r="I991" s="10">
        <v>400</v>
      </c>
      <c r="J991" s="43" t="e">
        <f t="array" aca="1" ref="J991" ca="1">_xludf.XLOOKUP(F991, analysis!A:A, analysis!I:I)</f>
        <v>#NAME?</v>
      </c>
      <c r="K991" s="10" t="e">
        <f t="array" aca="1" ref="K991" ca="1">_xludf.XLOOKUP(F991, analysis!A:A, analysis!J:J)</f>
        <v>#NAME?</v>
      </c>
      <c r="L991" s="10" t="e">
        <f t="shared" ca="1" si="53"/>
        <v>#NAME?</v>
      </c>
      <c r="M991" s="10" t="s">
        <v>1430</v>
      </c>
      <c r="N991" s="10">
        <f>(((I995*1.97*160)/0.63)+(5/60)*5773920)*10^-6*50</f>
        <v>24.74393523809524</v>
      </c>
    </row>
    <row r="992" spans="6:17" ht="13.2">
      <c r="F992" s="10" t="s">
        <v>1457</v>
      </c>
      <c r="G992" s="10">
        <v>6</v>
      </c>
      <c r="H992" s="10" t="s">
        <v>1416</v>
      </c>
      <c r="I992" s="10">
        <f>6*6.2</f>
        <v>37.200000000000003</v>
      </c>
      <c r="J992" s="43" t="e">
        <f t="array" aca="1" ref="J992" ca="1">_xludf.XLOOKUP(F992, analysis!A:A, analysis!I:I)</f>
        <v>#NAME?</v>
      </c>
      <c r="K992" s="10" t="e">
        <f t="array" aca="1" ref="K992" ca="1">_xludf.XLOOKUP(F992, analysis!A:A, analysis!J:J)</f>
        <v>#NAME?</v>
      </c>
      <c r="L992" s="10" t="e">
        <f t="shared" ca="1" si="53"/>
        <v>#NAME?</v>
      </c>
      <c r="M992" s="10" t="s">
        <v>1432</v>
      </c>
    </row>
    <row r="993" spans="6:17" ht="13.2">
      <c r="F993" s="10" t="s">
        <v>1676</v>
      </c>
      <c r="G993" s="10" t="s">
        <v>738</v>
      </c>
      <c r="H993" s="10" t="s">
        <v>1422</v>
      </c>
      <c r="I993" s="10">
        <f>0.3405*5</f>
        <v>1.7025000000000001</v>
      </c>
      <c r="J993" s="43" t="e">
        <f t="array" aca="1" ref="J993" ca="1">_xludf.XLOOKUP(F993, analysis!A:A, analysis!I:I)</f>
        <v>#NAME?</v>
      </c>
      <c r="K993" s="10" t="e">
        <f t="array" aca="1" ref="K993" ca="1">_xludf.XLOOKUP(F993, analysis!A:A, analysis!J:J)</f>
        <v>#NAME?</v>
      </c>
      <c r="L993" s="10" t="e">
        <f t="shared" ca="1" si="53"/>
        <v>#NAME?</v>
      </c>
      <c r="M993" s="10" t="s">
        <v>1433</v>
      </c>
    </row>
    <row r="994" spans="6:17" ht="13.2">
      <c r="F994" s="10" t="s">
        <v>737</v>
      </c>
      <c r="G994" s="10">
        <v>2</v>
      </c>
      <c r="H994" s="10" t="s">
        <v>1416</v>
      </c>
      <c r="I994" s="10">
        <f>4.4*2</f>
        <v>8.8000000000000007</v>
      </c>
      <c r="J994" s="43" t="e">
        <f t="array" aca="1" ref="J994" ca="1">_xludf.XLOOKUP(F994, analysis!A:A, analysis!I:I)</f>
        <v>#NAME?</v>
      </c>
      <c r="K994" s="10" t="e">
        <f t="array" aca="1" ref="K994" ca="1">_xludf.XLOOKUP(F994, analysis!A:A, analysis!J:J)</f>
        <v>#NAME?</v>
      </c>
      <c r="L994" s="10" t="e">
        <f t="shared" ca="1" si="53"/>
        <v>#NAME?</v>
      </c>
      <c r="M994" s="10" t="s">
        <v>1434</v>
      </c>
    </row>
    <row r="995" spans="6:17" ht="13.2">
      <c r="F995" s="10" t="s">
        <v>1421</v>
      </c>
      <c r="G995" s="10" t="s">
        <v>1506</v>
      </c>
      <c r="H995" s="10" t="s">
        <v>1422</v>
      </c>
      <c r="I995" s="10">
        <f>0.914*30</f>
        <v>27.42</v>
      </c>
      <c r="J995" s="43" t="e">
        <f t="array" aca="1" ref="J995" ca="1">_xludf.XLOOKUP(F995, analysis!A:A, analysis!I:I)</f>
        <v>#NAME?</v>
      </c>
      <c r="K995" s="10" t="e">
        <f t="array" aca="1" ref="K995" ca="1">_xludf.XLOOKUP(F995, analysis!A:A, analysis!J:J)</f>
        <v>#NAME?</v>
      </c>
      <c r="L995" s="10" t="e">
        <f t="shared" ca="1" si="53"/>
        <v>#NAME?</v>
      </c>
      <c r="M995" s="10" t="s">
        <v>1437</v>
      </c>
    </row>
    <row r="996" spans="6:17" ht="13.2">
      <c r="F996" s="10" t="s">
        <v>1677</v>
      </c>
      <c r="G996" s="10" t="s">
        <v>1559</v>
      </c>
      <c r="H996" s="10" t="s">
        <v>1444</v>
      </c>
      <c r="I996" s="10">
        <v>300</v>
      </c>
      <c r="J996" s="43" t="e">
        <f t="array" aca="1" ref="J996" ca="1">_xludf.XLOOKUP(F996, analysis!A:A, analysis!I:I)</f>
        <v>#NAME?</v>
      </c>
      <c r="K996" s="10" t="e">
        <f t="array" aca="1" ref="K996" ca="1">_xludf.XLOOKUP(F996, analysis!A:A, analysis!J:J)</f>
        <v>#NAME?</v>
      </c>
      <c r="L996" s="10" t="e">
        <f t="shared" ca="1" si="53"/>
        <v>#NAME?</v>
      </c>
      <c r="M996" s="10" t="s">
        <v>1474</v>
      </c>
    </row>
    <row r="997" spans="6:17" ht="13.2">
      <c r="F997" s="10" t="s">
        <v>1678</v>
      </c>
      <c r="G997" s="10" t="s">
        <v>1559</v>
      </c>
      <c r="H997" s="10" t="s">
        <v>1444</v>
      </c>
      <c r="I997" s="10">
        <v>300</v>
      </c>
      <c r="J997" s="43" t="e">
        <f t="array" aca="1" ref="J997" ca="1">_xludf.XLOOKUP(F997, analysis!A:A, analysis!I:I)</f>
        <v>#NAME?</v>
      </c>
      <c r="K997" s="10" t="e">
        <f t="array" aca="1" ref="K997" ca="1">_xludf.XLOOKUP(F997, analysis!A:A, analysis!J:J)</f>
        <v>#NAME?</v>
      </c>
      <c r="L997" s="10" t="e">
        <f t="shared" ca="1" si="53"/>
        <v>#NAME?</v>
      </c>
      <c r="M997" s="10" t="s">
        <v>1625</v>
      </c>
    </row>
    <row r="998" spans="6:17" ht="13.2">
      <c r="F998" s="10" t="s">
        <v>646</v>
      </c>
      <c r="G998" s="10" t="s">
        <v>1439</v>
      </c>
      <c r="H998" s="10">
        <v>0</v>
      </c>
      <c r="I998" s="10">
        <v>0</v>
      </c>
      <c r="J998" s="43" t="e">
        <f t="array" aca="1" ref="J998" ca="1">_xludf.XLOOKUP(F998, analysis!A:A, analysis!I:I)</f>
        <v>#NAME?</v>
      </c>
      <c r="K998" s="10" t="e">
        <f t="array" aca="1" ref="K998" ca="1">_xludf.XLOOKUP(F998, analysis!A:A, analysis!J:J)</f>
        <v>#NAME?</v>
      </c>
      <c r="L998" s="10" t="e">
        <f t="shared" ca="1" si="53"/>
        <v>#NAME?</v>
      </c>
    </row>
    <row r="999" spans="6:17" ht="13.2">
      <c r="F999" s="10" t="s">
        <v>1440</v>
      </c>
      <c r="G999" s="10" t="s">
        <v>1439</v>
      </c>
      <c r="H999" s="10">
        <v>0</v>
      </c>
      <c r="I999" s="10">
        <v>0</v>
      </c>
      <c r="J999" s="43" t="e">
        <f t="array" aca="1" ref="J999" ca="1">_xludf.XLOOKUP(F999, analysis!A:A, analysis!I:I)</f>
        <v>#NAME?</v>
      </c>
      <c r="K999" s="10" t="e">
        <f t="array" aca="1" ref="K999" ca="1">_xludf.XLOOKUP(F999, analysis!A:A, analysis!J:J)</f>
        <v>#NAME?</v>
      </c>
      <c r="L999" s="10" t="e">
        <f t="shared" ca="1" si="53"/>
        <v>#NAME?</v>
      </c>
    </row>
    <row r="1001" spans="6:17" ht="13.2">
      <c r="K1001" s="20" t="s">
        <v>1441</v>
      </c>
      <c r="L1001" s="37" t="e">
        <f ca="1">SUM(L985:L999)</f>
        <v>#NAME?</v>
      </c>
      <c r="M1001" s="20" t="s">
        <v>1442</v>
      </c>
      <c r="N1001" s="37">
        <f>SUM(N985:N997)</f>
        <v>421.55593523809523</v>
      </c>
    </row>
    <row r="1002" spans="6:17" ht="13.2">
      <c r="K1002" s="20"/>
      <c r="L1002" s="37"/>
      <c r="M1002" s="20"/>
      <c r="N1002" s="37"/>
    </row>
    <row r="1003" spans="6:17" ht="13.2">
      <c r="F1003" s="184" t="s">
        <v>1249</v>
      </c>
      <c r="G1003" s="180"/>
      <c r="H1003" s="180"/>
      <c r="I1003" s="180"/>
      <c r="J1003" s="180"/>
      <c r="K1003" s="180"/>
      <c r="L1003" s="180"/>
      <c r="M1003" s="180"/>
      <c r="N1003" s="180"/>
      <c r="O1003" s="180"/>
    </row>
    <row r="1004" spans="6:17" ht="13.2">
      <c r="F1004" s="10" t="s">
        <v>1408</v>
      </c>
      <c r="G1004" s="10" t="s">
        <v>543</v>
      </c>
      <c r="H1004" s="10" t="s">
        <v>1409</v>
      </c>
      <c r="I1004" s="10" t="s">
        <v>1410</v>
      </c>
      <c r="J1004" s="10" t="s">
        <v>1411</v>
      </c>
      <c r="K1004" s="10" t="s">
        <v>1412</v>
      </c>
      <c r="L1004" s="10" t="s">
        <v>1413</v>
      </c>
      <c r="M1004" s="179" t="s">
        <v>1468</v>
      </c>
      <c r="N1004" s="180"/>
      <c r="O1004" s="10" t="s">
        <v>1415</v>
      </c>
    </row>
    <row r="1005" spans="6:17" ht="13.2">
      <c r="F1005" s="10" t="s">
        <v>1463</v>
      </c>
      <c r="G1005" s="10" t="s">
        <v>1679</v>
      </c>
      <c r="H1005" s="10" t="s">
        <v>1444</v>
      </c>
      <c r="I1005" s="10">
        <v>375</v>
      </c>
      <c r="J1005" s="43" t="e">
        <f t="array" aca="1" ref="J1005" ca="1">_xludf.XLOOKUP(F1005, analysis!A:A, analysis!I:I)</f>
        <v>#NAME?</v>
      </c>
      <c r="K1005" s="10" t="e">
        <f t="array" aca="1" ref="K1005" ca="1">_xludf.XLOOKUP(F1005, analysis!A:A, analysis!J:J)</f>
        <v>#NAME?</v>
      </c>
      <c r="L1005" s="10" t="e">
        <f t="shared" ref="L1005:L1020" ca="1" si="54">K1005*I1005*J1005/1000</f>
        <v>#NAME?</v>
      </c>
      <c r="M1005" s="10" t="s">
        <v>1417</v>
      </c>
      <c r="P1005" s="10" t="str">
        <f ca="1">IFERROR(__xludf.DUMMYFUNCTION("transpose(split(F1005,CHAR(10)))"),"plain flour")</f>
        <v>plain flour</v>
      </c>
      <c r="Q1005" s="10" t="str">
        <f ca="1">IFERROR(__xludf.DUMMYFUNCTION("transpose(split(G1005,CHAR(10)))"),"375g")</f>
        <v>375g</v>
      </c>
    </row>
    <row r="1006" spans="6:17" ht="13.2">
      <c r="F1006" s="10" t="s">
        <v>646</v>
      </c>
      <c r="G1006" s="10" t="s">
        <v>1680</v>
      </c>
      <c r="H1006" s="10" t="s">
        <v>1444</v>
      </c>
      <c r="I1006" s="10">
        <v>18</v>
      </c>
      <c r="J1006" s="43" t="e">
        <f t="array" aca="1" ref="J1006" ca="1">_xludf.XLOOKUP(F1006, analysis!A:A, analysis!I:I)</f>
        <v>#NAME?</v>
      </c>
      <c r="K1006" s="10" t="e">
        <f t="array" aca="1" ref="K1006" ca="1">_xludf.XLOOKUP(F1006, analysis!A:A, analysis!J:J)</f>
        <v>#NAME?</v>
      </c>
      <c r="L1006" s="10" t="e">
        <f t="shared" ca="1" si="54"/>
        <v>#NAME?</v>
      </c>
      <c r="M1006" s="10" t="s">
        <v>1420</v>
      </c>
      <c r="N1006" s="37"/>
    </row>
    <row r="1007" spans="6:17" ht="13.2">
      <c r="F1007" s="10" t="s">
        <v>653</v>
      </c>
      <c r="G1007" s="10" t="s">
        <v>1492</v>
      </c>
      <c r="H1007" s="10" t="s">
        <v>1422</v>
      </c>
      <c r="I1007" s="10">
        <v>240</v>
      </c>
      <c r="J1007" s="43" t="e">
        <f t="array" aca="1" ref="J1007" ca="1">_xludf.XLOOKUP(F1007, analysis!A:A, analysis!I:I)</f>
        <v>#NAME?</v>
      </c>
      <c r="K1007" s="10" t="e">
        <f t="array" aca="1" ref="K1007" ca="1">_xludf.XLOOKUP(F1007, analysis!A:A, analysis!J:J)</f>
        <v>#NAME?</v>
      </c>
      <c r="L1007" s="10" t="e">
        <f t="shared" ca="1" si="54"/>
        <v>#NAME?</v>
      </c>
      <c r="M1007" s="10" t="s">
        <v>1423</v>
      </c>
      <c r="N1007" s="37"/>
    </row>
    <row r="1008" spans="6:17" ht="13.2">
      <c r="F1008" s="10" t="s">
        <v>733</v>
      </c>
      <c r="G1008" s="10" t="s">
        <v>746</v>
      </c>
      <c r="H1008" s="10" t="s">
        <v>1422</v>
      </c>
      <c r="I1008" s="10">
        <f>0.927*15</f>
        <v>13.905000000000001</v>
      </c>
      <c r="J1008" s="43" t="e">
        <f t="array" aca="1" ref="J1008" ca="1">_xludf.XLOOKUP(F1008, analysis!A:A, analysis!I:I)</f>
        <v>#NAME?</v>
      </c>
      <c r="K1008" s="10" t="e">
        <f t="array" aca="1" ref="K1008" ca="1">_xludf.XLOOKUP(F1008, analysis!A:A, analysis!J:J)</f>
        <v>#NAME?</v>
      </c>
      <c r="L1008" s="10" t="e">
        <f t="shared" ca="1" si="54"/>
        <v>#NAME?</v>
      </c>
      <c r="M1008" s="10" t="s">
        <v>1425</v>
      </c>
      <c r="N1008" s="10">
        <f>(2/3*4700*4.2*80/0.63+(2.5/60)*5773920)*(10^-6)*50</f>
        <v>95.584555555555553</v>
      </c>
    </row>
    <row r="1009" spans="6:15" ht="13.2">
      <c r="F1009" s="10" t="s">
        <v>1448</v>
      </c>
      <c r="G1009" s="10" t="s">
        <v>746</v>
      </c>
      <c r="H1009" s="10" t="s">
        <v>1422</v>
      </c>
      <c r="I1009" s="10">
        <f>1.01*15</f>
        <v>15.15</v>
      </c>
      <c r="J1009" s="43" t="e">
        <f t="array" aca="1" ref="J1009" ca="1">_xludf.XLOOKUP(F1009, analysis!A:A, analysis!I:I)</f>
        <v>#NAME?</v>
      </c>
      <c r="K1009" s="10" t="e">
        <f t="array" aca="1" ref="K1009" ca="1">_xludf.XLOOKUP(F1009, analysis!A:A, analysis!J:J)</f>
        <v>#NAME?</v>
      </c>
      <c r="L1009" s="10" t="e">
        <f t="shared" ca="1" si="54"/>
        <v>#NAME?</v>
      </c>
      <c r="M1009" s="10" t="s">
        <v>1428</v>
      </c>
      <c r="N1009" s="37"/>
    </row>
    <row r="1010" spans="6:15" ht="13.2">
      <c r="F1010" s="10" t="s">
        <v>1551</v>
      </c>
      <c r="G1010" s="10" t="s">
        <v>746</v>
      </c>
      <c r="H1010" s="10" t="s">
        <v>1422</v>
      </c>
      <c r="I1010" s="10">
        <f>0.95*15</f>
        <v>14.25</v>
      </c>
      <c r="J1010" s="43" t="e">
        <f t="array" aca="1" ref="J1010" ca="1">_xludf.XLOOKUP(F1010, analysis!A:A, analysis!I:I)</f>
        <v>#NAME?</v>
      </c>
      <c r="K1010" s="10" t="e">
        <f t="array" aca="1" ref="K1010" ca="1">_xludf.XLOOKUP(F1010, analysis!A:A, analysis!J:J)</f>
        <v>#NAME?</v>
      </c>
      <c r="L1010" s="10" t="e">
        <f t="shared" ca="1" si="54"/>
        <v>#NAME?</v>
      </c>
      <c r="M1010" s="10" t="s">
        <v>1429</v>
      </c>
      <c r="N1010" s="10">
        <f>((12^2*PI()*8*0.927*1.96*160/0.63)+(4/60)*5773920)*(10^-6)*50</f>
        <v>102.7466152105745</v>
      </c>
    </row>
    <row r="1011" spans="6:15" ht="13.2">
      <c r="F1011" s="10" t="s">
        <v>733</v>
      </c>
      <c r="G1011" s="10" t="s">
        <v>1439</v>
      </c>
      <c r="H1011" s="10">
        <v>0</v>
      </c>
      <c r="I1011" s="10">
        <v>0</v>
      </c>
      <c r="J1011" s="43" t="e">
        <f t="array" aca="1" ref="J1011" ca="1">_xludf.XLOOKUP(F1011, analysis!A:A, analysis!I:I)</f>
        <v>#NAME?</v>
      </c>
      <c r="K1011" s="10" t="e">
        <f t="array" aca="1" ref="K1011" ca="1">_xludf.XLOOKUP(F1011, analysis!A:A, analysis!J:J)</f>
        <v>#NAME?</v>
      </c>
      <c r="L1011" s="10" t="e">
        <f t="shared" ca="1" si="54"/>
        <v>#NAME?</v>
      </c>
      <c r="M1011" s="10" t="s">
        <v>1430</v>
      </c>
      <c r="N1011" s="10">
        <f>(((I1008*1.96*160)/0.63)+(2.5/60)*5773920+(4/60)*5773920+(0.5/60)*5773920+(7.5/60)*5773920)*10^-6*50</f>
        <v>70.114280000000008</v>
      </c>
    </row>
    <row r="1012" spans="6:15" ht="13.2">
      <c r="F1012" s="10" t="s">
        <v>1663</v>
      </c>
      <c r="G1012" s="10" t="s">
        <v>1479</v>
      </c>
      <c r="H1012" s="10" t="s">
        <v>1444</v>
      </c>
      <c r="I1012" s="10">
        <v>454</v>
      </c>
      <c r="J1012" s="43" t="e">
        <f t="array" aca="1" ref="J1012" ca="1">_xludf.XLOOKUP(F1012, analysis!A:A, analysis!I:I)</f>
        <v>#NAME?</v>
      </c>
      <c r="K1012" s="10" t="e">
        <f t="array" aca="1" ref="K1012" ca="1">_xludf.XLOOKUP(F1012, analysis!A:A, analysis!J:J)</f>
        <v>#NAME?</v>
      </c>
      <c r="L1012" s="10" t="e">
        <f t="shared" ca="1" si="54"/>
        <v>#NAME?</v>
      </c>
      <c r="M1012" s="10" t="s">
        <v>1432</v>
      </c>
      <c r="N1012" s="37"/>
    </row>
    <row r="1013" spans="6:15" ht="13.2">
      <c r="F1013" s="10" t="s">
        <v>1421</v>
      </c>
      <c r="G1013" s="10" t="s">
        <v>1596</v>
      </c>
      <c r="H1013" s="10" t="s">
        <v>1422</v>
      </c>
      <c r="I1013" s="10">
        <f>0.914*60</f>
        <v>54.84</v>
      </c>
      <c r="J1013" s="43" t="e">
        <f t="array" aca="1" ref="J1013" ca="1">_xludf.XLOOKUP(F1013, analysis!A:A, analysis!I:I)</f>
        <v>#NAME?</v>
      </c>
      <c r="K1013" s="10" t="e">
        <f t="array" aca="1" ref="K1013" ca="1">_xludf.XLOOKUP(F1013, analysis!A:A, analysis!J:J)</f>
        <v>#NAME?</v>
      </c>
      <c r="L1013" s="10" t="e">
        <f t="shared" ca="1" si="54"/>
        <v>#NAME?</v>
      </c>
      <c r="M1013" s="10" t="s">
        <v>1433</v>
      </c>
      <c r="N1013" s="37"/>
    </row>
    <row r="1014" spans="6:15" ht="13.2">
      <c r="F1014" s="10" t="s">
        <v>651</v>
      </c>
      <c r="G1014" s="10">
        <v>1</v>
      </c>
      <c r="H1014" s="10" t="s">
        <v>1416</v>
      </c>
      <c r="I1014" s="10">
        <v>70</v>
      </c>
      <c r="J1014" s="43" t="e">
        <f t="array" aca="1" ref="J1014" ca="1">_xludf.XLOOKUP(F1014, analysis!A:A, analysis!I:I)</f>
        <v>#NAME?</v>
      </c>
      <c r="K1014" s="10" t="e">
        <f t="array" aca="1" ref="K1014" ca="1">_xludf.XLOOKUP(F1014, analysis!A:A, analysis!J:J)</f>
        <v>#NAME?</v>
      </c>
      <c r="L1014" s="10" t="e">
        <f t="shared" ca="1" si="54"/>
        <v>#NAME?</v>
      </c>
      <c r="M1014" s="10" t="s">
        <v>1434</v>
      </c>
      <c r="N1014" s="37"/>
    </row>
    <row r="1015" spans="6:15" ht="13.2">
      <c r="F1015" s="10" t="s">
        <v>658</v>
      </c>
      <c r="G1015" s="10">
        <v>2</v>
      </c>
      <c r="H1015" s="10" t="s">
        <v>1416</v>
      </c>
      <c r="I1015" s="10">
        <v>100</v>
      </c>
      <c r="J1015" s="43" t="e">
        <f t="array" aca="1" ref="J1015" ca="1">_xludf.XLOOKUP(F1015, analysis!A:A, analysis!I:I)</f>
        <v>#NAME?</v>
      </c>
      <c r="K1015" s="10" t="e">
        <f t="array" aca="1" ref="K1015" ca="1">_xludf.XLOOKUP(F1015, analysis!A:A, analysis!J:J)</f>
        <v>#NAME?</v>
      </c>
      <c r="L1015" s="10" t="e">
        <f t="shared" ca="1" si="54"/>
        <v>#NAME?</v>
      </c>
      <c r="M1015" s="10" t="s">
        <v>1437</v>
      </c>
      <c r="N1015" s="37"/>
    </row>
    <row r="1016" spans="6:15" ht="13.2">
      <c r="F1016" s="10" t="s">
        <v>737</v>
      </c>
      <c r="G1016" s="10">
        <v>2</v>
      </c>
      <c r="H1016" s="10" t="s">
        <v>1416</v>
      </c>
      <c r="I1016" s="10">
        <v>4.4000000000000004</v>
      </c>
      <c r="J1016" s="43" t="e">
        <f t="array" aca="1" ref="J1016" ca="1">_xludf.XLOOKUP(F1016, analysis!A:A, analysis!I:I)</f>
        <v>#NAME?</v>
      </c>
      <c r="K1016" s="10" t="e">
        <f t="array" aca="1" ref="K1016" ca="1">_xludf.XLOOKUP(F1016, analysis!A:A, analysis!J:J)</f>
        <v>#NAME?</v>
      </c>
      <c r="L1016" s="10" t="e">
        <f t="shared" ca="1" si="54"/>
        <v>#NAME?</v>
      </c>
      <c r="M1016" s="10" t="s">
        <v>1474</v>
      </c>
      <c r="N1016" s="37"/>
    </row>
    <row r="1017" spans="6:15" ht="13.2">
      <c r="F1017" s="10" t="s">
        <v>1554</v>
      </c>
      <c r="G1017" s="10" t="s">
        <v>1659</v>
      </c>
      <c r="H1017" s="10" t="s">
        <v>1444</v>
      </c>
      <c r="I1017" s="10">
        <v>90</v>
      </c>
      <c r="J1017" s="43" t="e">
        <f t="array" aca="1" ref="J1017" ca="1">_xludf.XLOOKUP(F1017, analysis!A:A, analysis!I:I)</f>
        <v>#NAME?</v>
      </c>
      <c r="K1017" s="10" t="e">
        <f t="array" aca="1" ref="K1017" ca="1">_xludf.XLOOKUP(F1017, analysis!A:A, analysis!J:J)</f>
        <v>#NAME?</v>
      </c>
      <c r="L1017" s="10" t="e">
        <f t="shared" ca="1" si="54"/>
        <v>#NAME?</v>
      </c>
      <c r="M1017" s="10" t="s">
        <v>1625</v>
      </c>
      <c r="N1017" s="37"/>
    </row>
    <row r="1018" spans="6:15" ht="13.2">
      <c r="F1018" s="10" t="s">
        <v>653</v>
      </c>
      <c r="G1018" s="10" t="s">
        <v>1506</v>
      </c>
      <c r="H1018" s="10" t="s">
        <v>1422</v>
      </c>
      <c r="I1018" s="10">
        <v>30</v>
      </c>
      <c r="J1018" s="43" t="e">
        <f t="array" aca="1" ref="J1018" ca="1">_xludf.XLOOKUP(F1018, analysis!A:A, analysis!I:I)</f>
        <v>#NAME?</v>
      </c>
      <c r="K1018" s="10" t="e">
        <f t="array" aca="1" ref="K1018" ca="1">_xludf.XLOOKUP(F1018, analysis!A:A, analysis!J:J)</f>
        <v>#NAME?</v>
      </c>
      <c r="L1018" s="10" t="e">
        <f t="shared" ca="1" si="54"/>
        <v>#NAME?</v>
      </c>
      <c r="M1018" s="20"/>
      <c r="N1018" s="37"/>
    </row>
    <row r="1019" spans="6:15" ht="13.2">
      <c r="F1019" s="10" t="s">
        <v>1463</v>
      </c>
      <c r="G1019" s="10" t="s">
        <v>1505</v>
      </c>
      <c r="H1019" s="10" t="s">
        <v>1444</v>
      </c>
      <c r="I1019" s="10">
        <v>8</v>
      </c>
      <c r="J1019" s="43" t="e">
        <f t="array" aca="1" ref="J1019" ca="1">_xludf.XLOOKUP(F1019, analysis!A:A, analysis!I:I)</f>
        <v>#NAME?</v>
      </c>
      <c r="K1019" s="10" t="e">
        <f t="array" aca="1" ref="K1019" ca="1">_xludf.XLOOKUP(F1019, analysis!A:A, analysis!J:J)</f>
        <v>#NAME?</v>
      </c>
      <c r="L1019" s="10" t="e">
        <f t="shared" ca="1" si="54"/>
        <v>#NAME?</v>
      </c>
      <c r="M1019" s="20"/>
      <c r="N1019" s="37"/>
    </row>
    <row r="1020" spans="6:15" ht="13.2">
      <c r="F1020" s="10" t="s">
        <v>1449</v>
      </c>
      <c r="G1020" s="10" t="s">
        <v>1505</v>
      </c>
      <c r="H1020" s="10" t="s">
        <v>1444</v>
      </c>
      <c r="I1020" s="10">
        <v>8</v>
      </c>
      <c r="J1020" s="43" t="e">
        <f t="array" aca="1" ref="J1020" ca="1">_xludf.XLOOKUP(F1020, analysis!A:A, analysis!I:I)</f>
        <v>#NAME?</v>
      </c>
      <c r="K1020" s="10" t="e">
        <f t="array" aca="1" ref="K1020" ca="1">_xludf.XLOOKUP(F1020, analysis!A:A, analysis!J:J)</f>
        <v>#NAME?</v>
      </c>
      <c r="L1020" s="10" t="e">
        <f t="shared" ca="1" si="54"/>
        <v>#NAME?</v>
      </c>
      <c r="M1020" s="20"/>
      <c r="N1020" s="37"/>
    </row>
    <row r="1021" spans="6:15" ht="13.2">
      <c r="K1021" s="20"/>
      <c r="L1021" s="37"/>
      <c r="M1021" s="20"/>
      <c r="N1021" s="37"/>
    </row>
    <row r="1022" spans="6:15" ht="13.2">
      <c r="K1022" s="20" t="s">
        <v>1441</v>
      </c>
      <c r="L1022" s="37" t="e">
        <f ca="1">SUM(L1006:L1020)</f>
        <v>#NAME?</v>
      </c>
      <c r="M1022" s="20" t="s">
        <v>1442</v>
      </c>
      <c r="N1022" s="37">
        <f>SUM(N1006:N1018)</f>
        <v>268.44545076613008</v>
      </c>
    </row>
    <row r="1023" spans="6:15" ht="13.2">
      <c r="K1023" s="20"/>
      <c r="L1023" s="37"/>
      <c r="M1023" s="20"/>
      <c r="N1023" s="37"/>
    </row>
    <row r="1024" spans="6:15" ht="13.2">
      <c r="F1024" s="187" t="s">
        <v>776</v>
      </c>
      <c r="G1024" s="180"/>
      <c r="H1024" s="180"/>
      <c r="I1024" s="180"/>
      <c r="J1024" s="180"/>
      <c r="K1024" s="180"/>
      <c r="L1024" s="180"/>
      <c r="M1024" s="180"/>
      <c r="N1024" s="180"/>
      <c r="O1024" s="180"/>
    </row>
    <row r="1025" spans="6:17" ht="13.2">
      <c r="F1025" s="10" t="s">
        <v>1408</v>
      </c>
      <c r="G1025" s="10" t="s">
        <v>543</v>
      </c>
      <c r="H1025" s="10" t="s">
        <v>1409</v>
      </c>
      <c r="I1025" s="10" t="s">
        <v>1410</v>
      </c>
      <c r="J1025" s="10" t="s">
        <v>1411</v>
      </c>
      <c r="K1025" s="10" t="s">
        <v>1412</v>
      </c>
      <c r="L1025" s="10" t="s">
        <v>1413</v>
      </c>
      <c r="M1025" s="179" t="s">
        <v>1468</v>
      </c>
      <c r="N1025" s="180"/>
      <c r="O1025" s="10" t="s">
        <v>1415</v>
      </c>
    </row>
    <row r="1026" spans="6:17" ht="13.2">
      <c r="F1026" s="10" t="s">
        <v>1663</v>
      </c>
      <c r="G1026" s="10" t="s">
        <v>721</v>
      </c>
      <c r="H1026" s="10" t="s">
        <v>1444</v>
      </c>
      <c r="I1026" s="10">
        <v>450</v>
      </c>
      <c r="J1026" s="43" t="e">
        <f t="array" aca="1" ref="J1026" ca="1">_xludf.XLOOKUP(F1026, analysis!A:A, analysis!I:I)</f>
        <v>#NAME?</v>
      </c>
      <c r="K1026" s="10" t="e">
        <f t="array" aca="1" ref="K1026" ca="1">_xludf.XLOOKUP(F1026, analysis!A:A, analysis!J:J)</f>
        <v>#NAME?</v>
      </c>
      <c r="L1026" s="10" t="e">
        <f t="shared" ref="L1026:L1033" ca="1" si="55">K1026*I1026*J1026/1000</f>
        <v>#NAME?</v>
      </c>
      <c r="M1026" s="10" t="s">
        <v>1417</v>
      </c>
      <c r="P1026" s="10" t="str">
        <f ca="1">IFERROR(__xludf.DUMMYFUNCTION("transpose(split(F1026,CHAR(10)))"),"salt cod")</f>
        <v>salt cod</v>
      </c>
      <c r="Q1026" s="10" t="str">
        <f ca="1">IFERROR(__xludf.DUMMYFUNCTION("transpose(split(G1026,CHAR(10)))"),"450g")</f>
        <v>450g</v>
      </c>
    </row>
    <row r="1027" spans="6:17" ht="13.2">
      <c r="F1027" s="10" t="s">
        <v>1681</v>
      </c>
      <c r="G1027" s="10" t="s">
        <v>753</v>
      </c>
      <c r="H1027" s="10" t="s">
        <v>1444</v>
      </c>
      <c r="I1027" s="10">
        <v>400</v>
      </c>
      <c r="J1027" s="43" t="e">
        <f t="array" aca="1" ref="J1027" ca="1">_xludf.XLOOKUP(F1027, analysis!A:A, analysis!I:I)</f>
        <v>#NAME?</v>
      </c>
      <c r="K1027" s="27" t="e">
        <f t="array" aca="1" ref="K1027" ca="1">_xludf.XLOOKUP(F1027, analysis!A:A, analysis!J:J)</f>
        <v>#NAME?</v>
      </c>
      <c r="L1027" s="10" t="e">
        <f t="shared" ca="1" si="55"/>
        <v>#NAME?</v>
      </c>
      <c r="M1027" s="10" t="s">
        <v>1420</v>
      </c>
      <c r="N1027" s="37"/>
    </row>
    <row r="1028" spans="6:17" ht="13.2">
      <c r="F1028" s="10" t="s">
        <v>1449</v>
      </c>
      <c r="G1028" s="10" t="s">
        <v>746</v>
      </c>
      <c r="H1028" s="10" t="s">
        <v>1422</v>
      </c>
      <c r="I1028" s="10">
        <f>15*0.11</f>
        <v>1.65</v>
      </c>
      <c r="J1028" s="43" t="e">
        <f t="array" aca="1" ref="J1028" ca="1">_xludf.XLOOKUP(F1028, analysis!A:A, analysis!I:I)</f>
        <v>#NAME?</v>
      </c>
      <c r="K1028" s="10" t="e">
        <f t="array" aca="1" ref="K1028" ca="1">_xludf.XLOOKUP(F1028, analysis!A:A, analysis!J:J)</f>
        <v>#NAME?</v>
      </c>
      <c r="L1028" s="10" t="e">
        <f t="shared" ca="1" si="55"/>
        <v>#NAME?</v>
      </c>
      <c r="M1028" s="10" t="s">
        <v>1423</v>
      </c>
      <c r="N1028" s="37"/>
    </row>
    <row r="1029" spans="6:17" ht="13.2">
      <c r="F1029" s="10" t="s">
        <v>642</v>
      </c>
      <c r="G1029" s="10">
        <v>3</v>
      </c>
      <c r="H1029" s="10" t="s">
        <v>1416</v>
      </c>
      <c r="I1029" s="10">
        <f>45*3</f>
        <v>135</v>
      </c>
      <c r="J1029" s="43" t="e">
        <f t="array" aca="1" ref="J1029" ca="1">_xludf.XLOOKUP(F1029, analysis!A:A, analysis!I:I)</f>
        <v>#NAME?</v>
      </c>
      <c r="K1029" s="10" t="e">
        <f t="array" aca="1" ref="K1029" ca="1">_xludf.XLOOKUP(F1029, analysis!A:A, analysis!J:J)</f>
        <v>#NAME?</v>
      </c>
      <c r="L1029" s="10" t="e">
        <f t="shared" ca="1" si="55"/>
        <v>#NAME?</v>
      </c>
      <c r="M1029" s="10" t="s">
        <v>1425</v>
      </c>
      <c r="N1029" s="10">
        <f>(2/3*1400*4.2*80/0.63+(15/60)*5773920)*(10^-6)*50</f>
        <v>97.062888888888892</v>
      </c>
    </row>
    <row r="1030" spans="6:17" ht="13.2">
      <c r="F1030" s="10" t="s">
        <v>1421</v>
      </c>
      <c r="G1030" s="10" t="s">
        <v>746</v>
      </c>
      <c r="H1030" s="10" t="s">
        <v>1422</v>
      </c>
      <c r="I1030" s="10">
        <f>0.914*15</f>
        <v>13.71</v>
      </c>
      <c r="J1030" s="43" t="e">
        <f t="array" aca="1" ref="J1030" ca="1">_xludf.XLOOKUP(F1030, analysis!A:A, analysis!I:I)</f>
        <v>#NAME?</v>
      </c>
      <c r="K1030" s="10" t="e">
        <f t="array" aca="1" ref="K1030" ca="1">_xludf.XLOOKUP(F1030, analysis!A:A, analysis!J:J)</f>
        <v>#NAME?</v>
      </c>
      <c r="L1030" s="10" t="e">
        <f t="shared" ca="1" si="55"/>
        <v>#NAME?</v>
      </c>
      <c r="M1030" s="10" t="s">
        <v>1428</v>
      </c>
      <c r="N1030" s="37"/>
    </row>
    <row r="1031" spans="6:17" ht="13.2">
      <c r="F1031" s="10" t="s">
        <v>700</v>
      </c>
      <c r="G1031" s="10" t="s">
        <v>1537</v>
      </c>
      <c r="H1031" s="10" t="s">
        <v>1444</v>
      </c>
      <c r="I1031" s="10">
        <v>115</v>
      </c>
      <c r="J1031" s="43" t="e">
        <f t="array" aca="1" ref="J1031" ca="1">_xludf.XLOOKUP(F1031, analysis!A:A, analysis!I:I)</f>
        <v>#NAME?</v>
      </c>
      <c r="K1031" s="10" t="e">
        <f t="array" aca="1" ref="K1031" ca="1">_xludf.XLOOKUP(F1031, analysis!A:A, analysis!J:J)</f>
        <v>#NAME?</v>
      </c>
      <c r="L1031" s="10" t="e">
        <f t="shared" ca="1" si="55"/>
        <v>#NAME?</v>
      </c>
      <c r="M1031" s="10" t="s">
        <v>1429</v>
      </c>
      <c r="N1031" s="10">
        <f>((12^2*PI()*7.5*0.927*1.96*160/0.63)+(5/60)*5773920)*(10^-6)*50</f>
        <v>102.33945175991359</v>
      </c>
    </row>
    <row r="1032" spans="6:17" ht="13.2">
      <c r="F1032" s="10" t="s">
        <v>1440</v>
      </c>
      <c r="G1032" s="10" t="s">
        <v>1480</v>
      </c>
      <c r="H1032" s="10">
        <v>0</v>
      </c>
      <c r="I1032" s="10">
        <v>0</v>
      </c>
      <c r="J1032" s="43" t="e">
        <f t="array" aca="1" ref="J1032" ca="1">_xludf.XLOOKUP(F1032, analysis!A:A, analysis!I:I)</f>
        <v>#NAME?</v>
      </c>
      <c r="K1032" s="10" t="e">
        <f t="array" aca="1" ref="K1032" ca="1">_xludf.XLOOKUP(F1032, analysis!A:A, analysis!J:J)</f>
        <v>#NAME?</v>
      </c>
      <c r="L1032" s="10" t="e">
        <f t="shared" ca="1" si="55"/>
        <v>#NAME?</v>
      </c>
      <c r="M1032" s="10" t="s">
        <v>1430</v>
      </c>
      <c r="N1032" s="37"/>
    </row>
    <row r="1033" spans="6:17" ht="13.2">
      <c r="F1033" s="10" t="s">
        <v>733</v>
      </c>
      <c r="G1033" s="10" t="s">
        <v>1439</v>
      </c>
      <c r="H1033" s="10">
        <v>0</v>
      </c>
      <c r="I1033" s="10">
        <v>0</v>
      </c>
      <c r="J1033" s="43" t="e">
        <f t="array" aca="1" ref="J1033" ca="1">_xludf.XLOOKUP(F1033, analysis!A:A, analysis!I:I)</f>
        <v>#NAME?</v>
      </c>
      <c r="K1033" s="10" t="e">
        <f t="array" aca="1" ref="K1033" ca="1">_xludf.XLOOKUP(F1033, analysis!A:A, analysis!J:J)</f>
        <v>#NAME?</v>
      </c>
      <c r="L1033" s="10" t="e">
        <f t="shared" ca="1" si="55"/>
        <v>#NAME?</v>
      </c>
      <c r="M1033" s="10" t="s">
        <v>1432</v>
      </c>
      <c r="N1033" s="37"/>
    </row>
    <row r="1034" spans="6:17" ht="13.2">
      <c r="K1034" s="20"/>
      <c r="L1034" s="37"/>
      <c r="M1034" s="10" t="s">
        <v>1433</v>
      </c>
      <c r="N1034" s="37"/>
    </row>
    <row r="1035" spans="6:17" ht="13.2">
      <c r="K1035" s="20"/>
      <c r="L1035" s="37"/>
      <c r="M1035" s="10" t="s">
        <v>1434</v>
      </c>
      <c r="N1035" s="37"/>
    </row>
    <row r="1036" spans="6:17" ht="13.2">
      <c r="K1036" s="20"/>
      <c r="L1036" s="37"/>
      <c r="M1036" s="10" t="s">
        <v>1437</v>
      </c>
      <c r="N1036" s="37"/>
    </row>
    <row r="1037" spans="6:17" ht="13.2">
      <c r="K1037" s="20"/>
      <c r="L1037" s="37"/>
      <c r="M1037" s="10" t="s">
        <v>1474</v>
      </c>
      <c r="N1037" s="37"/>
    </row>
    <row r="1038" spans="6:17" ht="13.2">
      <c r="K1038" s="20"/>
      <c r="L1038" s="37"/>
      <c r="M1038" s="10" t="s">
        <v>1625</v>
      </c>
      <c r="N1038" s="37"/>
    </row>
    <row r="1039" spans="6:17" ht="13.2">
      <c r="K1039" s="20"/>
      <c r="L1039" s="37"/>
      <c r="M1039" s="20"/>
      <c r="N1039" s="37"/>
    </row>
    <row r="1040" spans="6:17" ht="13.2">
      <c r="K1040" s="20" t="s">
        <v>1441</v>
      </c>
      <c r="L1040" s="37" t="e">
        <f ca="1">SUM(L1026:L1033)</f>
        <v>#NAME?</v>
      </c>
      <c r="M1040" s="20" t="s">
        <v>1442</v>
      </c>
      <c r="N1040" s="37">
        <f>SUM(N1026:N1038)</f>
        <v>199.40234064880246</v>
      </c>
    </row>
    <row r="1041" spans="6:17" ht="13.2">
      <c r="K1041" s="20"/>
      <c r="L1041" s="37"/>
      <c r="M1041" s="20"/>
      <c r="N1041" s="37"/>
    </row>
    <row r="1042" spans="6:17" ht="13.2">
      <c r="F1042" s="184" t="s">
        <v>804</v>
      </c>
      <c r="G1042" s="180"/>
      <c r="H1042" s="180"/>
      <c r="I1042" s="180"/>
      <c r="J1042" s="180"/>
      <c r="K1042" s="180"/>
      <c r="L1042" s="180"/>
      <c r="M1042" s="180"/>
      <c r="N1042" s="180"/>
      <c r="O1042" s="180"/>
    </row>
    <row r="1043" spans="6:17" ht="13.2">
      <c r="F1043" s="10" t="s">
        <v>1408</v>
      </c>
      <c r="G1043" s="10" t="s">
        <v>543</v>
      </c>
      <c r="H1043" s="10" t="s">
        <v>1409</v>
      </c>
      <c r="I1043" s="10" t="s">
        <v>1410</v>
      </c>
      <c r="J1043" s="10" t="s">
        <v>1411</v>
      </c>
      <c r="K1043" s="10" t="s">
        <v>1412</v>
      </c>
      <c r="L1043" s="10" t="s">
        <v>1413</v>
      </c>
      <c r="M1043" s="179" t="s">
        <v>1468</v>
      </c>
      <c r="N1043" s="180"/>
      <c r="O1043" s="10" t="s">
        <v>1415</v>
      </c>
    </row>
    <row r="1044" spans="6:17" ht="13.2">
      <c r="F1044" s="10" t="s">
        <v>1524</v>
      </c>
      <c r="G1044" s="10" t="s">
        <v>1559</v>
      </c>
      <c r="H1044" s="10" t="s">
        <v>1444</v>
      </c>
      <c r="I1044" s="10">
        <v>300</v>
      </c>
      <c r="J1044" s="43" t="e">
        <f t="array" aca="1" ref="J1044" ca="1">_xludf.XLOOKUP(F1044, analysis!A:A, analysis!I:I)</f>
        <v>#NAME?</v>
      </c>
      <c r="K1044" s="10" t="e">
        <f t="array" aca="1" ref="K1044" ca="1">_xludf.XLOOKUP(F1044, analysis!A:A, analysis!J:J)</f>
        <v>#NAME?</v>
      </c>
      <c r="L1044" s="10" t="e">
        <f t="shared" ref="L1044:L1059" ca="1" si="56">K1044*I1044*J1044/1000</f>
        <v>#NAME?</v>
      </c>
      <c r="M1044" s="10" t="s">
        <v>1417</v>
      </c>
      <c r="P1044" s="10" t="str">
        <f ca="1">IFERROR(__xludf.DUMMYFUNCTION("transpose(split(F1044,CHAR(10)))"),"black-eyed peas")</f>
        <v>black-eyed peas</v>
      </c>
      <c r="Q1044" s="10" t="str">
        <f ca="1">IFERROR(__xludf.DUMMYFUNCTION("transpose(split(G1044,CHAR(10)))"),"300g")</f>
        <v>300g</v>
      </c>
    </row>
    <row r="1045" spans="6:17" ht="13.2">
      <c r="F1045" s="10" t="s">
        <v>651</v>
      </c>
      <c r="G1045" s="17">
        <v>46026</v>
      </c>
      <c r="H1045" s="10" t="s">
        <v>1416</v>
      </c>
      <c r="I1045" s="10">
        <f>1/4*70</f>
        <v>17.5</v>
      </c>
      <c r="J1045" s="43" t="e">
        <f t="array" aca="1" ref="J1045" ca="1">_xludf.XLOOKUP(F1045, analysis!A:A, analysis!I:I)</f>
        <v>#NAME?</v>
      </c>
      <c r="K1045" s="10" t="e">
        <f t="array" aca="1" ref="K1045" ca="1">_xludf.XLOOKUP(F1045, analysis!A:A, analysis!J:J)</f>
        <v>#NAME?</v>
      </c>
      <c r="L1045" s="10" t="e">
        <f t="shared" ca="1" si="56"/>
        <v>#NAME?</v>
      </c>
      <c r="M1045" s="10" t="s">
        <v>1420</v>
      </c>
      <c r="N1045" s="10">
        <f>1.1*(5/60)*59.9+1.1*(5/60)*59.9</f>
        <v>10.981666666666667</v>
      </c>
    </row>
    <row r="1046" spans="6:17" ht="13.2">
      <c r="F1046" s="10" t="s">
        <v>646</v>
      </c>
      <c r="G1046" s="10" t="s">
        <v>1439</v>
      </c>
      <c r="H1046" s="10">
        <v>0</v>
      </c>
      <c r="I1046" s="10">
        <v>0</v>
      </c>
      <c r="J1046" s="43" t="e">
        <f t="array" aca="1" ref="J1046" ca="1">_xludf.XLOOKUP(F1046, analysis!A:A, analysis!I:I)</f>
        <v>#NAME?</v>
      </c>
      <c r="K1046" s="10" t="e">
        <f t="array" aca="1" ref="K1046" ca="1">_xludf.XLOOKUP(F1046, analysis!A:A, analysis!J:J)</f>
        <v>#NAME?</v>
      </c>
      <c r="L1046" s="10" t="e">
        <f t="shared" ca="1" si="56"/>
        <v>#NAME?</v>
      </c>
      <c r="M1046" s="10" t="s">
        <v>1423</v>
      </c>
      <c r="N1046" s="37"/>
    </row>
    <row r="1047" spans="6:17" ht="13.2">
      <c r="F1047" s="10" t="s">
        <v>1440</v>
      </c>
      <c r="G1047" s="10" t="s">
        <v>1439</v>
      </c>
      <c r="H1047" s="10">
        <v>0</v>
      </c>
      <c r="I1047" s="10">
        <v>0</v>
      </c>
      <c r="J1047" s="43" t="e">
        <f t="array" aca="1" ref="J1047" ca="1">_xludf.XLOOKUP(F1047, analysis!A:A, analysis!I:I)</f>
        <v>#NAME?</v>
      </c>
      <c r="K1047" s="10" t="e">
        <f t="array" aca="1" ref="K1047" ca="1">_xludf.XLOOKUP(F1047, analysis!A:A, analysis!J:J)</f>
        <v>#NAME?</v>
      </c>
      <c r="L1047" s="10" t="e">
        <f t="shared" ca="1" si="56"/>
        <v>#NAME?</v>
      </c>
      <c r="M1047" s="10" t="s">
        <v>1425</v>
      </c>
      <c r="N1047" s="37"/>
    </row>
    <row r="1048" spans="6:17" ht="13.2">
      <c r="F1048" s="10" t="s">
        <v>712</v>
      </c>
      <c r="G1048" s="10" t="s">
        <v>1562</v>
      </c>
      <c r="H1048" s="10">
        <v>0</v>
      </c>
      <c r="I1048" s="10">
        <v>0</v>
      </c>
      <c r="J1048" s="43" t="e">
        <f t="array" aca="1" ref="J1048" ca="1">_xludf.XLOOKUP(F1048, analysis!A:A, analysis!I:I)</f>
        <v>#NAME?</v>
      </c>
      <c r="K1048" s="10" t="e">
        <f t="array" aca="1" ref="K1048" ca="1">_xludf.XLOOKUP(F1048, analysis!A:A, analysis!J:J)</f>
        <v>#NAME?</v>
      </c>
      <c r="L1048" s="10" t="e">
        <f t="shared" ca="1" si="56"/>
        <v>#NAME?</v>
      </c>
      <c r="M1048" s="10" t="s">
        <v>1428</v>
      </c>
      <c r="N1048" s="37"/>
    </row>
    <row r="1049" spans="6:17" ht="13.2">
      <c r="F1049" s="10" t="s">
        <v>733</v>
      </c>
      <c r="G1049" s="10" t="s">
        <v>1439</v>
      </c>
      <c r="H1049" s="10">
        <v>0</v>
      </c>
      <c r="I1049" s="10">
        <v>0</v>
      </c>
      <c r="J1049" s="43" t="e">
        <f t="array" aca="1" ref="J1049" ca="1">_xludf.XLOOKUP(F1049, analysis!A:A, analysis!I:I)</f>
        <v>#NAME?</v>
      </c>
      <c r="K1049" s="10" t="e">
        <f t="array" aca="1" ref="K1049" ca="1">_xludf.XLOOKUP(F1049, analysis!A:A, analysis!J:J)</f>
        <v>#NAME?</v>
      </c>
      <c r="L1049" s="10" t="e">
        <f t="shared" ca="1" si="56"/>
        <v>#NAME?</v>
      </c>
      <c r="M1049" s="10" t="s">
        <v>1429</v>
      </c>
      <c r="N1049" s="10">
        <f>((12^2*PI()*7.5*0.927*1.96*160/0.63)+(7.5/60)*5773920)*(10^-6)*50</f>
        <v>114.36845175991361</v>
      </c>
    </row>
    <row r="1050" spans="6:17" ht="13.2">
      <c r="F1050" s="10" t="s">
        <v>1421</v>
      </c>
      <c r="G1050" s="10" t="s">
        <v>1534</v>
      </c>
      <c r="H1050" s="10" t="s">
        <v>1422</v>
      </c>
      <c r="I1050" s="10">
        <f>30*0.927</f>
        <v>27.810000000000002</v>
      </c>
      <c r="J1050" s="43" t="e">
        <f t="array" aca="1" ref="J1050" ca="1">_xludf.XLOOKUP(F1050, analysis!A:A, analysis!I:I)</f>
        <v>#NAME?</v>
      </c>
      <c r="K1050" s="10" t="e">
        <f t="array" aca="1" ref="K1050" ca="1">_xludf.XLOOKUP(F1050, analysis!A:A, analysis!J:J)</f>
        <v>#NAME?</v>
      </c>
      <c r="L1050" s="10" t="e">
        <f t="shared" ca="1" si="56"/>
        <v>#NAME?</v>
      </c>
      <c r="M1050" s="10" t="s">
        <v>1430</v>
      </c>
      <c r="N1050" s="10">
        <f>(((I1050*1.97*160)/0.63)+(10/60)*5773920+(2.5/60)*5773920+(5/60)*5773920)*10^-6*50</f>
        <v>84.898691428571425</v>
      </c>
    </row>
    <row r="1051" spans="6:17" ht="13.2">
      <c r="F1051" s="10" t="s">
        <v>651</v>
      </c>
      <c r="G1051" s="17">
        <v>46024</v>
      </c>
      <c r="H1051" s="10" t="s">
        <v>1416</v>
      </c>
      <c r="I1051" s="10">
        <f>1/2*70</f>
        <v>35</v>
      </c>
      <c r="J1051" s="43" t="e">
        <f t="array" aca="1" ref="J1051" ca="1">_xludf.XLOOKUP(F1051, analysis!A:A, analysis!I:I)</f>
        <v>#NAME?</v>
      </c>
      <c r="K1051" s="10" t="e">
        <f t="array" aca="1" ref="K1051" ca="1">_xludf.XLOOKUP(F1051, analysis!A:A, analysis!J:J)</f>
        <v>#NAME?</v>
      </c>
      <c r="L1051" s="10" t="e">
        <f t="shared" ca="1" si="56"/>
        <v>#NAME?</v>
      </c>
      <c r="M1051" s="10" t="s">
        <v>1432</v>
      </c>
      <c r="N1051" s="37"/>
    </row>
    <row r="1052" spans="6:17" ht="13.2">
      <c r="F1052" s="10" t="s">
        <v>737</v>
      </c>
      <c r="G1052" s="10">
        <v>2</v>
      </c>
      <c r="H1052" s="10" t="s">
        <v>1416</v>
      </c>
      <c r="I1052" s="10">
        <f>4.4*2</f>
        <v>8.8000000000000007</v>
      </c>
      <c r="J1052" s="43" t="e">
        <f t="array" aca="1" ref="J1052" ca="1">_xludf.XLOOKUP(F1052, analysis!A:A, analysis!I:I)</f>
        <v>#NAME?</v>
      </c>
      <c r="K1052" s="10" t="e">
        <f t="array" aca="1" ref="K1052" ca="1">_xludf.XLOOKUP(F1052, analysis!A:A, analysis!J:J)</f>
        <v>#NAME?</v>
      </c>
      <c r="L1052" s="10" t="e">
        <f t="shared" ca="1" si="56"/>
        <v>#NAME?</v>
      </c>
      <c r="M1052" s="10" t="s">
        <v>1433</v>
      </c>
      <c r="N1052" s="37"/>
    </row>
    <row r="1053" spans="6:17" ht="13.2">
      <c r="F1053" s="10" t="s">
        <v>1630</v>
      </c>
      <c r="G1053" s="10" t="s">
        <v>1682</v>
      </c>
      <c r="H1053" s="10" t="s">
        <v>1444</v>
      </c>
      <c r="I1053" s="10">
        <v>150</v>
      </c>
      <c r="J1053" s="43" t="e">
        <f t="array" aca="1" ref="J1053" ca="1">_xludf.XLOOKUP(F1053, analysis!A:A, analysis!I:I)</f>
        <v>#NAME?</v>
      </c>
      <c r="K1053" s="10" t="e">
        <f t="array" aca="1" ref="K1053" ca="1">_xludf.XLOOKUP(F1053, analysis!A:A, analysis!J:J)</f>
        <v>#NAME?</v>
      </c>
      <c r="L1053" s="10" t="e">
        <f t="shared" ca="1" si="56"/>
        <v>#NAME?</v>
      </c>
      <c r="M1053" s="10" t="s">
        <v>1434</v>
      </c>
      <c r="N1053" s="37"/>
    </row>
    <row r="1054" spans="6:17" ht="13.2">
      <c r="F1054" s="10" t="s">
        <v>1683</v>
      </c>
      <c r="G1054" s="10">
        <v>2</v>
      </c>
      <c r="H1054" s="10" t="s">
        <v>1416</v>
      </c>
      <c r="I1054" s="10">
        <f>46*2</f>
        <v>92</v>
      </c>
      <c r="J1054" s="43" t="e">
        <f t="array" aca="1" ref="J1054" ca="1">_xludf.XLOOKUP(F1054, analysis!A:A, analysis!I:I)</f>
        <v>#NAME?</v>
      </c>
      <c r="K1054" s="10" t="e">
        <f t="array" aca="1" ref="K1054" ca="1">_xludf.XLOOKUP(F1054, analysis!A:A, analysis!J:J)</f>
        <v>#NAME?</v>
      </c>
      <c r="L1054" s="10" t="e">
        <f t="shared" ca="1" si="56"/>
        <v>#NAME?</v>
      </c>
      <c r="M1054" s="10" t="s">
        <v>1437</v>
      </c>
      <c r="N1054" s="37"/>
    </row>
    <row r="1055" spans="6:17" ht="13.2">
      <c r="F1055" s="10" t="s">
        <v>658</v>
      </c>
      <c r="G1055" s="10" t="s">
        <v>753</v>
      </c>
      <c r="H1055" s="10" t="s">
        <v>1444</v>
      </c>
      <c r="I1055" s="10">
        <v>400</v>
      </c>
      <c r="J1055" s="43" t="e">
        <f t="array" aca="1" ref="J1055" ca="1">_xludf.XLOOKUP(F1055, analysis!A:A, analysis!I:I)</f>
        <v>#NAME?</v>
      </c>
      <c r="K1055" s="10" t="e">
        <f t="array" aca="1" ref="K1055" ca="1">_xludf.XLOOKUP(F1055, analysis!A:A, analysis!J:J)</f>
        <v>#NAME?</v>
      </c>
      <c r="L1055" s="10" t="e">
        <f t="shared" ca="1" si="56"/>
        <v>#NAME?</v>
      </c>
      <c r="M1055" s="10" t="s">
        <v>1474</v>
      </c>
      <c r="N1055" s="37"/>
    </row>
    <row r="1056" spans="6:17" ht="13.2">
      <c r="F1056" s="10" t="s">
        <v>709</v>
      </c>
      <c r="G1056" s="10" t="s">
        <v>1517</v>
      </c>
      <c r="H1056" s="10" t="s">
        <v>1444</v>
      </c>
      <c r="I1056" s="10">
        <v>200</v>
      </c>
      <c r="J1056" s="43" t="e">
        <f t="array" aca="1" ref="J1056" ca="1">_xludf.XLOOKUP(F1056, analysis!A:A, analysis!I:I)</f>
        <v>#NAME?</v>
      </c>
      <c r="K1056" s="10" t="e">
        <f t="array" aca="1" ref="K1056" ca="1">_xludf.XLOOKUP(F1056, analysis!A:A, analysis!J:J)</f>
        <v>#NAME?</v>
      </c>
      <c r="L1056" s="10" t="e">
        <f t="shared" ca="1" si="56"/>
        <v>#NAME?</v>
      </c>
      <c r="M1056" s="10" t="s">
        <v>1625</v>
      </c>
      <c r="N1056" s="37"/>
    </row>
    <row r="1057" spans="6:17" ht="13.2">
      <c r="F1057" s="10" t="s">
        <v>1635</v>
      </c>
      <c r="G1057" s="10" t="s">
        <v>1601</v>
      </c>
      <c r="H1057" s="10" t="s">
        <v>1444</v>
      </c>
      <c r="I1057" s="10">
        <v>25</v>
      </c>
      <c r="J1057" s="43" t="e">
        <f t="array" aca="1" ref="J1057" ca="1">_xludf.XLOOKUP(F1057, analysis!A:A, analysis!I:I)</f>
        <v>#NAME?</v>
      </c>
      <c r="K1057" s="10" t="e">
        <f t="array" aca="1" ref="K1057" ca="1">_xludf.XLOOKUP(F1057, analysis!A:A, analysis!J:J)</f>
        <v>#NAME?</v>
      </c>
      <c r="L1057" s="10" t="e">
        <f t="shared" ca="1" si="56"/>
        <v>#NAME?</v>
      </c>
      <c r="M1057" s="20"/>
      <c r="N1057" s="37"/>
    </row>
    <row r="1058" spans="6:17" ht="13.2">
      <c r="F1058" s="10" t="s">
        <v>646</v>
      </c>
      <c r="G1058" s="10" t="s">
        <v>1439</v>
      </c>
      <c r="H1058" s="10">
        <v>0</v>
      </c>
      <c r="I1058" s="10">
        <v>0</v>
      </c>
      <c r="J1058" s="43" t="e">
        <f t="array" aca="1" ref="J1058" ca="1">_xludf.XLOOKUP(F1058, analysis!A:A, analysis!I:I)</f>
        <v>#NAME?</v>
      </c>
      <c r="K1058" s="10" t="e">
        <f t="array" aca="1" ref="K1058" ca="1">_xludf.XLOOKUP(F1058, analysis!A:A, analysis!J:J)</f>
        <v>#NAME?</v>
      </c>
      <c r="L1058" s="10" t="e">
        <f t="shared" ca="1" si="56"/>
        <v>#NAME?</v>
      </c>
      <c r="M1058" s="20"/>
      <c r="N1058" s="37"/>
    </row>
    <row r="1059" spans="6:17" ht="13.2">
      <c r="F1059" s="10" t="s">
        <v>1440</v>
      </c>
      <c r="G1059" s="10" t="s">
        <v>1439</v>
      </c>
      <c r="H1059" s="10">
        <v>0</v>
      </c>
      <c r="I1059" s="10">
        <v>0</v>
      </c>
      <c r="J1059" s="43" t="e">
        <f t="array" aca="1" ref="J1059" ca="1">_xludf.XLOOKUP(F1059, analysis!A:A, analysis!I:I)</f>
        <v>#NAME?</v>
      </c>
      <c r="K1059" s="10" t="e">
        <f t="array" aca="1" ref="K1059" ca="1">_xludf.XLOOKUP(F1059, analysis!A:A, analysis!J:J)</f>
        <v>#NAME?</v>
      </c>
      <c r="L1059" s="10" t="e">
        <f t="shared" ca="1" si="56"/>
        <v>#NAME?</v>
      </c>
      <c r="M1059" s="20"/>
      <c r="N1059" s="37"/>
    </row>
    <row r="1060" spans="6:17" ht="13.2">
      <c r="K1060" s="20"/>
      <c r="L1060" s="37"/>
      <c r="M1060" s="20"/>
      <c r="N1060" s="37"/>
    </row>
    <row r="1061" spans="6:17" ht="13.2">
      <c r="K1061" s="20" t="s">
        <v>1441</v>
      </c>
      <c r="L1061" s="37" t="e">
        <f ca="1">SUM(L1044:L1059)</f>
        <v>#NAME?</v>
      </c>
      <c r="M1061" s="20" t="s">
        <v>1442</v>
      </c>
      <c r="N1061" s="37">
        <f>SUM(N1044:N1056)</f>
        <v>210.24880985515171</v>
      </c>
    </row>
    <row r="1062" spans="6:17" ht="13.2">
      <c r="K1062" s="20"/>
      <c r="L1062" s="37"/>
      <c r="M1062" s="20"/>
      <c r="N1062" s="37"/>
    </row>
    <row r="1063" spans="6:17" ht="13.2">
      <c r="F1063" s="184" t="s">
        <v>853</v>
      </c>
      <c r="G1063" s="180"/>
      <c r="H1063" s="180"/>
      <c r="I1063" s="180"/>
      <c r="J1063" s="180"/>
      <c r="K1063" s="180"/>
      <c r="L1063" s="180"/>
      <c r="M1063" s="180"/>
      <c r="N1063" s="180"/>
      <c r="O1063" s="180"/>
    </row>
    <row r="1064" spans="6:17" ht="13.2">
      <c r="F1064" s="10" t="s">
        <v>1408</v>
      </c>
      <c r="G1064" s="10" t="s">
        <v>543</v>
      </c>
      <c r="H1064" s="10" t="s">
        <v>1409</v>
      </c>
      <c r="I1064" s="10" t="s">
        <v>1410</v>
      </c>
      <c r="J1064" s="10" t="s">
        <v>1411</v>
      </c>
      <c r="K1064" s="10" t="s">
        <v>1412</v>
      </c>
      <c r="L1064" s="10" t="s">
        <v>1413</v>
      </c>
      <c r="M1064" s="179" t="s">
        <v>1468</v>
      </c>
      <c r="N1064" s="180"/>
      <c r="O1064" s="10" t="s">
        <v>1415</v>
      </c>
    </row>
    <row r="1065" spans="6:17" ht="13.2">
      <c r="F1065" s="10" t="s">
        <v>1684</v>
      </c>
      <c r="G1065" s="10" t="s">
        <v>1685</v>
      </c>
      <c r="H1065" s="10" t="s">
        <v>1499</v>
      </c>
      <c r="I1065" s="10">
        <f>50*2</f>
        <v>100</v>
      </c>
      <c r="J1065" s="43" t="e">
        <f t="array" aca="1" ref="J1065" ca="1">_xludf.XLOOKUP(F1065, analysis!A:A, analysis!I:I)</f>
        <v>#NAME?</v>
      </c>
      <c r="K1065" s="10" t="e">
        <f t="array" aca="1" ref="K1065" ca="1">_xludf.XLOOKUP(F1065, analysis!A:A, analysis!J:J)</f>
        <v>#NAME?</v>
      </c>
      <c r="L1065" s="10" t="e">
        <f t="shared" ref="L1065:L1080" ca="1" si="57">K1065*I1065*J1065/1000</f>
        <v>#NAME?</v>
      </c>
      <c r="M1065" s="10" t="s">
        <v>1417</v>
      </c>
      <c r="P1065" s="10" t="str">
        <f ca="1">IFERROR(__xludf.DUMMYFUNCTION("transpose(split(F1065,CHAR(10)))"),"french bread")</f>
        <v>french bread</v>
      </c>
      <c r="Q1065" s="10" t="str">
        <f ca="1">IFERROR(__xludf.DUMMYFUNCTION("transpose(split(G1065,CHAR(10)))"),"2 slices")</f>
        <v>2 slices</v>
      </c>
    </row>
    <row r="1066" spans="6:17" ht="13.2">
      <c r="F1066" s="10" t="s">
        <v>640</v>
      </c>
      <c r="G1066" s="10" t="s">
        <v>1686</v>
      </c>
      <c r="H1066" s="10" t="s">
        <v>1422</v>
      </c>
      <c r="I1066" s="10">
        <f>75*1.04</f>
        <v>78</v>
      </c>
      <c r="J1066" s="43" t="e">
        <f t="array" aca="1" ref="J1066" ca="1">_xludf.XLOOKUP(F1066, analysis!A:A, analysis!I:I)</f>
        <v>#NAME?</v>
      </c>
      <c r="K1066" s="10" t="e">
        <f t="array" aca="1" ref="K1066" ca="1">_xludf.XLOOKUP(F1066, analysis!A:A, analysis!J:J)</f>
        <v>#NAME?</v>
      </c>
      <c r="L1066" s="10" t="e">
        <f t="shared" ca="1" si="57"/>
        <v>#NAME?</v>
      </c>
      <c r="M1066" s="10" t="s">
        <v>1420</v>
      </c>
      <c r="N1066" s="10">
        <f>1.1*(5/60)*59.9+1.1*(5/60)*59.9</f>
        <v>10.981666666666667</v>
      </c>
    </row>
    <row r="1067" spans="6:17" ht="13.2">
      <c r="F1067" s="10" t="s">
        <v>1421</v>
      </c>
      <c r="G1067" s="10" t="s">
        <v>746</v>
      </c>
      <c r="H1067" s="10" t="s">
        <v>1422</v>
      </c>
      <c r="I1067" s="10">
        <f>15*0.914</f>
        <v>13.71</v>
      </c>
      <c r="J1067" s="43" t="e">
        <f t="array" aca="1" ref="J1067" ca="1">_xludf.XLOOKUP(F1067, analysis!A:A, analysis!I:I)</f>
        <v>#NAME?</v>
      </c>
      <c r="K1067" s="10" t="e">
        <f t="array" aca="1" ref="K1067" ca="1">_xludf.XLOOKUP(F1067, analysis!A:A, analysis!J:J)</f>
        <v>#NAME?</v>
      </c>
      <c r="L1067" s="10" t="e">
        <f t="shared" ca="1" si="57"/>
        <v>#NAME?</v>
      </c>
      <c r="M1067" s="10" t="s">
        <v>1423</v>
      </c>
      <c r="N1067" s="37"/>
    </row>
    <row r="1068" spans="6:17" ht="13.2">
      <c r="F1068" s="10" t="s">
        <v>1490</v>
      </c>
      <c r="G1068" s="10">
        <v>1</v>
      </c>
      <c r="H1068" s="10" t="s">
        <v>1416</v>
      </c>
      <c r="I1068" s="10">
        <v>70</v>
      </c>
      <c r="J1068" s="43" t="e">
        <f t="array" aca="1" ref="J1068" ca="1">_xludf.XLOOKUP(F1068, analysis!A:A, analysis!I:I)</f>
        <v>#NAME?</v>
      </c>
      <c r="K1068" s="10" t="e">
        <f t="array" aca="1" ref="K1068" ca="1">_xludf.XLOOKUP(F1068, analysis!A:A, analysis!J:J)</f>
        <v>#NAME?</v>
      </c>
      <c r="L1068" s="10" t="e">
        <f t="shared" ca="1" si="57"/>
        <v>#NAME?</v>
      </c>
      <c r="M1068" s="10" t="s">
        <v>1425</v>
      </c>
      <c r="N1068" s="10">
        <f>(I1071*4.18*80/0.63+(5/60)*5773920)*(10^-6)*50</f>
        <v>26.494342857142854</v>
      </c>
    </row>
    <row r="1069" spans="6:17" ht="13.2">
      <c r="F1069" s="10" t="s">
        <v>737</v>
      </c>
      <c r="G1069" s="10">
        <v>1</v>
      </c>
      <c r="H1069" s="10" t="s">
        <v>1416</v>
      </c>
      <c r="I1069" s="10">
        <v>4.4000000000000004</v>
      </c>
      <c r="J1069" s="43" t="e">
        <f t="array" aca="1" ref="J1069" ca="1">_xludf.XLOOKUP(F1069, analysis!A:A, analysis!I:I)</f>
        <v>#NAME?</v>
      </c>
      <c r="K1069" s="10" t="e">
        <f t="array" aca="1" ref="K1069" ca="1">_xludf.XLOOKUP(F1069, analysis!A:A, analysis!J:J)</f>
        <v>#NAME?</v>
      </c>
      <c r="L1069" s="10" t="e">
        <f t="shared" ca="1" si="57"/>
        <v>#NAME?</v>
      </c>
      <c r="M1069" s="10" t="s">
        <v>1428</v>
      </c>
      <c r="N1069" s="37"/>
    </row>
    <row r="1070" spans="6:17" ht="13.2">
      <c r="F1070" s="10" t="s">
        <v>658</v>
      </c>
      <c r="G1070" s="10">
        <v>1</v>
      </c>
      <c r="H1070" s="10" t="s">
        <v>1416</v>
      </c>
      <c r="I1070" s="10">
        <v>100</v>
      </c>
      <c r="J1070" s="43" t="e">
        <f t="array" aca="1" ref="J1070" ca="1">_xludf.XLOOKUP(F1070, analysis!A:A, analysis!I:I)</f>
        <v>#NAME?</v>
      </c>
      <c r="K1070" s="10" t="e">
        <f t="array" aca="1" ref="K1070" ca="1">_xludf.XLOOKUP(F1070, analysis!A:A, analysis!J:J)</f>
        <v>#NAME?</v>
      </c>
      <c r="L1070" s="10" t="e">
        <f t="shared" ca="1" si="57"/>
        <v>#NAME?</v>
      </c>
      <c r="M1070" s="10" t="s">
        <v>1429</v>
      </c>
      <c r="N1070" s="37"/>
    </row>
    <row r="1071" spans="6:17" ht="13.2">
      <c r="F1071" s="10" t="s">
        <v>1424</v>
      </c>
      <c r="G1071" s="10" t="s">
        <v>1687</v>
      </c>
      <c r="H1071" s="10" t="s">
        <v>1422</v>
      </c>
      <c r="I1071" s="10">
        <f>90*1.02</f>
        <v>91.8</v>
      </c>
      <c r="J1071" s="43" t="e">
        <f t="array" aca="1" ref="J1071" ca="1">_xludf.XLOOKUP(F1071, analysis!A:A, analysis!I:I)</f>
        <v>#NAME?</v>
      </c>
      <c r="K1071" s="10" t="e">
        <f t="array" aca="1" ref="K1071" ca="1">_xludf.XLOOKUP(F1071, analysis!A:A, analysis!J:J)</f>
        <v>#NAME?</v>
      </c>
      <c r="L1071" s="10" t="e">
        <f t="shared" ca="1" si="57"/>
        <v>#NAME?</v>
      </c>
      <c r="M1071" s="10" t="s">
        <v>1430</v>
      </c>
      <c r="N1071" s="10">
        <f>(((I1067*1.97*160)/0.63)+(2/60)*5773920+(1/60)*5773920)*10^-6*50+(((I1072*60+I1072*2.65*130)/0.63)+(2/60)*5773920)*10^-6*50</f>
        <v>25.717037261904764</v>
      </c>
    </row>
    <row r="1072" spans="6:17" ht="13.2">
      <c r="F1072" s="10" t="s">
        <v>652</v>
      </c>
      <c r="G1072" s="10" t="s">
        <v>734</v>
      </c>
      <c r="H1072" s="10" t="s">
        <v>1422</v>
      </c>
      <c r="I1072" s="10">
        <f>45*0.911</f>
        <v>40.995000000000005</v>
      </c>
      <c r="J1072" s="43" t="e">
        <f t="array" aca="1" ref="J1072" ca="1">_xludf.XLOOKUP(F1072, analysis!A:A, analysis!I:I)</f>
        <v>#NAME?</v>
      </c>
      <c r="K1072" s="10" t="e">
        <f t="array" aca="1" ref="K1072" ca="1">_xludf.XLOOKUP(F1072, analysis!A:A, analysis!J:J)</f>
        <v>#NAME?</v>
      </c>
      <c r="L1072" s="10" t="e">
        <f t="shared" ca="1" si="57"/>
        <v>#NAME?</v>
      </c>
      <c r="M1072" s="10" t="s">
        <v>1432</v>
      </c>
      <c r="N1072" s="10">
        <f>((1.012*1.2923*10^-3*70000*180/0.63)/0.13+(10/60)*5773920)*(10^-6)*50</f>
        <v>58.17605846153846</v>
      </c>
    </row>
    <row r="1073" spans="6:17" ht="13.2">
      <c r="F1073" s="10" t="s">
        <v>1677</v>
      </c>
      <c r="G1073" s="10" t="s">
        <v>721</v>
      </c>
      <c r="H1073" s="10" t="s">
        <v>1444</v>
      </c>
      <c r="I1073" s="10">
        <v>450</v>
      </c>
      <c r="J1073" s="43" t="e">
        <f t="array" aca="1" ref="J1073" ca="1">_xludf.XLOOKUP(F1073, analysis!A:A, analysis!I:I)</f>
        <v>#NAME?</v>
      </c>
      <c r="K1073" s="10" t="e">
        <f t="array" aca="1" ref="K1073" ca="1">_xludf.XLOOKUP(F1073, analysis!A:A, analysis!J:J)</f>
        <v>#NAME?</v>
      </c>
      <c r="L1073" s="10" t="e">
        <f t="shared" ca="1" si="57"/>
        <v>#NAME?</v>
      </c>
      <c r="M1073" s="10" t="s">
        <v>1433</v>
      </c>
      <c r="N1073" s="37"/>
    </row>
    <row r="1074" spans="6:17" ht="13.2">
      <c r="F1074" s="10" t="s">
        <v>1635</v>
      </c>
      <c r="G1074" s="10" t="s">
        <v>1510</v>
      </c>
      <c r="H1074" s="10" t="s">
        <v>1444</v>
      </c>
      <c r="I1074" s="10">
        <v>15</v>
      </c>
      <c r="J1074" s="43" t="e">
        <f t="array" aca="1" ref="J1074" ca="1">_xludf.XLOOKUP(F1074, analysis!A:A, analysis!I:I)</f>
        <v>#NAME?</v>
      </c>
      <c r="K1074" s="10" t="e">
        <f t="array" aca="1" ref="K1074" ca="1">_xludf.XLOOKUP(F1074, analysis!A:A, analysis!J:J)</f>
        <v>#NAME?</v>
      </c>
      <c r="L1074" s="10" t="e">
        <f t="shared" ca="1" si="57"/>
        <v>#NAME?</v>
      </c>
      <c r="M1074" s="10" t="s">
        <v>1434</v>
      </c>
      <c r="N1074" s="37"/>
    </row>
    <row r="1075" spans="6:17" ht="13.2">
      <c r="F1075" s="10" t="s">
        <v>1449</v>
      </c>
      <c r="G1075" s="10" t="s">
        <v>738</v>
      </c>
      <c r="H1075" s="10" t="s">
        <v>1422</v>
      </c>
      <c r="I1075" s="10">
        <f>5*0.11</f>
        <v>0.55000000000000004</v>
      </c>
      <c r="J1075" s="43" t="e">
        <f t="array" aca="1" ref="J1075" ca="1">_xludf.XLOOKUP(F1075, analysis!A:A, analysis!I:I)</f>
        <v>#NAME?</v>
      </c>
      <c r="K1075" s="10" t="e">
        <f t="array" aca="1" ref="K1075" ca="1">_xludf.XLOOKUP(F1075, analysis!A:A, analysis!J:J)</f>
        <v>#NAME?</v>
      </c>
      <c r="L1075" s="10" t="e">
        <f t="shared" ca="1" si="57"/>
        <v>#NAME?</v>
      </c>
      <c r="M1075" s="10" t="s">
        <v>1437</v>
      </c>
      <c r="N1075" s="37"/>
    </row>
    <row r="1076" spans="6:17" ht="13.2">
      <c r="F1076" s="10" t="s">
        <v>1545</v>
      </c>
      <c r="G1076" s="10" t="s">
        <v>1688</v>
      </c>
      <c r="H1076" s="10" t="s">
        <v>1422</v>
      </c>
      <c r="I1076" s="10">
        <f>1.5*0.47</f>
        <v>0.70499999999999996</v>
      </c>
      <c r="J1076" s="43" t="e">
        <f t="array" aca="1" ref="J1076" ca="1">_xludf.XLOOKUP(F1076, analysis!A:A, analysis!I:I)</f>
        <v>#NAME?</v>
      </c>
      <c r="K1076" s="10" t="e">
        <f t="array" aca="1" ref="K1076" ca="1">_xludf.XLOOKUP(F1076, analysis!A:A, analysis!J:J)</f>
        <v>#NAME?</v>
      </c>
      <c r="L1076" s="10" t="e">
        <f t="shared" ca="1" si="57"/>
        <v>#NAME?</v>
      </c>
      <c r="M1076" s="10" t="s">
        <v>1474</v>
      </c>
      <c r="N1076" s="37"/>
    </row>
    <row r="1077" spans="6:17" ht="13.2">
      <c r="F1077" s="10" t="s">
        <v>712</v>
      </c>
      <c r="G1077" s="10" t="s">
        <v>1689</v>
      </c>
      <c r="H1077" s="10" t="s">
        <v>1422</v>
      </c>
      <c r="I1077" s="10">
        <f>2.5*0.89</f>
        <v>2.2250000000000001</v>
      </c>
      <c r="J1077" s="43" t="e">
        <f t="array" aca="1" ref="J1077" ca="1">_xludf.XLOOKUP(F1077, analysis!A:A, analysis!I:I)</f>
        <v>#NAME?</v>
      </c>
      <c r="K1077" s="10" t="e">
        <f t="array" aca="1" ref="K1077" ca="1">_xludf.XLOOKUP(F1077, analysis!A:A, analysis!J:J)</f>
        <v>#NAME?</v>
      </c>
      <c r="L1077" s="10" t="e">
        <f t="shared" ca="1" si="57"/>
        <v>#NAME?</v>
      </c>
      <c r="M1077" s="10" t="s">
        <v>1625</v>
      </c>
      <c r="N1077" s="37"/>
    </row>
    <row r="1078" spans="6:17" ht="13.2">
      <c r="F1078" s="10" t="s">
        <v>1467</v>
      </c>
      <c r="G1078" s="10" t="s">
        <v>746</v>
      </c>
      <c r="H1078" s="10" t="s">
        <v>1422</v>
      </c>
      <c r="I1078" s="10">
        <f>15*0.994</f>
        <v>14.91</v>
      </c>
      <c r="J1078" s="43" t="e">
        <f t="array" aca="1" ref="J1078" ca="1">_xludf.XLOOKUP(F1078, analysis!A:A, analysis!I:I)</f>
        <v>#NAME?</v>
      </c>
      <c r="K1078" s="10" t="e">
        <f t="array" aca="1" ref="K1078" ca="1">_xludf.XLOOKUP(F1078, analysis!A:A, analysis!J:J)</f>
        <v>#NAME?</v>
      </c>
      <c r="L1078" s="10" t="e">
        <f t="shared" ca="1" si="57"/>
        <v>#NAME?</v>
      </c>
      <c r="M1078" s="20"/>
      <c r="N1078" s="37"/>
    </row>
    <row r="1079" spans="6:17" ht="13.2">
      <c r="F1079" s="10" t="s">
        <v>700</v>
      </c>
      <c r="G1079" s="10" t="s">
        <v>1690</v>
      </c>
      <c r="H1079" s="10" t="s">
        <v>1444</v>
      </c>
      <c r="I1079" s="10">
        <v>65</v>
      </c>
      <c r="J1079" s="43" t="e">
        <f t="array" aca="1" ref="J1079" ca="1">_xludf.XLOOKUP(F1079, analysis!A:A, analysis!I:I)</f>
        <v>#NAME?</v>
      </c>
      <c r="K1079" s="10" t="e">
        <f t="array" aca="1" ref="K1079" ca="1">_xludf.XLOOKUP(F1079, analysis!A:A, analysis!J:J)</f>
        <v>#NAME?</v>
      </c>
      <c r="L1079" s="10" t="e">
        <f t="shared" ca="1" si="57"/>
        <v>#NAME?</v>
      </c>
      <c r="M1079" s="20"/>
      <c r="N1079" s="37"/>
    </row>
    <row r="1080" spans="6:17" ht="13.2">
      <c r="F1080" s="10" t="s">
        <v>1485</v>
      </c>
      <c r="G1080" s="10" t="s">
        <v>1555</v>
      </c>
      <c r="H1080" s="10" t="s">
        <v>1444</v>
      </c>
      <c r="I1080" s="10">
        <v>40</v>
      </c>
      <c r="J1080" s="43" t="e">
        <f t="array" aca="1" ref="J1080" ca="1">_xludf.XLOOKUP(F1080, analysis!A:A, analysis!I:I)</f>
        <v>#NAME?</v>
      </c>
      <c r="K1080" s="10" t="e">
        <f t="array" aca="1" ref="K1080" ca="1">_xludf.XLOOKUP(F1080, analysis!A:A, analysis!J:J)</f>
        <v>#NAME?</v>
      </c>
      <c r="L1080" s="10" t="e">
        <f t="shared" ca="1" si="57"/>
        <v>#NAME?</v>
      </c>
      <c r="M1080" s="20"/>
      <c r="N1080" s="37"/>
    </row>
    <row r="1081" spans="6:17" ht="13.2">
      <c r="J1081" s="43"/>
      <c r="M1081" s="20"/>
      <c r="N1081" s="37"/>
    </row>
    <row r="1082" spans="6:17" ht="13.2">
      <c r="K1082" s="20" t="s">
        <v>1441</v>
      </c>
      <c r="L1082" s="37" t="e">
        <f ca="1">SUM(L1065:L1080)</f>
        <v>#NAME?</v>
      </c>
      <c r="M1082" s="20" t="s">
        <v>1442</v>
      </c>
      <c r="N1082" s="37">
        <f>SUM(N1065:N1077)</f>
        <v>121.36910524725275</v>
      </c>
    </row>
    <row r="1083" spans="6:17" ht="13.2">
      <c r="F1083" s="184" t="s">
        <v>864</v>
      </c>
      <c r="G1083" s="180"/>
      <c r="H1083" s="180"/>
      <c r="I1083" s="180"/>
      <c r="J1083" s="180"/>
      <c r="K1083" s="180"/>
      <c r="L1083" s="180"/>
      <c r="M1083" s="180"/>
      <c r="N1083" s="180"/>
      <c r="O1083" s="180"/>
    </row>
    <row r="1084" spans="6:17" ht="13.2">
      <c r="F1084" s="10" t="s">
        <v>1408</v>
      </c>
      <c r="G1084" s="10" t="s">
        <v>543</v>
      </c>
      <c r="H1084" s="10" t="s">
        <v>1409</v>
      </c>
      <c r="I1084" s="10" t="s">
        <v>1410</v>
      </c>
      <c r="J1084" s="10" t="s">
        <v>1411</v>
      </c>
      <c r="K1084" s="10" t="s">
        <v>1412</v>
      </c>
      <c r="L1084" s="10" t="s">
        <v>1413</v>
      </c>
      <c r="M1084" s="179" t="s">
        <v>1468</v>
      </c>
      <c r="N1084" s="180"/>
      <c r="O1084" s="10" t="s">
        <v>1415</v>
      </c>
    </row>
    <row r="1085" spans="6:17" ht="13.2">
      <c r="F1085" s="10" t="s">
        <v>1684</v>
      </c>
      <c r="G1085" s="17">
        <v>46024</v>
      </c>
      <c r="H1085" s="10" t="s">
        <v>1499</v>
      </c>
      <c r="I1085" s="10">
        <v>50</v>
      </c>
      <c r="J1085" s="43" t="e">
        <f t="array" aca="1" ref="J1085" ca="1">_xludf.XLOOKUP(F1085, analysis!A:A, analysis!I:I)</f>
        <v>#NAME?</v>
      </c>
      <c r="K1085" s="10" t="e">
        <f t="array" aca="1" ref="K1085" ca="1">_xludf.XLOOKUP(F1085, analysis!A:A, analysis!J:J)</f>
        <v>#NAME?</v>
      </c>
      <c r="L1085" s="10" t="e">
        <f t="shared" ref="L1085:L1101" ca="1" si="58">K1085*I1085*J1085/1000</f>
        <v>#NAME?</v>
      </c>
      <c r="M1085" s="10" t="s">
        <v>1417</v>
      </c>
      <c r="P1085" s="10" t="str">
        <f ca="1">IFERROR(__xludf.DUMMYFUNCTION("transpose(split(F1085,CHAR(10)))"),"french bread")</f>
        <v>french bread</v>
      </c>
      <c r="Q1085" s="17">
        <f ca="1">IFERROR(__xludf.DUMMYFUNCTION("transpose(split(G1085,CHAR(10)))"),46024)</f>
        <v>46024</v>
      </c>
    </row>
    <row r="1086" spans="6:17" ht="13.2">
      <c r="F1086" s="10" t="s">
        <v>640</v>
      </c>
      <c r="G1086" s="10" t="s">
        <v>1691</v>
      </c>
      <c r="H1086" s="10" t="s">
        <v>1422</v>
      </c>
      <c r="I1086" s="10">
        <f>500*1.04</f>
        <v>520</v>
      </c>
      <c r="J1086" s="43" t="e">
        <f t="array" aca="1" ref="J1086" ca="1">_xludf.XLOOKUP(F1086, analysis!A:A, analysis!I:I)</f>
        <v>#NAME?</v>
      </c>
      <c r="K1086" s="10" t="e">
        <f t="array" aca="1" ref="K1086" ca="1">_xludf.XLOOKUP(F1086, analysis!A:A, analysis!J:J)</f>
        <v>#NAME?</v>
      </c>
      <c r="L1086" s="10" t="e">
        <f t="shared" ca="1" si="58"/>
        <v>#NAME?</v>
      </c>
      <c r="M1086" s="10" t="s">
        <v>1420</v>
      </c>
      <c r="N1086" s="37"/>
    </row>
    <row r="1087" spans="6:17" ht="13.2">
      <c r="F1087" s="10" t="s">
        <v>1692</v>
      </c>
      <c r="G1087" s="10" t="s">
        <v>1693</v>
      </c>
      <c r="H1087" s="10" t="s">
        <v>1422</v>
      </c>
      <c r="I1087" s="10">
        <v>750</v>
      </c>
      <c r="J1087" s="43" t="e">
        <f t="array" aca="1" ref="J1087" ca="1">_xludf.XLOOKUP(F1087, analysis!A:A, analysis!I:I)</f>
        <v>#NAME?</v>
      </c>
      <c r="K1087" s="10" t="e">
        <f t="array" aca="1" ref="K1087" ca="1">_xludf.XLOOKUP(F1087, analysis!A:A, analysis!J:J)</f>
        <v>#NAME?</v>
      </c>
      <c r="L1087" s="10" t="e">
        <f t="shared" ca="1" si="58"/>
        <v>#NAME?</v>
      </c>
      <c r="M1087" s="10" t="s">
        <v>1423</v>
      </c>
      <c r="N1087" s="37"/>
    </row>
    <row r="1088" spans="6:17" ht="13.2">
      <c r="F1088" s="10" t="s">
        <v>1661</v>
      </c>
      <c r="G1088" s="10" t="s">
        <v>721</v>
      </c>
      <c r="H1088" s="10" t="s">
        <v>1444</v>
      </c>
      <c r="I1088" s="10">
        <v>450</v>
      </c>
      <c r="J1088" s="43" t="e">
        <f t="array" aca="1" ref="J1088" ca="1">_xludf.XLOOKUP(F1088, analysis!A:A, analysis!I:I)</f>
        <v>#NAME?</v>
      </c>
      <c r="K1088" s="10" t="e">
        <f t="array" aca="1" ref="K1088" ca="1">_xludf.XLOOKUP(F1088, analysis!A:A, analysis!J:J)</f>
        <v>#NAME?</v>
      </c>
      <c r="L1088" s="10" t="e">
        <f t="shared" ca="1" si="58"/>
        <v>#NAME?</v>
      </c>
      <c r="M1088" s="10" t="s">
        <v>1425</v>
      </c>
      <c r="N1088" s="10">
        <f>(I1087*4.2*80/0.63+(4/60)*5773920)*(10^-6)*50</f>
        <v>39.246400000000001</v>
      </c>
    </row>
    <row r="1089" spans="6:14" ht="13.2">
      <c r="F1089" s="10" t="s">
        <v>709</v>
      </c>
      <c r="G1089" s="10" t="s">
        <v>1690</v>
      </c>
      <c r="H1089" s="10" t="s">
        <v>1444</v>
      </c>
      <c r="I1089" s="10">
        <v>65</v>
      </c>
      <c r="J1089" s="43" t="e">
        <f t="array" aca="1" ref="J1089" ca="1">_xludf.XLOOKUP(F1089, analysis!A:A, analysis!I:I)</f>
        <v>#NAME?</v>
      </c>
      <c r="K1089" s="10" t="e">
        <f t="array" aca="1" ref="K1089" ca="1">_xludf.XLOOKUP(F1089, analysis!A:A, analysis!J:J)</f>
        <v>#NAME?</v>
      </c>
      <c r="L1089" s="10" t="e">
        <f t="shared" ca="1" si="58"/>
        <v>#NAME?</v>
      </c>
      <c r="M1089" s="10" t="s">
        <v>1428</v>
      </c>
      <c r="N1089" s="37"/>
    </row>
    <row r="1090" spans="6:14" ht="13.2">
      <c r="F1090" s="10" t="s">
        <v>1633</v>
      </c>
      <c r="G1090" s="10" t="s">
        <v>1694</v>
      </c>
      <c r="H1090" s="10" t="s">
        <v>1444</v>
      </c>
      <c r="I1090" s="10">
        <v>75</v>
      </c>
      <c r="J1090" s="43" t="e">
        <f t="array" aca="1" ref="J1090" ca="1">_xludf.XLOOKUP(F1090, analysis!A:A, analysis!I:I)</f>
        <v>#NAME?</v>
      </c>
      <c r="K1090" s="10" t="e">
        <f t="array" aca="1" ref="K1090" ca="1">_xludf.XLOOKUP(F1090, analysis!A:A, analysis!J:J)</f>
        <v>#NAME?</v>
      </c>
      <c r="L1090" s="10" t="e">
        <f t="shared" ca="1" si="58"/>
        <v>#NAME?</v>
      </c>
      <c r="M1090" s="10" t="s">
        <v>1429</v>
      </c>
      <c r="N1090" s="37"/>
    </row>
    <row r="1091" spans="6:14" ht="13.2">
      <c r="F1091" s="10" t="s">
        <v>1632</v>
      </c>
      <c r="G1091" s="10" t="s">
        <v>1694</v>
      </c>
      <c r="H1091" s="10" t="s">
        <v>1444</v>
      </c>
      <c r="I1091" s="10">
        <v>75</v>
      </c>
      <c r="J1091" s="43" t="e">
        <f t="array" aca="1" ref="J1091" ca="1">_xludf.XLOOKUP(F1091, analysis!A:A, analysis!I:I)</f>
        <v>#NAME?</v>
      </c>
      <c r="K1091" s="10" t="e">
        <f t="array" aca="1" ref="K1091" ca="1">_xludf.XLOOKUP(F1091, analysis!A:A, analysis!J:J)</f>
        <v>#NAME?</v>
      </c>
      <c r="L1091" s="10" t="e">
        <f t="shared" ca="1" si="58"/>
        <v>#NAME?</v>
      </c>
      <c r="M1091" s="10" t="s">
        <v>1430</v>
      </c>
      <c r="N1091" s="37"/>
    </row>
    <row r="1092" spans="6:14" ht="13.2">
      <c r="F1092" s="10" t="s">
        <v>1631</v>
      </c>
      <c r="G1092" s="10" t="s">
        <v>1689</v>
      </c>
      <c r="H1092" s="10" t="s">
        <v>1422</v>
      </c>
      <c r="I1092" s="10">
        <f>0.41*2.5</f>
        <v>1.0249999999999999</v>
      </c>
      <c r="J1092" s="43" t="e">
        <f t="array" aca="1" ref="J1092" ca="1">_xludf.XLOOKUP(F1092, analysis!A:A, analysis!I:I)</f>
        <v>#NAME?</v>
      </c>
      <c r="K1092" s="10" t="e">
        <f t="array" aca="1" ref="K1092" ca="1">_xludf.XLOOKUP(F1092, analysis!A:A, analysis!J:J)</f>
        <v>#NAME?</v>
      </c>
      <c r="L1092" s="10" t="e">
        <f t="shared" ca="1" si="58"/>
        <v>#NAME?</v>
      </c>
      <c r="M1092" s="10" t="s">
        <v>1432</v>
      </c>
      <c r="N1092" s="37"/>
    </row>
    <row r="1093" spans="6:14" ht="13.2">
      <c r="F1093" s="10" t="s">
        <v>1545</v>
      </c>
      <c r="G1093" s="10" t="s">
        <v>1688</v>
      </c>
      <c r="H1093" s="10" t="s">
        <v>1422</v>
      </c>
      <c r="I1093" s="10">
        <f>0.47*1.5</f>
        <v>0.70499999999999996</v>
      </c>
      <c r="J1093" s="43" t="e">
        <f t="array" aca="1" ref="J1093" ca="1">_xludf.XLOOKUP(F1093, analysis!A:A, analysis!I:I)</f>
        <v>#NAME?</v>
      </c>
      <c r="K1093" s="10" t="e">
        <f t="array" aca="1" ref="K1093" ca="1">_xludf.XLOOKUP(F1093, analysis!A:A, analysis!J:J)</f>
        <v>#NAME?</v>
      </c>
      <c r="L1093" s="10" t="e">
        <f t="shared" ca="1" si="58"/>
        <v>#NAME?</v>
      </c>
      <c r="M1093" s="10" t="s">
        <v>1433</v>
      </c>
      <c r="N1093" s="37"/>
    </row>
    <row r="1094" spans="6:14" ht="13.2">
      <c r="F1094" s="10" t="s">
        <v>1495</v>
      </c>
      <c r="G1094" s="10" t="s">
        <v>1506</v>
      </c>
      <c r="H1094" s="10" t="s">
        <v>1422</v>
      </c>
      <c r="I1094" s="10">
        <f>30*1.02</f>
        <v>30.6</v>
      </c>
      <c r="J1094" s="43" t="e">
        <f t="array" aca="1" ref="J1094" ca="1">_xludf.XLOOKUP(F1094, analysis!A:A, analysis!I:I)</f>
        <v>#NAME?</v>
      </c>
      <c r="K1094" s="10" t="e">
        <f t="array" aca="1" ref="K1094" ca="1">_xludf.XLOOKUP(F1094, analysis!A:A, analysis!J:J)</f>
        <v>#NAME?</v>
      </c>
      <c r="L1094" s="10" t="e">
        <f t="shared" ca="1" si="58"/>
        <v>#NAME?</v>
      </c>
      <c r="M1094" s="10" t="s">
        <v>1434</v>
      </c>
      <c r="N1094" s="37"/>
    </row>
    <row r="1095" spans="6:14" ht="13.2">
      <c r="F1095" s="10" t="s">
        <v>712</v>
      </c>
      <c r="G1095" s="10" t="s">
        <v>746</v>
      </c>
      <c r="H1095" s="10" t="s">
        <v>1422</v>
      </c>
      <c r="I1095" s="10">
        <f>0.89*15</f>
        <v>13.35</v>
      </c>
      <c r="J1095" s="43" t="e">
        <f t="array" aca="1" ref="J1095" ca="1">_xludf.XLOOKUP(F1095, analysis!A:A, analysis!I:I)</f>
        <v>#NAME?</v>
      </c>
      <c r="K1095" s="10" t="e">
        <f t="array" aca="1" ref="K1095" ca="1">_xludf.XLOOKUP(F1095, analysis!A:A, analysis!J:J)</f>
        <v>#NAME?</v>
      </c>
      <c r="L1095" s="10" t="e">
        <f t="shared" ca="1" si="58"/>
        <v>#NAME?</v>
      </c>
      <c r="M1095" s="10" t="s">
        <v>1437</v>
      </c>
      <c r="N1095" s="37">
        <f>((3.5/60)*5773920+(10/60)*5773920+(2/60)*5773920+(3.5/60)*5773920)*(10^-6)*50</f>
        <v>91.420399999999987</v>
      </c>
    </row>
    <row r="1096" spans="6:14" ht="13.2">
      <c r="F1096" s="10" t="s">
        <v>663</v>
      </c>
      <c r="G1096" s="10" t="s">
        <v>749</v>
      </c>
      <c r="H1096" s="10" t="s">
        <v>1422</v>
      </c>
      <c r="I1096" s="10">
        <f>1.02*200</f>
        <v>204</v>
      </c>
      <c r="J1096" s="43" t="e">
        <f t="array" aca="1" ref="J1096" ca="1">_xludf.XLOOKUP(F1096, analysis!A:A, analysis!I:I)</f>
        <v>#NAME?</v>
      </c>
      <c r="K1096" s="10" t="e">
        <f t="array" aca="1" ref="K1096" ca="1">_xludf.XLOOKUP(F1096, analysis!A:A, analysis!J:J)</f>
        <v>#NAME?</v>
      </c>
      <c r="L1096" s="10" t="e">
        <f t="shared" ca="1" si="58"/>
        <v>#NAME?</v>
      </c>
      <c r="M1096" s="10" t="s">
        <v>1474</v>
      </c>
      <c r="N1096" s="37"/>
    </row>
    <row r="1097" spans="6:14" ht="13.2">
      <c r="F1097" s="10" t="s">
        <v>1660</v>
      </c>
      <c r="G1097" s="10" t="s">
        <v>738</v>
      </c>
      <c r="H1097" s="10" t="s">
        <v>1422</v>
      </c>
      <c r="I1097" s="10">
        <f>5*1.01</f>
        <v>5.05</v>
      </c>
      <c r="J1097" s="43" t="e">
        <f t="array" aca="1" ref="J1097" ca="1">_xludf.XLOOKUP(F1097, analysis!A:A, analysis!I:I)</f>
        <v>#NAME?</v>
      </c>
      <c r="K1097" s="10" t="e">
        <f t="array" aca="1" ref="K1097" ca="1">_xludf.XLOOKUP(F1097, analysis!A:A, analysis!J:J)</f>
        <v>#NAME?</v>
      </c>
      <c r="L1097" s="10" t="e">
        <f t="shared" ca="1" si="58"/>
        <v>#NAME?</v>
      </c>
      <c r="M1097" s="10" t="s">
        <v>1625</v>
      </c>
      <c r="N1097" s="37"/>
    </row>
    <row r="1098" spans="6:14" ht="13.2">
      <c r="F1098" s="10" t="s">
        <v>646</v>
      </c>
      <c r="G1098" s="10" t="s">
        <v>1439</v>
      </c>
      <c r="H1098" s="10">
        <v>0</v>
      </c>
      <c r="I1098" s="10">
        <v>0</v>
      </c>
      <c r="J1098" s="43" t="e">
        <f t="array" aca="1" ref="J1098" ca="1">_xludf.XLOOKUP(F1098, analysis!A:A, analysis!I:I)</f>
        <v>#NAME?</v>
      </c>
      <c r="K1098" s="10" t="e">
        <f t="array" aca="1" ref="K1098" ca="1">_xludf.XLOOKUP(F1098, analysis!A:A, analysis!J:J)</f>
        <v>#NAME?</v>
      </c>
      <c r="L1098" s="10" t="e">
        <f t="shared" ca="1" si="58"/>
        <v>#NAME?</v>
      </c>
      <c r="M1098" s="20"/>
      <c r="N1098" s="37"/>
    </row>
    <row r="1099" spans="6:14" ht="13.2">
      <c r="F1099" s="10" t="s">
        <v>1440</v>
      </c>
      <c r="G1099" s="10" t="s">
        <v>1439</v>
      </c>
      <c r="H1099" s="10">
        <v>0</v>
      </c>
      <c r="I1099" s="10">
        <v>0</v>
      </c>
      <c r="J1099" s="43" t="e">
        <f t="array" aca="1" ref="J1099" ca="1">_xludf.XLOOKUP(F1099, analysis!A:A, analysis!I:I)</f>
        <v>#NAME?</v>
      </c>
      <c r="K1099" s="10" t="e">
        <f t="array" aca="1" ref="K1099" ca="1">_xludf.XLOOKUP(F1099, analysis!A:A, analysis!J:J)</f>
        <v>#NAME?</v>
      </c>
      <c r="L1099" s="10" t="e">
        <f t="shared" ca="1" si="58"/>
        <v>#NAME?</v>
      </c>
      <c r="M1099" s="20"/>
      <c r="N1099" s="37"/>
    </row>
    <row r="1100" spans="6:14" ht="13.2">
      <c r="F1100" s="10" t="s">
        <v>709</v>
      </c>
      <c r="G1100" s="10" t="s">
        <v>1439</v>
      </c>
      <c r="H1100" s="10">
        <v>0</v>
      </c>
      <c r="I1100" s="10">
        <v>0</v>
      </c>
      <c r="J1100" s="43" t="e">
        <f t="array" aca="1" ref="J1100" ca="1">_xludf.XLOOKUP(F1100, analysis!A:A, analysis!I:I)</f>
        <v>#NAME?</v>
      </c>
      <c r="K1100" s="10" t="e">
        <f t="array" aca="1" ref="K1100" ca="1">_xludf.XLOOKUP(F1100, analysis!A:A, analysis!J:J)</f>
        <v>#NAME?</v>
      </c>
      <c r="L1100" s="10" t="e">
        <f t="shared" ca="1" si="58"/>
        <v>#NAME?</v>
      </c>
      <c r="M1100" s="20"/>
      <c r="N1100" s="37"/>
    </row>
    <row r="1101" spans="6:14" ht="13.2">
      <c r="F1101" s="10" t="s">
        <v>1495</v>
      </c>
      <c r="G1101" s="10" t="s">
        <v>1439</v>
      </c>
      <c r="H1101" s="10">
        <v>0</v>
      </c>
      <c r="I1101" s="10">
        <v>0</v>
      </c>
      <c r="J1101" s="43" t="e">
        <f t="array" aca="1" ref="J1101" ca="1">_xludf.XLOOKUP(F1101, analysis!A:A, analysis!I:I)</f>
        <v>#NAME?</v>
      </c>
      <c r="K1101" s="10" t="e">
        <f t="array" aca="1" ref="K1101" ca="1">_xludf.XLOOKUP(F1101, analysis!A:A, analysis!J:J)</f>
        <v>#NAME?</v>
      </c>
      <c r="L1101" s="10" t="e">
        <f t="shared" ca="1" si="58"/>
        <v>#NAME?</v>
      </c>
      <c r="M1101" s="20"/>
      <c r="N1101" s="37"/>
    </row>
    <row r="1102" spans="6:14" ht="13.2">
      <c r="K1102" s="20"/>
      <c r="L1102" s="37"/>
      <c r="M1102" s="20"/>
      <c r="N1102" s="37"/>
    </row>
    <row r="1103" spans="6:14" ht="13.2">
      <c r="K1103" s="20" t="s">
        <v>1441</v>
      </c>
      <c r="L1103" s="37" t="e">
        <f ca="1">SUM(L1085:L1101)</f>
        <v>#NAME?</v>
      </c>
      <c r="M1103" s="20" t="s">
        <v>1442</v>
      </c>
      <c r="N1103" s="37">
        <f>SUM(N1085:N1097)</f>
        <v>130.66679999999999</v>
      </c>
    </row>
    <row r="1104" spans="6:14" ht="13.2">
      <c r="K1104" s="20"/>
      <c r="L1104" s="37"/>
      <c r="M1104" s="20"/>
      <c r="N1104" s="37"/>
    </row>
    <row r="1105" spans="6:17" ht="13.2">
      <c r="F1105" s="184" t="s">
        <v>1163</v>
      </c>
      <c r="G1105" s="180"/>
      <c r="H1105" s="180"/>
      <c r="I1105" s="180"/>
      <c r="J1105" s="180"/>
      <c r="K1105" s="180"/>
      <c r="L1105" s="180"/>
      <c r="M1105" s="180"/>
      <c r="N1105" s="180"/>
      <c r="O1105" s="180"/>
    </row>
    <row r="1106" spans="6:17" ht="13.2">
      <c r="F1106" s="10" t="s">
        <v>1408</v>
      </c>
      <c r="G1106" s="10" t="s">
        <v>543</v>
      </c>
      <c r="H1106" s="10" t="s">
        <v>1409</v>
      </c>
      <c r="I1106" s="10" t="s">
        <v>1410</v>
      </c>
      <c r="J1106" s="10" t="s">
        <v>1411</v>
      </c>
      <c r="K1106" s="10" t="s">
        <v>1412</v>
      </c>
      <c r="L1106" s="10" t="s">
        <v>1413</v>
      </c>
      <c r="M1106" s="179" t="s">
        <v>1468</v>
      </c>
      <c r="N1106" s="180"/>
      <c r="O1106" s="10" t="s">
        <v>1415</v>
      </c>
    </row>
    <row r="1107" spans="6:17" ht="13.2">
      <c r="F1107" s="10" t="s">
        <v>1421</v>
      </c>
      <c r="G1107" s="10" t="s">
        <v>1506</v>
      </c>
      <c r="H1107" s="10" t="s">
        <v>1422</v>
      </c>
      <c r="I1107" s="10">
        <f>0.914*30</f>
        <v>27.42</v>
      </c>
      <c r="J1107" s="43" t="e">
        <f t="array" aca="1" ref="J1107" ca="1">_xludf.XLOOKUP(F1107, analysis!A:A, analysis!I:I)</f>
        <v>#NAME?</v>
      </c>
      <c r="K1107" s="10" t="e">
        <f t="array" aca="1" ref="K1107" ca="1">_xludf.XLOOKUP(F1107, analysis!A:A, analysis!J:J)</f>
        <v>#NAME?</v>
      </c>
      <c r="L1107" s="10" t="e">
        <f t="shared" ref="L1107:L1119" ca="1" si="59">K1107*I1107*J1107/1000</f>
        <v>#NAME?</v>
      </c>
      <c r="M1107" s="10" t="s">
        <v>1417</v>
      </c>
      <c r="P1107" s="10" t="str">
        <f ca="1">IFERROR(__xludf.DUMMYFUNCTION("transpose(split(F1107,CHAR(10)))"),"olive oil")</f>
        <v>olive oil</v>
      </c>
      <c r="Q1107" s="10" t="str">
        <f ca="1">IFERROR(__xludf.DUMMYFUNCTION("transpose(split(G1107,CHAR(10)))"),"30ml")</f>
        <v>30ml</v>
      </c>
    </row>
    <row r="1108" spans="6:17" ht="13.2">
      <c r="F1108" s="10" t="s">
        <v>737</v>
      </c>
      <c r="G1108" s="10">
        <v>4</v>
      </c>
      <c r="H1108" s="10" t="s">
        <v>1416</v>
      </c>
      <c r="I1108" s="10">
        <f>4.4*4</f>
        <v>17.600000000000001</v>
      </c>
      <c r="J1108" s="43" t="e">
        <f t="array" aca="1" ref="J1108" ca="1">_xludf.XLOOKUP(F1108, analysis!A:A, analysis!I:I)</f>
        <v>#NAME?</v>
      </c>
      <c r="K1108" s="10" t="e">
        <f t="array" aca="1" ref="K1108" ca="1">_xludf.XLOOKUP(F1108, analysis!A:A, analysis!J:J)</f>
        <v>#NAME?</v>
      </c>
      <c r="L1108" s="10" t="e">
        <f t="shared" ca="1" si="59"/>
        <v>#NAME?</v>
      </c>
      <c r="M1108" s="10" t="s">
        <v>1420</v>
      </c>
      <c r="N1108" s="37"/>
    </row>
    <row r="1109" spans="6:17" ht="13.2">
      <c r="F1109" s="10" t="s">
        <v>1456</v>
      </c>
      <c r="G1109" s="10">
        <v>1</v>
      </c>
      <c r="H1109" s="10" t="s">
        <v>1416</v>
      </c>
      <c r="I1109" s="10">
        <v>46</v>
      </c>
      <c r="J1109" s="43" t="e">
        <f t="array" aca="1" ref="J1109" ca="1">_xludf.XLOOKUP(F1109, analysis!A:A, analysis!I:I)</f>
        <v>#NAME?</v>
      </c>
      <c r="K1109" s="10" t="e">
        <f t="array" aca="1" ref="K1109" ca="1">_xludf.XLOOKUP(F1109, analysis!A:A, analysis!J:J)</f>
        <v>#NAME?</v>
      </c>
      <c r="L1109" s="10" t="e">
        <f t="shared" ca="1" si="59"/>
        <v>#NAME?</v>
      </c>
      <c r="M1109" s="10" t="s">
        <v>1423</v>
      </c>
      <c r="N1109" s="37"/>
    </row>
    <row r="1110" spans="6:17" ht="13.2">
      <c r="F1110" s="10" t="s">
        <v>651</v>
      </c>
      <c r="G1110" s="10">
        <v>2</v>
      </c>
      <c r="H1110" s="10" t="s">
        <v>1416</v>
      </c>
      <c r="I1110" s="10">
        <f>2*70</f>
        <v>140</v>
      </c>
      <c r="J1110" s="43" t="e">
        <f t="array" aca="1" ref="J1110" ca="1">_xludf.XLOOKUP(F1110, analysis!A:A, analysis!I:I)</f>
        <v>#NAME?</v>
      </c>
      <c r="K1110" s="10" t="e">
        <f t="array" aca="1" ref="K1110" ca="1">_xludf.XLOOKUP(F1110, analysis!A:A, analysis!J:J)</f>
        <v>#NAME?</v>
      </c>
      <c r="L1110" s="10" t="e">
        <f t="shared" ca="1" si="59"/>
        <v>#NAME?</v>
      </c>
      <c r="M1110" s="10" t="s">
        <v>1425</v>
      </c>
      <c r="N1110" s="37"/>
    </row>
    <row r="1111" spans="6:17" ht="13.2">
      <c r="F1111" s="10" t="s">
        <v>1475</v>
      </c>
      <c r="G1111" s="10">
        <v>3</v>
      </c>
      <c r="H1111" s="10" t="s">
        <v>1416</v>
      </c>
      <c r="I1111" s="10">
        <f>3*55</f>
        <v>165</v>
      </c>
      <c r="J1111" s="43" t="e">
        <f t="array" aca="1" ref="J1111" ca="1">_xludf.XLOOKUP(F1111, analysis!A:A, analysis!I:I)</f>
        <v>#NAME?</v>
      </c>
      <c r="K1111" s="10" t="e">
        <f t="array" aca="1" ref="K1111" ca="1">_xludf.XLOOKUP(F1111, analysis!A:A, analysis!J:J)</f>
        <v>#NAME?</v>
      </c>
      <c r="L1111" s="10" t="e">
        <f t="shared" ca="1" si="59"/>
        <v>#NAME?</v>
      </c>
      <c r="M1111" s="10" t="s">
        <v>1428</v>
      </c>
      <c r="N1111" s="37"/>
    </row>
    <row r="1112" spans="6:17" ht="13.2">
      <c r="F1112" s="10" t="s">
        <v>658</v>
      </c>
      <c r="G1112" s="10">
        <v>3</v>
      </c>
      <c r="H1112" s="10" t="s">
        <v>1416</v>
      </c>
      <c r="I1112" s="10">
        <f>3*100</f>
        <v>300</v>
      </c>
      <c r="J1112" s="43" t="e">
        <f t="array" aca="1" ref="J1112" ca="1">_xludf.XLOOKUP(F1112, analysis!A:A, analysis!I:I)</f>
        <v>#NAME?</v>
      </c>
      <c r="K1112" s="10" t="e">
        <f t="array" aca="1" ref="K1112" ca="1">_xludf.XLOOKUP(F1112, analysis!A:A, analysis!J:J)</f>
        <v>#NAME?</v>
      </c>
      <c r="L1112" s="10" t="e">
        <f t="shared" ca="1" si="59"/>
        <v>#NAME?</v>
      </c>
      <c r="M1112" s="10" t="s">
        <v>1429</v>
      </c>
      <c r="N1112" s="37"/>
    </row>
    <row r="1113" spans="6:17" ht="13.2">
      <c r="F1113" s="10" t="s">
        <v>1638</v>
      </c>
      <c r="G1113" s="10" t="s">
        <v>1695</v>
      </c>
      <c r="H1113" s="10" t="s">
        <v>1444</v>
      </c>
      <c r="I1113" s="10">
        <v>420</v>
      </c>
      <c r="J1113" s="43" t="e">
        <f t="array" aca="1" ref="J1113" ca="1">_xludf.XLOOKUP(F1113, analysis!A:A, analysis!I:I)</f>
        <v>#NAME?</v>
      </c>
      <c r="K1113" s="10" t="e">
        <f t="array" aca="1" ref="K1113" ca="1">_xludf.XLOOKUP(F1113, analysis!A:A, analysis!J:J)</f>
        <v>#NAME?</v>
      </c>
      <c r="L1113" s="10" t="e">
        <f t="shared" ca="1" si="59"/>
        <v>#NAME?</v>
      </c>
      <c r="M1113" s="10" t="s">
        <v>1430</v>
      </c>
      <c r="N1113" s="10">
        <f>(((I1107*1.97*160)/0.63)+(1/60)*5773920)*10^-6*50</f>
        <v>5.4975352380952378</v>
      </c>
    </row>
    <row r="1114" spans="6:17" ht="13.2">
      <c r="F1114" s="10" t="s">
        <v>1696</v>
      </c>
      <c r="G1114" s="10" t="s">
        <v>1697</v>
      </c>
      <c r="H1114" s="10" t="s">
        <v>1444</v>
      </c>
      <c r="I1114" s="10">
        <v>439</v>
      </c>
      <c r="J1114" s="43" t="e">
        <f t="array" aca="1" ref="J1114" ca="1">_xludf.XLOOKUP(F1114, analysis!A:A, analysis!I:I)</f>
        <v>#NAME?</v>
      </c>
      <c r="K1114" s="10" t="e">
        <f t="array" aca="1" ref="K1114" ca="1">_xludf.XLOOKUP(F1114, analysis!A:A, analysis!J:J)</f>
        <v>#NAME?</v>
      </c>
      <c r="L1114" s="10" t="e">
        <f t="shared" ca="1" si="59"/>
        <v>#NAME?</v>
      </c>
      <c r="M1114" s="10" t="s">
        <v>1432</v>
      </c>
      <c r="N1114" s="37"/>
    </row>
    <row r="1115" spans="6:17" ht="13.2">
      <c r="F1115" s="10" t="s">
        <v>646</v>
      </c>
      <c r="G1115" s="10" t="s">
        <v>1439</v>
      </c>
      <c r="H1115" s="10">
        <v>0</v>
      </c>
      <c r="I1115" s="10">
        <v>0</v>
      </c>
      <c r="J1115" s="43" t="e">
        <f t="array" aca="1" ref="J1115" ca="1">_xludf.XLOOKUP(F1115, analysis!A:A, analysis!I:I)</f>
        <v>#NAME?</v>
      </c>
      <c r="K1115" s="10" t="e">
        <f t="array" aca="1" ref="K1115" ca="1">_xludf.XLOOKUP(F1115, analysis!A:A, analysis!J:J)</f>
        <v>#NAME?</v>
      </c>
      <c r="L1115" s="10" t="e">
        <f t="shared" ca="1" si="59"/>
        <v>#NAME?</v>
      </c>
      <c r="M1115" s="10" t="s">
        <v>1433</v>
      </c>
      <c r="N1115" s="37"/>
    </row>
    <row r="1116" spans="6:17" ht="13.2">
      <c r="F1116" s="10" t="s">
        <v>1440</v>
      </c>
      <c r="G1116" s="10" t="s">
        <v>1439</v>
      </c>
      <c r="H1116" s="10">
        <v>0</v>
      </c>
      <c r="I1116" s="10">
        <v>0</v>
      </c>
      <c r="J1116" s="43" t="e">
        <f t="array" aca="1" ref="J1116" ca="1">_xludf.XLOOKUP(F1116, analysis!A:A, analysis!I:I)</f>
        <v>#NAME?</v>
      </c>
      <c r="K1116" s="10" t="e">
        <f t="array" aca="1" ref="K1116" ca="1">_xludf.XLOOKUP(F1116, analysis!A:A, analysis!J:J)</f>
        <v>#NAME?</v>
      </c>
      <c r="L1116" s="10" t="e">
        <f t="shared" ca="1" si="59"/>
        <v>#NAME?</v>
      </c>
      <c r="M1116" s="10" t="s">
        <v>1434</v>
      </c>
      <c r="N1116" s="37"/>
    </row>
    <row r="1117" spans="6:17" ht="13.2">
      <c r="F1117" s="10" t="s">
        <v>663</v>
      </c>
      <c r="G1117" s="10" t="s">
        <v>1496</v>
      </c>
      <c r="H1117" s="10" t="s">
        <v>1422</v>
      </c>
      <c r="I1117" s="10">
        <f>480*1.02</f>
        <v>489.6</v>
      </c>
      <c r="J1117" s="43" t="e">
        <f t="array" aca="1" ref="J1117" ca="1">_xludf.XLOOKUP(F1117, analysis!A:A, analysis!I:I)</f>
        <v>#NAME?</v>
      </c>
      <c r="K1117" s="10" t="e">
        <f t="array" aca="1" ref="K1117" ca="1">_xludf.XLOOKUP(F1117, analysis!A:A, analysis!J:J)</f>
        <v>#NAME?</v>
      </c>
      <c r="L1117" s="10" t="e">
        <f t="shared" ca="1" si="59"/>
        <v>#NAME?</v>
      </c>
      <c r="M1117" s="10" t="s">
        <v>1437</v>
      </c>
      <c r="N1117" s="37">
        <f>(12.5/60)*5773920*10^-6*50</f>
        <v>60.144999999999996</v>
      </c>
    </row>
    <row r="1118" spans="6:17" ht="13.2">
      <c r="F1118" s="10" t="s">
        <v>712</v>
      </c>
      <c r="G1118" s="10" t="s">
        <v>1596</v>
      </c>
      <c r="H1118" s="10" t="s">
        <v>1422</v>
      </c>
      <c r="I1118" s="10">
        <f>0.89*60</f>
        <v>53.4</v>
      </c>
      <c r="J1118" s="43" t="e">
        <f t="array" aca="1" ref="J1118" ca="1">_xludf.XLOOKUP(F1118, analysis!A:A, analysis!I:I)</f>
        <v>#NAME?</v>
      </c>
      <c r="K1118" s="10" t="e">
        <f t="array" aca="1" ref="K1118" ca="1">_xludf.XLOOKUP(F1118, analysis!A:A, analysis!J:J)</f>
        <v>#NAME?</v>
      </c>
      <c r="L1118" s="10" t="e">
        <f t="shared" ca="1" si="59"/>
        <v>#NAME?</v>
      </c>
      <c r="M1118" s="10" t="s">
        <v>1474</v>
      </c>
      <c r="N1118" s="37"/>
    </row>
    <row r="1119" spans="6:17" ht="13.2">
      <c r="F1119" s="10" t="s">
        <v>1635</v>
      </c>
      <c r="G1119" s="10" t="s">
        <v>1643</v>
      </c>
      <c r="H1119" s="10" t="s">
        <v>1444</v>
      </c>
      <c r="I1119" s="10">
        <v>5</v>
      </c>
      <c r="J1119" s="43" t="e">
        <f t="array" aca="1" ref="J1119" ca="1">_xludf.XLOOKUP(F1119, analysis!A:A, analysis!I:I)</f>
        <v>#NAME?</v>
      </c>
      <c r="K1119" s="10" t="e">
        <f t="array" aca="1" ref="K1119" ca="1">_xludf.XLOOKUP(F1119, analysis!A:A, analysis!J:J)</f>
        <v>#NAME?</v>
      </c>
      <c r="L1119" s="10" t="e">
        <f t="shared" ca="1" si="59"/>
        <v>#NAME?</v>
      </c>
      <c r="M1119" s="10" t="s">
        <v>1625</v>
      </c>
      <c r="N1119" s="37"/>
    </row>
    <row r="1120" spans="6:17" ht="13.2">
      <c r="K1120" s="20"/>
      <c r="L1120" s="37"/>
      <c r="M1120" s="20"/>
      <c r="N1120" s="37"/>
    </row>
    <row r="1121" spans="6:17" ht="13.2">
      <c r="K1121" s="20" t="s">
        <v>1441</v>
      </c>
      <c r="L1121" s="37" t="e">
        <f ca="1">SUM(L1107:L1119)</f>
        <v>#NAME?</v>
      </c>
      <c r="M1121" s="20" t="s">
        <v>1442</v>
      </c>
      <c r="N1121" s="37">
        <f>SUM(N1107:N1119)</f>
        <v>65.642535238095235</v>
      </c>
    </row>
    <row r="1122" spans="6:17" ht="13.2">
      <c r="F1122" s="184" t="s">
        <v>800</v>
      </c>
      <c r="G1122" s="180"/>
      <c r="H1122" s="180"/>
      <c r="I1122" s="180"/>
      <c r="J1122" s="180"/>
      <c r="K1122" s="180"/>
      <c r="L1122" s="180"/>
      <c r="M1122" s="180"/>
      <c r="N1122" s="180"/>
      <c r="O1122" s="180"/>
    </row>
    <row r="1123" spans="6:17" ht="13.2">
      <c r="F1123" s="10" t="s">
        <v>1408</v>
      </c>
      <c r="G1123" s="10" t="s">
        <v>543</v>
      </c>
      <c r="H1123" s="10" t="s">
        <v>1409</v>
      </c>
      <c r="I1123" s="10" t="s">
        <v>1410</v>
      </c>
      <c r="J1123" s="10" t="s">
        <v>1411</v>
      </c>
      <c r="K1123" s="10" t="s">
        <v>1412</v>
      </c>
      <c r="L1123" s="10" t="s">
        <v>1413</v>
      </c>
      <c r="M1123" s="179" t="s">
        <v>1468</v>
      </c>
      <c r="N1123" s="180"/>
      <c r="O1123" s="10" t="s">
        <v>1415</v>
      </c>
    </row>
    <row r="1124" spans="6:17" ht="13.2">
      <c r="F1124" s="10" t="s">
        <v>1698</v>
      </c>
      <c r="G1124" s="10" t="s">
        <v>1699</v>
      </c>
      <c r="H1124" s="10" t="s">
        <v>1444</v>
      </c>
      <c r="I1124" s="10">
        <v>450</v>
      </c>
      <c r="J1124" s="43" t="e">
        <f t="array" aca="1" ref="J1124" ca="1">_xludf.XLOOKUP(F1124, analysis!A:A, analysis!I:I)</f>
        <v>#NAME?</v>
      </c>
      <c r="K1124" s="10" t="e">
        <f t="array" aca="1" ref="K1124" ca="1">_xludf.XLOOKUP(F1124, analysis!A:A, analysis!J:J)</f>
        <v>#NAME?</v>
      </c>
      <c r="L1124" s="10" t="e">
        <f t="shared" ref="L1124:L1125" ca="1" si="60">K1124*I1124*J1124/1000</f>
        <v>#NAME?</v>
      </c>
      <c r="M1124" s="10" t="s">
        <v>1417</v>
      </c>
      <c r="P1124" s="10" t="str">
        <f ca="1">IFERROR(__xludf.DUMMYFUNCTION("transpose(split(F1124,CHAR(10)))"),"cassava starch")</f>
        <v>cassava starch</v>
      </c>
      <c r="Q1124" s="10" t="str">
        <f ca="1">IFERROR(__xludf.DUMMYFUNCTION("transpose(split(G1124,CHAR(10)))"),"450g ")</f>
        <v xml:space="preserve">450g </v>
      </c>
    </row>
    <row r="1125" spans="6:17" ht="13.2">
      <c r="F1125" s="10" t="s">
        <v>653</v>
      </c>
      <c r="G1125" s="10" t="s">
        <v>1700</v>
      </c>
      <c r="H1125" s="10" t="s">
        <v>1422</v>
      </c>
      <c r="I1125" s="10">
        <v>285</v>
      </c>
      <c r="J1125" s="43" t="e">
        <f t="array" aca="1" ref="J1125" ca="1">_xludf.XLOOKUP(F1125, analysis!A:A, analysis!I:I)</f>
        <v>#NAME?</v>
      </c>
      <c r="K1125" s="10" t="e">
        <f t="array" aca="1" ref="K1125" ca="1">_xludf.XLOOKUP(F1125, analysis!A:A, analysis!J:J)</f>
        <v>#NAME?</v>
      </c>
      <c r="L1125" s="10" t="e">
        <f t="shared" ca="1" si="60"/>
        <v>#NAME?</v>
      </c>
      <c r="M1125" s="10" t="s">
        <v>1420</v>
      </c>
      <c r="N1125" s="37"/>
    </row>
    <row r="1126" spans="6:17" ht="13.2">
      <c r="K1126" s="20"/>
      <c r="L1126" s="37"/>
      <c r="M1126" s="10" t="s">
        <v>1423</v>
      </c>
      <c r="N1126" s="37"/>
    </row>
    <row r="1127" spans="6:17" ht="13.2">
      <c r="M1127" s="10" t="s">
        <v>1425</v>
      </c>
    </row>
    <row r="1128" spans="6:17" ht="13.2">
      <c r="K1128" s="20"/>
      <c r="L1128" s="37"/>
      <c r="M1128" s="10" t="s">
        <v>1428</v>
      </c>
      <c r="N1128" s="37"/>
    </row>
    <row r="1129" spans="6:17" ht="13.2">
      <c r="K1129" s="20"/>
      <c r="L1129" s="37"/>
      <c r="M1129" s="10" t="s">
        <v>1429</v>
      </c>
      <c r="N1129" s="37"/>
    </row>
    <row r="1130" spans="6:17" ht="13.2">
      <c r="K1130" s="20"/>
      <c r="L1130" s="37"/>
      <c r="M1130" s="10" t="s">
        <v>1430</v>
      </c>
      <c r="N1130" s="10">
        <f>((2/60)*5773920)*(10^-6)*50</f>
        <v>9.6232000000000006</v>
      </c>
    </row>
    <row r="1131" spans="6:17" ht="13.2">
      <c r="K1131" s="20"/>
      <c r="L1131" s="37"/>
      <c r="M1131" s="10" t="s">
        <v>1432</v>
      </c>
      <c r="N1131" s="37"/>
    </row>
    <row r="1132" spans="6:17" ht="13.2">
      <c r="K1132" s="20"/>
      <c r="L1132" s="37"/>
      <c r="M1132" s="10" t="s">
        <v>1433</v>
      </c>
      <c r="N1132" s="37"/>
    </row>
    <row r="1133" spans="6:17" ht="13.2">
      <c r="K1133" s="20"/>
      <c r="L1133" s="37"/>
      <c r="M1133" s="10" t="s">
        <v>1434</v>
      </c>
      <c r="N1133" s="37"/>
    </row>
    <row r="1134" spans="6:17" ht="13.2">
      <c r="K1134" s="20"/>
      <c r="L1134" s="37"/>
      <c r="M1134" s="10" t="s">
        <v>1437</v>
      </c>
      <c r="N1134" s="37"/>
    </row>
    <row r="1135" spans="6:17" ht="13.2">
      <c r="K1135" s="20"/>
      <c r="L1135" s="37"/>
      <c r="M1135" s="10" t="s">
        <v>1474</v>
      </c>
      <c r="N1135" s="37"/>
    </row>
    <row r="1136" spans="6:17" ht="13.2">
      <c r="M1136" s="10" t="s">
        <v>1625</v>
      </c>
    </row>
    <row r="1137" spans="6:17" ht="13.2">
      <c r="M1137" s="20"/>
      <c r="N1137" s="37"/>
    </row>
    <row r="1138" spans="6:17" ht="13.2">
      <c r="K1138" s="20" t="s">
        <v>1441</v>
      </c>
      <c r="L1138" s="37" t="e">
        <f ca="1">SUM(L1124:L1125)</f>
        <v>#NAME?</v>
      </c>
      <c r="M1138" s="20" t="s">
        <v>1442</v>
      </c>
      <c r="N1138" s="37">
        <f>SUM(N1124:N1136)</f>
        <v>9.6232000000000006</v>
      </c>
    </row>
    <row r="1139" spans="6:17" ht="13.2">
      <c r="K1139" s="20"/>
      <c r="L1139" s="37"/>
      <c r="M1139" s="20"/>
      <c r="N1139" s="37"/>
    </row>
    <row r="1140" spans="6:17" ht="13.2">
      <c r="F1140" s="184" t="s">
        <v>815</v>
      </c>
      <c r="G1140" s="180"/>
      <c r="H1140" s="180"/>
      <c r="I1140" s="180"/>
      <c r="J1140" s="180"/>
      <c r="K1140" s="180"/>
      <c r="L1140" s="180"/>
      <c r="M1140" s="180"/>
      <c r="N1140" s="180"/>
      <c r="O1140" s="180"/>
    </row>
    <row r="1141" spans="6:17" ht="13.2">
      <c r="F1141" s="10" t="s">
        <v>1408</v>
      </c>
      <c r="G1141" s="10" t="s">
        <v>543</v>
      </c>
      <c r="H1141" s="10" t="s">
        <v>1409</v>
      </c>
      <c r="I1141" s="10" t="s">
        <v>1410</v>
      </c>
      <c r="J1141" s="10" t="s">
        <v>1411</v>
      </c>
      <c r="K1141" s="10" t="s">
        <v>1412</v>
      </c>
      <c r="L1141" s="10" t="s">
        <v>1413</v>
      </c>
      <c r="M1141" s="179" t="s">
        <v>1468</v>
      </c>
      <c r="N1141" s="180"/>
      <c r="O1141" s="10" t="s">
        <v>1415</v>
      </c>
    </row>
    <row r="1142" spans="6:17" ht="13.2">
      <c r="F1142" s="10" t="s">
        <v>1530</v>
      </c>
      <c r="G1142" s="10" t="s">
        <v>1597</v>
      </c>
      <c r="H1142" s="10" t="s">
        <v>1444</v>
      </c>
      <c r="I1142" s="10">
        <v>675</v>
      </c>
      <c r="J1142" s="43" t="e">
        <f t="array" aca="1" ref="J1142" ca="1">_xludf.XLOOKUP(F1142, analysis!A:A, analysis!I:I)</f>
        <v>#NAME?</v>
      </c>
      <c r="K1142" s="10" t="e">
        <f t="array" aca="1" ref="K1142" ca="1">_xludf.XLOOKUP(F1142, analysis!A:A, analysis!J:J)</f>
        <v>#NAME?</v>
      </c>
      <c r="L1142" s="10" t="e">
        <f t="shared" ref="L1142:L1146" ca="1" si="61">K1142*I1142*J1142/1000</f>
        <v>#NAME?</v>
      </c>
      <c r="M1142" s="10" t="s">
        <v>1417</v>
      </c>
      <c r="P1142" s="10" t="str">
        <f ca="1">IFERROR(__xludf.DUMMYFUNCTION("transpose(split(F1142,CHAR(10)))"),"cassava root")</f>
        <v>cassava root</v>
      </c>
      <c r="Q1142" s="10" t="str">
        <f ca="1">IFERROR(__xludf.DUMMYFUNCTION("transpose(split(G1142,CHAR(10)))"),"675g")</f>
        <v>675g</v>
      </c>
    </row>
    <row r="1143" spans="6:17" ht="13.2">
      <c r="F1143" s="10" t="s">
        <v>651</v>
      </c>
      <c r="G1143" s="10">
        <v>1</v>
      </c>
      <c r="H1143" s="10" t="s">
        <v>1416</v>
      </c>
      <c r="I1143" s="10">
        <v>70</v>
      </c>
      <c r="J1143" s="43" t="e">
        <f t="array" aca="1" ref="J1143" ca="1">_xludf.XLOOKUP(F1143, analysis!A:A, analysis!I:I)</f>
        <v>#NAME?</v>
      </c>
      <c r="K1143" s="10" t="e">
        <f t="array" aca="1" ref="K1143" ca="1">_xludf.XLOOKUP(F1143, analysis!A:A, analysis!J:J)</f>
        <v>#NAME?</v>
      </c>
      <c r="L1143" s="10" t="e">
        <f t="shared" ca="1" si="61"/>
        <v>#NAME?</v>
      </c>
      <c r="M1143" s="10" t="s">
        <v>1420</v>
      </c>
      <c r="N1143" s="37"/>
    </row>
    <row r="1144" spans="6:17" ht="13.2">
      <c r="F1144" s="10" t="s">
        <v>1670</v>
      </c>
      <c r="G1144" s="10">
        <v>24</v>
      </c>
      <c r="H1144" s="10" t="s">
        <v>1416</v>
      </c>
      <c r="I1144" s="10">
        <f>24*0.19</f>
        <v>4.5600000000000005</v>
      </c>
      <c r="J1144" s="43" t="e">
        <f t="array" aca="1" ref="J1144" ca="1">_xludf.XLOOKUP(F1144, analysis!A:A, analysis!I:I)</f>
        <v>#NAME?</v>
      </c>
      <c r="K1144" s="10" t="e">
        <f t="array" aca="1" ref="K1144" ca="1">_xludf.XLOOKUP(F1144, analysis!A:A, analysis!J:J)</f>
        <v>#NAME?</v>
      </c>
      <c r="L1144" s="10" t="e">
        <f t="shared" ca="1" si="61"/>
        <v>#NAME?</v>
      </c>
      <c r="M1144" s="10" t="s">
        <v>1423</v>
      </c>
      <c r="N1144" s="37"/>
    </row>
    <row r="1145" spans="6:17" ht="13.2">
      <c r="F1145" s="10" t="s">
        <v>646</v>
      </c>
      <c r="G1145" s="10" t="s">
        <v>1506</v>
      </c>
      <c r="H1145" s="10" t="s">
        <v>1422</v>
      </c>
      <c r="I1145" s="10">
        <f>1.38*30</f>
        <v>41.4</v>
      </c>
      <c r="J1145" s="43" t="e">
        <f t="array" aca="1" ref="J1145" ca="1">_xludf.XLOOKUP(F1145, analysis!A:A, analysis!I:I)</f>
        <v>#NAME?</v>
      </c>
      <c r="K1145" s="10" t="e">
        <f t="array" aca="1" ref="K1145" ca="1">_xludf.XLOOKUP(F1145, analysis!A:A, analysis!J:J)</f>
        <v>#NAME?</v>
      </c>
      <c r="L1145" s="10" t="e">
        <f t="shared" ca="1" si="61"/>
        <v>#NAME?</v>
      </c>
      <c r="M1145" s="10" t="s">
        <v>1425</v>
      </c>
      <c r="N1145" s="10">
        <f>(3000*4.2*80/0.63+(20/60)*5773920)*(10^-6)*50</f>
        <v>176.232</v>
      </c>
    </row>
    <row r="1146" spans="6:17" ht="13.2">
      <c r="F1146" s="10" t="s">
        <v>733</v>
      </c>
      <c r="G1146" s="10" t="s">
        <v>1439</v>
      </c>
      <c r="H1146" s="10">
        <v>0</v>
      </c>
      <c r="I1146" s="10">
        <v>0</v>
      </c>
      <c r="J1146" s="43" t="e">
        <f t="array" aca="1" ref="J1146" ca="1">_xludf.XLOOKUP(F1146, analysis!A:A, analysis!I:I)</f>
        <v>#NAME?</v>
      </c>
      <c r="K1146" s="10" t="e">
        <f t="array" aca="1" ref="K1146" ca="1">_xludf.XLOOKUP(F1146, analysis!A:A, analysis!J:J)</f>
        <v>#NAME?</v>
      </c>
      <c r="L1146" s="10" t="e">
        <f t="shared" ca="1" si="61"/>
        <v>#NAME?</v>
      </c>
      <c r="M1146" s="10" t="s">
        <v>1428</v>
      </c>
      <c r="N1146" s="37"/>
    </row>
    <row r="1147" spans="6:17" ht="13.2">
      <c r="K1147" s="20"/>
      <c r="L1147" s="37"/>
      <c r="M1147" s="10" t="s">
        <v>1429</v>
      </c>
      <c r="N1147" s="10">
        <f>((12^2*PI()*7.5*0.927*1.96*170/0.63)+(6/60)*5773920)*(10^-6)*50</f>
        <v>112.04364249490821</v>
      </c>
    </row>
    <row r="1148" spans="6:17" ht="13.2">
      <c r="K1148" s="20"/>
      <c r="L1148" s="37"/>
      <c r="M1148" s="10" t="s">
        <v>1430</v>
      </c>
      <c r="N1148" s="37"/>
    </row>
    <row r="1149" spans="6:17" ht="13.2">
      <c r="K1149" s="20"/>
      <c r="L1149" s="37"/>
      <c r="M1149" s="10" t="s">
        <v>1432</v>
      </c>
      <c r="N1149" s="37"/>
    </row>
    <row r="1150" spans="6:17" ht="13.2">
      <c r="K1150" s="20"/>
      <c r="L1150" s="37"/>
      <c r="M1150" s="10" t="s">
        <v>1433</v>
      </c>
      <c r="N1150" s="37"/>
    </row>
    <row r="1151" spans="6:17" ht="13.2">
      <c r="K1151" s="20"/>
      <c r="L1151" s="37"/>
      <c r="M1151" s="10" t="s">
        <v>1434</v>
      </c>
      <c r="N1151" s="37"/>
    </row>
    <row r="1152" spans="6:17" ht="13.2">
      <c r="K1152" s="20"/>
      <c r="L1152" s="37"/>
      <c r="M1152" s="10" t="s">
        <v>1437</v>
      </c>
      <c r="N1152" s="37"/>
    </row>
    <row r="1153" spans="6:17" ht="13.2">
      <c r="K1153" s="20"/>
      <c r="L1153" s="37"/>
      <c r="M1153" s="10" t="s">
        <v>1474</v>
      </c>
      <c r="N1153" s="37"/>
    </row>
    <row r="1154" spans="6:17" ht="13.2">
      <c r="K1154" s="20"/>
      <c r="L1154" s="37"/>
      <c r="M1154" s="10" t="s">
        <v>1625</v>
      </c>
      <c r="N1154" s="37"/>
    </row>
    <row r="1155" spans="6:17" ht="13.2">
      <c r="K1155" s="20"/>
      <c r="L1155" s="37"/>
      <c r="M1155" s="20"/>
      <c r="N1155" s="37"/>
    </row>
    <row r="1156" spans="6:17" ht="13.2">
      <c r="K1156" s="20" t="s">
        <v>1441</v>
      </c>
      <c r="L1156" s="37" t="e">
        <f ca="1">SUM(L1142:L1146)</f>
        <v>#NAME?</v>
      </c>
      <c r="M1156" s="20" t="s">
        <v>1442</v>
      </c>
      <c r="N1156" s="37">
        <f>SUM(N1142:N1154)</f>
        <v>288.2756424949082</v>
      </c>
    </row>
    <row r="1157" spans="6:17" ht="13.2">
      <c r="K1157" s="20"/>
      <c r="L1157" s="37"/>
      <c r="M1157" s="20"/>
      <c r="N1157" s="37"/>
    </row>
    <row r="1158" spans="6:17" ht="13.2">
      <c r="F1158" s="185" t="s">
        <v>924</v>
      </c>
      <c r="G1158" s="180"/>
      <c r="H1158" s="180"/>
      <c r="I1158" s="180"/>
      <c r="J1158" s="180"/>
      <c r="K1158" s="180"/>
      <c r="L1158" s="180"/>
      <c r="M1158" s="180"/>
      <c r="N1158" s="180"/>
      <c r="O1158" s="180"/>
    </row>
    <row r="1159" spans="6:17" ht="13.2">
      <c r="F1159" s="10" t="s">
        <v>1408</v>
      </c>
      <c r="G1159" s="10" t="s">
        <v>543</v>
      </c>
      <c r="H1159" s="10" t="s">
        <v>1409</v>
      </c>
      <c r="I1159" s="10" t="s">
        <v>1410</v>
      </c>
      <c r="J1159" s="10" t="s">
        <v>1411</v>
      </c>
      <c r="K1159" s="10" t="s">
        <v>1412</v>
      </c>
      <c r="L1159" s="10" t="s">
        <v>1413</v>
      </c>
      <c r="M1159" s="179" t="s">
        <v>1468</v>
      </c>
      <c r="N1159" s="180"/>
      <c r="O1159" s="10" t="s">
        <v>1415</v>
      </c>
    </row>
    <row r="1160" spans="6:17" ht="13.2">
      <c r="F1160" s="18" t="s">
        <v>1516</v>
      </c>
      <c r="G1160" s="18" t="s">
        <v>726</v>
      </c>
      <c r="H1160" s="10" t="s">
        <v>1444</v>
      </c>
      <c r="I1160" s="10">
        <v>350</v>
      </c>
      <c r="J1160" s="43" t="e">
        <f t="array" aca="1" ref="J1160" ca="1">_xludf.XLOOKUP(F1160, analysis!A:A, analysis!I:I)</f>
        <v>#NAME?</v>
      </c>
      <c r="K1160" s="10" t="e">
        <f t="array" aca="1" ref="K1160" ca="1">_xludf.XLOOKUP(F1160, analysis!A:A, analysis!J:J)</f>
        <v>#NAME?</v>
      </c>
      <c r="L1160" s="10" t="e">
        <f t="shared" ref="L1160:L1165" ca="1" si="62">K1160*I1160*J1160/1000</f>
        <v>#NAME?</v>
      </c>
      <c r="M1160" s="10" t="s">
        <v>1417</v>
      </c>
      <c r="P1160" s="10" t="str">
        <f ca="1">IFERROR(__xludf.DUMMYFUNCTION("transpose(split(F1160,CHAR(10)))"),"white rice")</f>
        <v>white rice</v>
      </c>
      <c r="Q1160" s="10" t="str">
        <f ca="1">IFERROR(__xludf.DUMMYFUNCTION("transpose(split(G1160,CHAR(10)))"),"350g")</f>
        <v>350g</v>
      </c>
    </row>
    <row r="1161" spans="6:17" ht="13.2">
      <c r="F1161" s="10" t="s">
        <v>733</v>
      </c>
      <c r="G1161" s="10" t="s">
        <v>746</v>
      </c>
      <c r="H1161" s="10" t="s">
        <v>1422</v>
      </c>
      <c r="I1161" s="10">
        <f>0.927*15</f>
        <v>13.905000000000001</v>
      </c>
      <c r="J1161" s="43" t="e">
        <f t="array" aca="1" ref="J1161" ca="1">_xludf.XLOOKUP(F1161, analysis!A:A, analysis!I:I)</f>
        <v>#NAME?</v>
      </c>
      <c r="K1161" s="10" t="e">
        <f t="array" aca="1" ref="K1161" ca="1">_xludf.XLOOKUP(F1161, analysis!A:A, analysis!J:J)</f>
        <v>#NAME?</v>
      </c>
      <c r="L1161" s="10" t="e">
        <f t="shared" ca="1" si="62"/>
        <v>#NAME?</v>
      </c>
      <c r="M1161" s="10" t="s">
        <v>1420</v>
      </c>
      <c r="N1161" s="37"/>
    </row>
    <row r="1162" spans="6:17" ht="13.2">
      <c r="F1162" s="10" t="s">
        <v>651</v>
      </c>
      <c r="G1162" s="10">
        <v>1</v>
      </c>
      <c r="H1162" s="10" t="s">
        <v>1416</v>
      </c>
      <c r="I1162" s="10">
        <v>70</v>
      </c>
      <c r="J1162" s="43" t="e">
        <f t="array" aca="1" ref="J1162" ca="1">_xludf.XLOOKUP(F1162, analysis!A:A, analysis!I:I)</f>
        <v>#NAME?</v>
      </c>
      <c r="K1162" s="10" t="e">
        <f t="array" aca="1" ref="K1162" ca="1">_xludf.XLOOKUP(F1162, analysis!A:A, analysis!J:J)</f>
        <v>#NAME?</v>
      </c>
      <c r="L1162" s="10" t="e">
        <f t="shared" ca="1" si="62"/>
        <v>#NAME?</v>
      </c>
      <c r="M1162" s="10" t="s">
        <v>1423</v>
      </c>
      <c r="N1162" s="37"/>
    </row>
    <row r="1163" spans="6:17" ht="13.2">
      <c r="F1163" s="10" t="s">
        <v>737</v>
      </c>
      <c r="G1163" s="10">
        <v>1</v>
      </c>
      <c r="H1163" s="10" t="s">
        <v>1416</v>
      </c>
      <c r="I1163" s="10">
        <v>4.4000000000000004</v>
      </c>
      <c r="J1163" s="43" t="e">
        <f t="array" aca="1" ref="J1163" ca="1">_xludf.XLOOKUP(F1163, analysis!A:A, analysis!I:I)</f>
        <v>#NAME?</v>
      </c>
      <c r="K1163" s="10" t="e">
        <f t="array" aca="1" ref="K1163" ca="1">_xludf.XLOOKUP(F1163, analysis!A:A, analysis!J:J)</f>
        <v>#NAME?</v>
      </c>
      <c r="L1163" s="10" t="e">
        <f t="shared" ca="1" si="62"/>
        <v>#NAME?</v>
      </c>
      <c r="M1163" s="10" t="s">
        <v>1425</v>
      </c>
      <c r="N1163" s="10">
        <f>(I1164*4.2*80/0.63+(17.5/60)*5773920)*(10^-6)*50</f>
        <v>100.203</v>
      </c>
    </row>
    <row r="1164" spans="6:17" ht="13.2">
      <c r="F1164" s="10" t="s">
        <v>653</v>
      </c>
      <c r="G1164" s="10" t="s">
        <v>747</v>
      </c>
      <c r="H1164" s="10" t="s">
        <v>1422</v>
      </c>
      <c r="I1164" s="10">
        <v>600</v>
      </c>
      <c r="J1164" s="43" t="e">
        <f t="array" aca="1" ref="J1164" ca="1">_xludf.XLOOKUP(F1164, analysis!A:A, analysis!I:I)</f>
        <v>#NAME?</v>
      </c>
      <c r="K1164" s="10" t="e">
        <f t="array" aca="1" ref="K1164" ca="1">_xludf.XLOOKUP(F1164, analysis!A:A, analysis!J:J)</f>
        <v>#NAME?</v>
      </c>
      <c r="L1164" s="10" t="e">
        <f t="shared" ca="1" si="62"/>
        <v>#NAME?</v>
      </c>
      <c r="M1164" s="10" t="s">
        <v>1428</v>
      </c>
      <c r="N1164" s="37"/>
    </row>
    <row r="1165" spans="6:17" ht="13.2">
      <c r="F1165" s="10" t="s">
        <v>646</v>
      </c>
      <c r="G1165" s="10" t="s">
        <v>738</v>
      </c>
      <c r="H1165" s="10" t="s">
        <v>1422</v>
      </c>
      <c r="I1165" s="10">
        <f>1.38*5</f>
        <v>6.8999999999999995</v>
      </c>
      <c r="J1165" s="43" t="e">
        <f t="array" aca="1" ref="J1165" ca="1">_xludf.XLOOKUP(F1165, analysis!A:A, analysis!I:I)</f>
        <v>#NAME?</v>
      </c>
      <c r="K1165" s="10" t="e">
        <f t="array" aca="1" ref="K1165" ca="1">_xludf.XLOOKUP(F1165, analysis!A:A, analysis!J:J)</f>
        <v>#NAME?</v>
      </c>
      <c r="L1165" s="10" t="e">
        <f t="shared" ca="1" si="62"/>
        <v>#NAME?</v>
      </c>
      <c r="M1165" s="10" t="s">
        <v>1429</v>
      </c>
    </row>
    <row r="1166" spans="6:17" ht="13.2">
      <c r="K1166" s="20"/>
      <c r="L1166" s="37"/>
      <c r="M1166" s="10" t="s">
        <v>1430</v>
      </c>
      <c r="N1166" s="10">
        <f>(((I1161*1.96*160)/0.63)+(2.5/60)*5773920+(2.5/60)*5773920)*10^-6*50</f>
        <v>24.404079999999997</v>
      </c>
    </row>
    <row r="1167" spans="6:17" ht="13.2">
      <c r="K1167" s="20"/>
      <c r="L1167" s="37"/>
      <c r="M1167" s="10" t="s">
        <v>1432</v>
      </c>
      <c r="N1167" s="37"/>
    </row>
    <row r="1168" spans="6:17" ht="13.2">
      <c r="K1168" s="20"/>
      <c r="L1168" s="37"/>
      <c r="M1168" s="10" t="s">
        <v>1433</v>
      </c>
      <c r="N1168" s="37"/>
    </row>
    <row r="1169" spans="6:17" ht="13.2">
      <c r="K1169" s="20"/>
      <c r="L1169" s="37"/>
      <c r="M1169" s="10" t="s">
        <v>1434</v>
      </c>
      <c r="N1169" s="37"/>
    </row>
    <row r="1170" spans="6:17" ht="13.2">
      <c r="K1170" s="20"/>
      <c r="L1170" s="37"/>
      <c r="M1170" s="10" t="s">
        <v>1437</v>
      </c>
      <c r="N1170" s="37"/>
    </row>
    <row r="1171" spans="6:17" ht="13.2">
      <c r="K1171" s="20"/>
      <c r="L1171" s="37"/>
      <c r="M1171" s="10" t="s">
        <v>1474</v>
      </c>
      <c r="N1171" s="37"/>
    </row>
    <row r="1172" spans="6:17" ht="13.2">
      <c r="K1172" s="20"/>
      <c r="L1172" s="37"/>
      <c r="M1172" s="10" t="s">
        <v>1625</v>
      </c>
      <c r="N1172" s="37"/>
    </row>
    <row r="1173" spans="6:17" ht="13.2">
      <c r="K1173" s="20"/>
      <c r="L1173" s="37"/>
      <c r="M1173" s="20"/>
      <c r="N1173" s="37"/>
    </row>
    <row r="1174" spans="6:17" ht="13.2">
      <c r="K1174" s="20" t="s">
        <v>1441</v>
      </c>
      <c r="L1174" s="37" t="e">
        <f ca="1">SUM(L1160:L1164)</f>
        <v>#NAME?</v>
      </c>
      <c r="M1174" s="20" t="s">
        <v>1442</v>
      </c>
      <c r="N1174" s="37">
        <f>SUM(N1160:N1172)</f>
        <v>124.60708</v>
      </c>
    </row>
    <row r="1175" spans="6:17" ht="13.2">
      <c r="K1175" s="20"/>
      <c r="L1175" s="37"/>
      <c r="M1175" s="20"/>
      <c r="N1175" s="37"/>
    </row>
    <row r="1176" spans="6:17" ht="13.2">
      <c r="F1176" s="185" t="s">
        <v>722</v>
      </c>
      <c r="G1176" s="180"/>
      <c r="H1176" s="180"/>
      <c r="I1176" s="180"/>
      <c r="J1176" s="180"/>
      <c r="K1176" s="180"/>
      <c r="L1176" s="180"/>
      <c r="M1176" s="180"/>
      <c r="N1176" s="180"/>
      <c r="O1176" s="180"/>
    </row>
    <row r="1177" spans="6:17" ht="13.2">
      <c r="F1177" s="10" t="s">
        <v>1408</v>
      </c>
      <c r="G1177" s="10" t="s">
        <v>543</v>
      </c>
      <c r="H1177" s="10" t="s">
        <v>1409</v>
      </c>
      <c r="I1177" s="10" t="s">
        <v>1410</v>
      </c>
      <c r="J1177" s="10" t="s">
        <v>1411</v>
      </c>
      <c r="K1177" s="10" t="s">
        <v>1412</v>
      </c>
      <c r="L1177" s="10" t="s">
        <v>1413</v>
      </c>
      <c r="M1177" s="179" t="s">
        <v>1468</v>
      </c>
      <c r="N1177" s="180"/>
      <c r="O1177" s="10" t="s">
        <v>1415</v>
      </c>
    </row>
    <row r="1178" spans="6:17" ht="13.2">
      <c r="F1178" s="18" t="s">
        <v>1701</v>
      </c>
      <c r="G1178" s="18" t="s">
        <v>723</v>
      </c>
      <c r="H1178" s="10" t="s">
        <v>1444</v>
      </c>
      <c r="I1178" s="10">
        <v>500</v>
      </c>
      <c r="J1178" s="43" t="e">
        <f t="array" aca="1" ref="J1178" ca="1">_xludf.XLOOKUP(F1178, analysis!A:A, analysis!I:I)</f>
        <v>#NAME?</v>
      </c>
      <c r="K1178" s="10" t="e">
        <f ca="1">L1210</f>
        <v>#NAME?</v>
      </c>
      <c r="L1178" s="10" t="e">
        <f ca="1">K1178*0.337</f>
        <v>#NAME?</v>
      </c>
      <c r="M1178" s="10" t="s">
        <v>1417</v>
      </c>
      <c r="P1178" s="10" t="str">
        <f ca="1">IFERROR(__xludf.DUMMYFUNCTION("transpose(split(F1178,CHAR(10)))"),"everyday black beans")</f>
        <v>everyday black beans</v>
      </c>
      <c r="Q1178" s="10" t="str">
        <f ca="1">IFERROR(__xludf.DUMMYFUNCTION("transpose(split(G1178,CHAR(10)))"),"500g")</f>
        <v>500g</v>
      </c>
    </row>
    <row r="1179" spans="6:17" ht="13.2">
      <c r="F1179" s="10" t="s">
        <v>653</v>
      </c>
      <c r="G1179" s="10" t="s">
        <v>1595</v>
      </c>
      <c r="H1179" s="10" t="s">
        <v>1422</v>
      </c>
      <c r="I1179" s="10">
        <v>250</v>
      </c>
      <c r="J1179" s="43" t="e">
        <f t="array" aca="1" ref="J1179" ca="1">_xludf.XLOOKUP(F1179, analysis!A:A, analysis!I:I)</f>
        <v>#NAME?</v>
      </c>
      <c r="K1179" s="10" t="e">
        <f t="array" aca="1" ref="K1179" ca="1">_xludf.XLOOKUP(F1179, analysis!A:A, analysis!J:J)</f>
        <v>#NAME?</v>
      </c>
      <c r="L1179" s="10" t="e">
        <f t="shared" ref="L1179:L1185" ca="1" si="63">K1179*I1179*J1179/1000</f>
        <v>#NAME?</v>
      </c>
      <c r="M1179" s="10" t="s">
        <v>1420</v>
      </c>
      <c r="N1179" s="10">
        <f>1.1*(2.5/60)*59.9</f>
        <v>2.7454166666666668</v>
      </c>
    </row>
    <row r="1180" spans="6:17" ht="13.2">
      <c r="F1180" s="10" t="s">
        <v>1585</v>
      </c>
      <c r="G1180" s="10" t="s">
        <v>1481</v>
      </c>
      <c r="H1180" s="10" t="s">
        <v>1444</v>
      </c>
      <c r="I1180" s="10">
        <v>125</v>
      </c>
      <c r="J1180" s="43" t="e">
        <f t="array" aca="1" ref="J1180" ca="1">_xludf.XLOOKUP(F1180, analysis!A:A, analysis!I:I)</f>
        <v>#NAME?</v>
      </c>
      <c r="K1180" s="10" t="e">
        <f t="array" aca="1" ref="K1180" ca="1">_xludf.XLOOKUP(F1180, analysis!A:A, analysis!J:J)</f>
        <v>#NAME?</v>
      </c>
      <c r="L1180" s="10" t="e">
        <f t="shared" ca="1" si="63"/>
        <v>#NAME?</v>
      </c>
      <c r="M1180" s="10" t="s">
        <v>1423</v>
      </c>
      <c r="N1180" s="37"/>
    </row>
    <row r="1181" spans="6:17" ht="13.2">
      <c r="F1181" s="10" t="s">
        <v>1449</v>
      </c>
      <c r="G1181" s="10" t="s">
        <v>1506</v>
      </c>
      <c r="H1181" s="10" t="s">
        <v>1422</v>
      </c>
      <c r="I1181" s="10">
        <f>0.11*30</f>
        <v>3.3</v>
      </c>
      <c r="J1181" s="43" t="e">
        <f t="array" aca="1" ref="J1181" ca="1">_xludf.XLOOKUP(F1181, analysis!A:A, analysis!I:I)</f>
        <v>#NAME?</v>
      </c>
      <c r="K1181" s="10" t="e">
        <f t="array" aca="1" ref="K1181" ca="1">_xludf.XLOOKUP(F1181, analysis!A:A, analysis!J:J)</f>
        <v>#NAME?</v>
      </c>
      <c r="L1181" s="10" t="e">
        <f t="shared" ca="1" si="63"/>
        <v>#NAME?</v>
      </c>
      <c r="M1181" s="10" t="s">
        <v>1425</v>
      </c>
      <c r="N1181" s="10">
        <f>(I1179*4.2*80/0.63+(1.5/60)*5773920)*(10^-6)*50</f>
        <v>13.884066666666667</v>
      </c>
    </row>
    <row r="1182" spans="6:17" ht="13.2">
      <c r="F1182" s="10" t="s">
        <v>1457</v>
      </c>
      <c r="G1182" s="10">
        <v>3</v>
      </c>
      <c r="H1182" s="10" t="s">
        <v>1416</v>
      </c>
      <c r="I1182" s="10">
        <f>6.2*3</f>
        <v>18.600000000000001</v>
      </c>
      <c r="J1182" s="43" t="e">
        <f t="array" aca="1" ref="J1182" ca="1">_xludf.XLOOKUP(F1182, analysis!A:A, analysis!I:I)</f>
        <v>#NAME?</v>
      </c>
      <c r="K1182" s="10" t="e">
        <f t="array" aca="1" ref="K1182" ca="1">_xludf.XLOOKUP(F1182, analysis!A:A, analysis!J:J)</f>
        <v>#NAME?</v>
      </c>
      <c r="L1182" s="10" t="e">
        <f t="shared" ca="1" si="63"/>
        <v>#NAME?</v>
      </c>
      <c r="M1182" s="10" t="s">
        <v>1428</v>
      </c>
      <c r="N1182" s="37"/>
    </row>
    <row r="1183" spans="6:17" ht="13.2">
      <c r="F1183" s="10" t="s">
        <v>1421</v>
      </c>
      <c r="G1183" s="10" t="s">
        <v>746</v>
      </c>
      <c r="H1183" s="10" t="s">
        <v>1422</v>
      </c>
      <c r="I1183" s="10">
        <f>0.914*15</f>
        <v>13.71</v>
      </c>
      <c r="J1183" s="43" t="e">
        <f t="array" aca="1" ref="J1183" ca="1">_xludf.XLOOKUP(F1183, analysis!A:A, analysis!I:I)</f>
        <v>#NAME?</v>
      </c>
      <c r="K1183" s="10" t="e">
        <f t="array" aca="1" ref="K1183" ca="1">_xludf.XLOOKUP(F1183, analysis!A:A, analysis!J:J)</f>
        <v>#NAME?</v>
      </c>
      <c r="L1183" s="10" t="e">
        <f t="shared" ca="1" si="63"/>
        <v>#NAME?</v>
      </c>
      <c r="M1183" s="10" t="s">
        <v>1429</v>
      </c>
      <c r="N1183" s="37"/>
    </row>
    <row r="1184" spans="6:17" ht="13.2">
      <c r="F1184" s="10" t="s">
        <v>646</v>
      </c>
      <c r="G1184" s="10" t="s">
        <v>1439</v>
      </c>
      <c r="H1184" s="10">
        <v>0</v>
      </c>
      <c r="I1184" s="10">
        <v>0</v>
      </c>
      <c r="J1184" s="43" t="e">
        <f t="array" aca="1" ref="J1184" ca="1">_xludf.XLOOKUP(F1184, analysis!A:A, analysis!I:I)</f>
        <v>#NAME?</v>
      </c>
      <c r="K1184" s="10" t="e">
        <f t="array" aca="1" ref="K1184" ca="1">_xludf.XLOOKUP(F1184, analysis!A:A, analysis!J:J)</f>
        <v>#NAME?</v>
      </c>
      <c r="L1184" s="10" t="e">
        <f t="shared" ca="1" si="63"/>
        <v>#NAME?</v>
      </c>
      <c r="M1184" s="10" t="s">
        <v>1430</v>
      </c>
      <c r="N1184" s="37"/>
    </row>
    <row r="1185" spans="6:17" ht="13.2">
      <c r="F1185" s="10" t="s">
        <v>1449</v>
      </c>
      <c r="G1185" s="10" t="s">
        <v>1439</v>
      </c>
      <c r="H1185" s="10">
        <v>0</v>
      </c>
      <c r="I1185" s="10">
        <v>0</v>
      </c>
      <c r="J1185" s="43" t="e">
        <f t="array" aca="1" ref="J1185" ca="1">_xludf.XLOOKUP(F1185, analysis!A:A, analysis!I:I)</f>
        <v>#NAME?</v>
      </c>
      <c r="K1185" s="10" t="e">
        <f t="array" aca="1" ref="K1185" ca="1">_xludf.XLOOKUP(F1185, analysis!A:A, analysis!J:J)</f>
        <v>#NAME?</v>
      </c>
      <c r="L1185" s="10" t="e">
        <f t="shared" ca="1" si="63"/>
        <v>#NAME?</v>
      </c>
      <c r="M1185" s="10" t="s">
        <v>1432</v>
      </c>
      <c r="N1185" s="37"/>
    </row>
    <row r="1186" spans="6:17" ht="13.2">
      <c r="K1186" s="20"/>
      <c r="L1186" s="37"/>
      <c r="M1186" s="10" t="s">
        <v>1433</v>
      </c>
      <c r="N1186" s="37"/>
    </row>
    <row r="1187" spans="6:17" ht="13.2">
      <c r="K1187" s="20"/>
      <c r="L1187" s="37"/>
      <c r="M1187" s="10" t="s">
        <v>1434</v>
      </c>
      <c r="N1187" s="37"/>
    </row>
    <row r="1188" spans="6:17" ht="13.2">
      <c r="K1188" s="20"/>
      <c r="L1188" s="37"/>
      <c r="M1188" s="10" t="s">
        <v>1437</v>
      </c>
      <c r="N1188" s="37"/>
    </row>
    <row r="1189" spans="6:17" ht="13.2">
      <c r="K1189" s="20"/>
      <c r="L1189" s="37"/>
      <c r="M1189" s="10" t="s">
        <v>1474</v>
      </c>
      <c r="N1189" s="37"/>
    </row>
    <row r="1190" spans="6:17" ht="13.2">
      <c r="K1190" s="20"/>
      <c r="L1190" s="37"/>
      <c r="M1190" s="10" t="s">
        <v>1625</v>
      </c>
      <c r="N1190" s="37"/>
    </row>
    <row r="1191" spans="6:17" ht="13.2">
      <c r="K1191" s="20"/>
      <c r="L1191" s="37"/>
      <c r="M1191" s="20"/>
      <c r="N1191" s="37"/>
    </row>
    <row r="1192" spans="6:17" ht="13.2">
      <c r="K1192" s="20" t="s">
        <v>1441</v>
      </c>
      <c r="L1192" s="37" t="e">
        <f ca="1">SUM(L1178:L1185)</f>
        <v>#NAME?</v>
      </c>
      <c r="M1192" s="20" t="s">
        <v>1442</v>
      </c>
      <c r="N1192" s="37">
        <f>SUM(N1178:N1190)</f>
        <v>16.629483333333333</v>
      </c>
    </row>
    <row r="1193" spans="6:17" ht="13.2">
      <c r="K1193" s="20"/>
      <c r="L1193" s="37"/>
      <c r="M1193" s="20"/>
      <c r="N1193" s="37"/>
    </row>
    <row r="1194" spans="6:17" ht="13.2">
      <c r="F1194" s="184" t="s">
        <v>719</v>
      </c>
      <c r="G1194" s="180"/>
      <c r="H1194" s="180"/>
      <c r="I1194" s="180"/>
      <c r="J1194" s="180"/>
      <c r="K1194" s="180"/>
      <c r="L1194" s="180"/>
      <c r="M1194" s="180"/>
      <c r="N1194" s="180"/>
      <c r="O1194" s="180"/>
    </row>
    <row r="1195" spans="6:17" ht="13.2">
      <c r="F1195" s="10" t="s">
        <v>1408</v>
      </c>
      <c r="G1195" s="10" t="s">
        <v>543</v>
      </c>
      <c r="H1195" s="10" t="s">
        <v>1409</v>
      </c>
      <c r="I1195" s="10" t="s">
        <v>1410</v>
      </c>
      <c r="J1195" s="10" t="s">
        <v>1411</v>
      </c>
      <c r="K1195" s="10" t="s">
        <v>1412</v>
      </c>
      <c r="L1195" s="10" t="s">
        <v>1413</v>
      </c>
      <c r="M1195" s="179" t="s">
        <v>1468</v>
      </c>
      <c r="N1195" s="180"/>
      <c r="O1195" s="10" t="s">
        <v>1415</v>
      </c>
    </row>
    <row r="1196" spans="6:17" ht="13.2">
      <c r="F1196" s="18" t="s">
        <v>1561</v>
      </c>
      <c r="G1196" s="18" t="s">
        <v>726</v>
      </c>
      <c r="H1196" s="10" t="s">
        <v>1444</v>
      </c>
      <c r="I1196" s="10">
        <v>350</v>
      </c>
      <c r="J1196" s="43" t="e">
        <f t="array" aca="1" ref="J1196" ca="1">_xludf.XLOOKUP(F1196, analysis!A:A, analysis!I:I)</f>
        <v>#NAME?</v>
      </c>
      <c r="K1196" s="10" t="e">
        <f t="array" aca="1" ref="K1196" ca="1">_xludf.XLOOKUP(F1196, analysis!A:A, analysis!J:J)</f>
        <v>#NAME?</v>
      </c>
      <c r="L1196" s="10" t="e">
        <f t="shared" ref="L1196:L1202" ca="1" si="64">K1196*I1196*J1196/1000</f>
        <v>#NAME?</v>
      </c>
      <c r="M1196" s="10" t="s">
        <v>1417</v>
      </c>
      <c r="P1196" s="10" t="str">
        <f ca="1">IFERROR(__xludf.DUMMYFUNCTION("transpose(split(F1196,CHAR(10)))"),"black beans")</f>
        <v>black beans</v>
      </c>
      <c r="Q1196" s="10" t="str">
        <f ca="1">IFERROR(__xludf.DUMMYFUNCTION("transpose(split(G1196,CHAR(10)))"),"350g")</f>
        <v>350g</v>
      </c>
    </row>
    <row r="1197" spans="6:17" ht="13.2">
      <c r="F1197" s="10" t="s">
        <v>653</v>
      </c>
      <c r="G1197" s="10" t="s">
        <v>1655</v>
      </c>
      <c r="H1197" s="10" t="s">
        <v>1584</v>
      </c>
      <c r="I1197" s="10">
        <v>1000</v>
      </c>
      <c r="J1197" s="43" t="e">
        <f t="array" aca="1" ref="J1197" ca="1">_xludf.XLOOKUP(F1197, analysis!A:A, analysis!I:I)</f>
        <v>#NAME?</v>
      </c>
      <c r="K1197" s="10" t="e">
        <f t="array" aca="1" ref="K1197" ca="1">_xludf.XLOOKUP(F1197, analysis!A:A, analysis!J:J)</f>
        <v>#NAME?</v>
      </c>
      <c r="L1197" s="10" t="e">
        <f t="shared" ca="1" si="64"/>
        <v>#NAME?</v>
      </c>
      <c r="M1197" s="10" t="s">
        <v>1420</v>
      </c>
      <c r="N1197" s="37"/>
    </row>
    <row r="1198" spans="6:17" ht="13.2">
      <c r="F1198" s="10" t="s">
        <v>733</v>
      </c>
      <c r="G1198" s="10" t="s">
        <v>734</v>
      </c>
      <c r="H1198" s="10" t="s">
        <v>1422</v>
      </c>
      <c r="I1198" s="10">
        <f>0.927*45</f>
        <v>41.715000000000003</v>
      </c>
      <c r="J1198" s="43" t="e">
        <f t="array" aca="1" ref="J1198" ca="1">_xludf.XLOOKUP(F1198, analysis!A:A, analysis!I:I)</f>
        <v>#NAME?</v>
      </c>
      <c r="K1198" s="10" t="e">
        <f t="array" aca="1" ref="K1198" ca="1">_xludf.XLOOKUP(F1198, analysis!A:A, analysis!J:J)</f>
        <v>#NAME?</v>
      </c>
      <c r="L1198" s="10" t="e">
        <f t="shared" ca="1" si="64"/>
        <v>#NAME?</v>
      </c>
      <c r="M1198" s="10" t="s">
        <v>1423</v>
      </c>
      <c r="N1198" s="37"/>
    </row>
    <row r="1199" spans="6:17" ht="13.2">
      <c r="F1199" s="10" t="s">
        <v>651</v>
      </c>
      <c r="G1199" s="10">
        <v>1</v>
      </c>
      <c r="H1199" s="10" t="s">
        <v>1416</v>
      </c>
      <c r="I1199" s="10">
        <v>70</v>
      </c>
      <c r="J1199" s="43" t="e">
        <f t="array" aca="1" ref="J1199" ca="1">_xludf.XLOOKUP(F1199, analysis!A:A, analysis!I:I)</f>
        <v>#NAME?</v>
      </c>
      <c r="K1199" s="10" t="e">
        <f t="array" aca="1" ref="K1199" ca="1">_xludf.XLOOKUP(F1199, analysis!A:A, analysis!J:J)</f>
        <v>#NAME?</v>
      </c>
      <c r="L1199" s="10" t="e">
        <f t="shared" ca="1" si="64"/>
        <v>#NAME?</v>
      </c>
      <c r="M1199" s="10" t="s">
        <v>1425</v>
      </c>
      <c r="N1199" s="37"/>
    </row>
    <row r="1200" spans="6:17" ht="13.2">
      <c r="F1200" s="10" t="s">
        <v>737</v>
      </c>
      <c r="G1200" s="10">
        <v>3</v>
      </c>
      <c r="H1200" s="10" t="s">
        <v>1416</v>
      </c>
      <c r="I1200" s="10">
        <f>3*4.4</f>
        <v>13.200000000000001</v>
      </c>
      <c r="J1200" s="43" t="e">
        <f t="array" aca="1" ref="J1200" ca="1">_xludf.XLOOKUP(F1200, analysis!A:A, analysis!I:I)</f>
        <v>#NAME?</v>
      </c>
      <c r="K1200" s="10" t="e">
        <f t="array" aca="1" ref="K1200" ca="1">_xludf.XLOOKUP(F1200, analysis!A:A, analysis!J:J)</f>
        <v>#NAME?</v>
      </c>
      <c r="L1200" s="10" t="e">
        <f t="shared" ca="1" si="64"/>
        <v>#NAME?</v>
      </c>
      <c r="M1200" s="10" t="s">
        <v>1428</v>
      </c>
      <c r="N1200" s="37"/>
    </row>
    <row r="1201" spans="6:17" ht="13.2">
      <c r="F1201" s="10" t="s">
        <v>711</v>
      </c>
      <c r="G1201" s="10">
        <v>1</v>
      </c>
      <c r="H1201" s="10" t="s">
        <v>1416</v>
      </c>
      <c r="I1201" s="10">
        <f>1*0.25</f>
        <v>0.25</v>
      </c>
      <c r="J1201" s="43" t="e">
        <f t="array" aca="1" ref="J1201" ca="1">_xludf.XLOOKUP(F1201, analysis!A:A, analysis!I:I)</f>
        <v>#NAME?</v>
      </c>
      <c r="K1201" s="10" t="e">
        <f t="array" aca="1" ref="K1201" ca="1">_xludf.XLOOKUP(F1201, analysis!A:A, analysis!J:J)</f>
        <v>#NAME?</v>
      </c>
      <c r="L1201" s="10" t="e">
        <f t="shared" ca="1" si="64"/>
        <v>#NAME?</v>
      </c>
      <c r="M1201" s="10" t="s">
        <v>1429</v>
      </c>
      <c r="N1201" s="37"/>
    </row>
    <row r="1202" spans="6:17" ht="13.2">
      <c r="F1202" s="10" t="s">
        <v>646</v>
      </c>
      <c r="G1202" s="10" t="s">
        <v>738</v>
      </c>
      <c r="H1202" s="10" t="s">
        <v>1422</v>
      </c>
      <c r="I1202" s="10">
        <f>1.38*5</f>
        <v>6.8999999999999995</v>
      </c>
      <c r="J1202" s="43" t="e">
        <f t="array" aca="1" ref="J1202" ca="1">_xludf.XLOOKUP(F1202, analysis!A:A, analysis!I:I)</f>
        <v>#NAME?</v>
      </c>
      <c r="K1202" s="10" t="e">
        <f t="array" aca="1" ref="K1202" ca="1">_xludf.XLOOKUP(F1202, analysis!A:A, analysis!J:J)</f>
        <v>#NAME?</v>
      </c>
      <c r="L1202" s="10" t="e">
        <f t="shared" ca="1" si="64"/>
        <v>#NAME?</v>
      </c>
      <c r="M1202" s="10" t="s">
        <v>1430</v>
      </c>
      <c r="N1202" s="10">
        <f>(((I1198*1.96*160)/0.63)+(7.5/60)*5773920+(1/60)*5773920)*10^-6*50</f>
        <v>41.936840000000004</v>
      </c>
    </row>
    <row r="1203" spans="6:17" ht="13.2">
      <c r="K1203" s="20"/>
      <c r="L1203" s="37"/>
      <c r="M1203" s="10" t="s">
        <v>1432</v>
      </c>
      <c r="N1203" s="37"/>
    </row>
    <row r="1204" spans="6:17" ht="13.2">
      <c r="K1204" s="20"/>
      <c r="L1204" s="37"/>
      <c r="M1204" s="10" t="s">
        <v>1433</v>
      </c>
      <c r="N1204" s="37"/>
    </row>
    <row r="1205" spans="6:17" ht="13.2">
      <c r="K1205" s="20"/>
      <c r="L1205" s="37"/>
      <c r="M1205" s="10" t="s">
        <v>1434</v>
      </c>
      <c r="N1205" s="10">
        <f>((I1197*4.2*100/0.63)+(40/60)*5773920)*(10^-6)*50</f>
        <v>225.79733333333331</v>
      </c>
    </row>
    <row r="1206" spans="6:17" ht="13.2">
      <c r="K1206" s="20"/>
      <c r="L1206" s="37"/>
      <c r="M1206" s="10" t="s">
        <v>1437</v>
      </c>
      <c r="N1206" s="37">
        <f>(20/60)*5773920*10^-6*50</f>
        <v>96.231999999999999</v>
      </c>
    </row>
    <row r="1207" spans="6:17" ht="13.2">
      <c r="K1207" s="20"/>
      <c r="L1207" s="37"/>
      <c r="M1207" s="10" t="s">
        <v>1474</v>
      </c>
      <c r="N1207" s="37"/>
    </row>
    <row r="1208" spans="6:17" ht="13.2">
      <c r="K1208" s="20"/>
      <c r="L1208" s="37"/>
      <c r="M1208" s="10" t="s">
        <v>1625</v>
      </c>
      <c r="N1208" s="37"/>
    </row>
    <row r="1209" spans="6:17" ht="13.2">
      <c r="K1209" s="20"/>
      <c r="L1209" s="37"/>
      <c r="M1209" s="20"/>
      <c r="N1209" s="37"/>
    </row>
    <row r="1210" spans="6:17" ht="13.2">
      <c r="K1210" s="20" t="s">
        <v>1441</v>
      </c>
      <c r="L1210" s="37" t="e">
        <f ca="1">SUM(L1196:L1202)</f>
        <v>#NAME?</v>
      </c>
      <c r="M1210" s="20" t="s">
        <v>1442</v>
      </c>
      <c r="N1210" s="37">
        <f>SUM(N1196:N1208)</f>
        <v>363.96617333333336</v>
      </c>
    </row>
    <row r="1211" spans="6:17" ht="13.2">
      <c r="K1211" s="20"/>
      <c r="L1211" s="37"/>
      <c r="M1211" s="20"/>
      <c r="N1211" s="37"/>
    </row>
    <row r="1212" spans="6:17" ht="13.2">
      <c r="F1212" s="184" t="s">
        <v>942</v>
      </c>
      <c r="G1212" s="180"/>
      <c r="H1212" s="180"/>
      <c r="I1212" s="180"/>
      <c r="J1212" s="180"/>
      <c r="K1212" s="180"/>
      <c r="L1212" s="180"/>
      <c r="M1212" s="180"/>
      <c r="N1212" s="180"/>
      <c r="O1212" s="180"/>
    </row>
    <row r="1213" spans="6:17" ht="13.2">
      <c r="F1213" s="10" t="s">
        <v>1408</v>
      </c>
      <c r="G1213" s="10" t="s">
        <v>543</v>
      </c>
      <c r="H1213" s="10" t="s">
        <v>1409</v>
      </c>
      <c r="I1213" s="10" t="s">
        <v>1410</v>
      </c>
      <c r="J1213" s="10" t="s">
        <v>1411</v>
      </c>
      <c r="K1213" s="10" t="s">
        <v>1412</v>
      </c>
      <c r="L1213" s="10" t="s">
        <v>1413</v>
      </c>
      <c r="M1213" s="179" t="s">
        <v>1468</v>
      </c>
      <c r="N1213" s="180"/>
      <c r="O1213" s="10" t="s">
        <v>1415</v>
      </c>
    </row>
    <row r="1214" spans="6:17" ht="13.2">
      <c r="F1214" s="18" t="s">
        <v>1588</v>
      </c>
      <c r="G1214" s="18" t="s">
        <v>1702</v>
      </c>
      <c r="H1214" s="10" t="s">
        <v>1703</v>
      </c>
      <c r="I1214" s="10">
        <f>20*25</f>
        <v>500</v>
      </c>
      <c r="J1214" s="43" t="e">
        <f t="array" aca="1" ref="J1214" ca="1">_xludf.XLOOKUP(F1214, analysis!A:A, analysis!I:I)</f>
        <v>#NAME?</v>
      </c>
      <c r="K1214" s="10" t="e">
        <f t="array" aca="1" ref="K1214" ca="1">_xludf.XLOOKUP(F1214, analysis!A:A, analysis!J:J)</f>
        <v>#NAME?</v>
      </c>
      <c r="L1214" s="10" t="e">
        <f t="shared" ref="L1214:L1218" ca="1" si="65">K1214*I1214*J1214/1000</f>
        <v>#NAME?</v>
      </c>
      <c r="M1214" s="10" t="s">
        <v>1417</v>
      </c>
      <c r="P1214" s="10" t="str">
        <f ca="1">IFERROR(__xludf.DUMMYFUNCTION("transpose(split(F1214,CHAR(10)))"),"collard green")</f>
        <v>collard green</v>
      </c>
      <c r="Q1214" s="10" t="str">
        <f ca="1">IFERROR(__xludf.DUMMYFUNCTION("transpose(split(G1214,CHAR(10)))"),"20 leaves")</f>
        <v>20 leaves</v>
      </c>
    </row>
    <row r="1215" spans="6:17" ht="13.2">
      <c r="F1215" s="10" t="s">
        <v>1421</v>
      </c>
      <c r="G1215" s="10" t="s">
        <v>734</v>
      </c>
      <c r="H1215" s="10" t="s">
        <v>1422</v>
      </c>
      <c r="I1215" s="10">
        <f>0.914*45</f>
        <v>41.13</v>
      </c>
      <c r="J1215" s="43" t="e">
        <f t="array" aca="1" ref="J1215" ca="1">_xludf.XLOOKUP(F1215, analysis!A:A, analysis!I:I)</f>
        <v>#NAME?</v>
      </c>
      <c r="K1215" s="10" t="e">
        <f t="array" aca="1" ref="K1215" ca="1">_xludf.XLOOKUP(F1215, analysis!A:A, analysis!J:J)</f>
        <v>#NAME?</v>
      </c>
      <c r="L1215" s="10" t="e">
        <f t="shared" ca="1" si="65"/>
        <v>#NAME?</v>
      </c>
      <c r="M1215" s="10" t="s">
        <v>1420</v>
      </c>
      <c r="N1215" s="37"/>
    </row>
    <row r="1216" spans="6:17" ht="13.2">
      <c r="F1216" s="10" t="s">
        <v>737</v>
      </c>
      <c r="G1216" s="10">
        <v>4</v>
      </c>
      <c r="H1216" s="10" t="s">
        <v>1416</v>
      </c>
      <c r="I1216" s="10">
        <f>4*4.4</f>
        <v>17.600000000000001</v>
      </c>
      <c r="J1216" s="43" t="e">
        <f t="array" aca="1" ref="J1216" ca="1">_xludf.XLOOKUP(F1216, analysis!A:A, analysis!I:I)</f>
        <v>#NAME?</v>
      </c>
      <c r="K1216" s="10" t="e">
        <f t="array" aca="1" ref="K1216" ca="1">_xludf.XLOOKUP(F1216, analysis!A:A, analysis!J:J)</f>
        <v>#NAME?</v>
      </c>
      <c r="L1216" s="10" t="e">
        <f t="shared" ca="1" si="65"/>
        <v>#NAME?</v>
      </c>
      <c r="M1216" s="10" t="s">
        <v>1423</v>
      </c>
      <c r="N1216" s="37"/>
    </row>
    <row r="1217" spans="6:17" ht="13.2">
      <c r="F1217" s="10" t="s">
        <v>646</v>
      </c>
      <c r="G1217" s="10" t="s">
        <v>1439</v>
      </c>
      <c r="H1217" s="10">
        <v>0</v>
      </c>
      <c r="I1217" s="10">
        <v>0</v>
      </c>
      <c r="J1217" s="43" t="e">
        <f t="array" aca="1" ref="J1217" ca="1">_xludf.XLOOKUP(F1217, analysis!A:A, analysis!I:I)</f>
        <v>#NAME?</v>
      </c>
      <c r="K1217" s="10" t="e">
        <f t="array" aca="1" ref="K1217" ca="1">_xludf.XLOOKUP(F1217, analysis!A:A, analysis!J:J)</f>
        <v>#NAME?</v>
      </c>
      <c r="L1217" s="10" t="e">
        <f t="shared" ca="1" si="65"/>
        <v>#NAME?</v>
      </c>
      <c r="M1217" s="10" t="s">
        <v>1425</v>
      </c>
      <c r="N1217" s="37"/>
    </row>
    <row r="1218" spans="6:17" ht="13.2">
      <c r="F1218" s="10" t="s">
        <v>1440</v>
      </c>
      <c r="G1218" s="10" t="s">
        <v>1439</v>
      </c>
      <c r="H1218" s="10">
        <v>0</v>
      </c>
      <c r="I1218" s="10">
        <v>0</v>
      </c>
      <c r="J1218" s="43" t="e">
        <f t="array" aca="1" ref="J1218" ca="1">_xludf.XLOOKUP(F1218, analysis!A:A, analysis!I:I)</f>
        <v>#NAME?</v>
      </c>
      <c r="K1218" s="10" t="e">
        <f t="array" aca="1" ref="K1218" ca="1">_xludf.XLOOKUP(F1218, analysis!A:A, analysis!J:J)</f>
        <v>#NAME?</v>
      </c>
      <c r="L1218" s="10" t="e">
        <f t="shared" ca="1" si="65"/>
        <v>#NAME?</v>
      </c>
      <c r="M1218" s="10" t="s">
        <v>1428</v>
      </c>
      <c r="N1218" s="37"/>
    </row>
    <row r="1219" spans="6:17" ht="13.2">
      <c r="K1219" s="20"/>
      <c r="L1219" s="37"/>
      <c r="M1219" s="10" t="s">
        <v>1429</v>
      </c>
      <c r="N1219" s="37"/>
    </row>
    <row r="1220" spans="6:17" ht="13.2">
      <c r="K1220" s="20"/>
      <c r="L1220" s="37"/>
      <c r="M1220" s="10" t="s">
        <v>1430</v>
      </c>
      <c r="N1220" s="10">
        <f>(((I1215*1.96*160)/0.63)+(0.5/60)*5773920+(5.5/60)*5773920)*10^-6*50</f>
        <v>29.893280000000001</v>
      </c>
    </row>
    <row r="1221" spans="6:17" ht="13.2">
      <c r="K1221" s="20"/>
      <c r="L1221" s="37"/>
      <c r="M1221" s="10" t="s">
        <v>1432</v>
      </c>
      <c r="N1221" s="37"/>
    </row>
    <row r="1222" spans="6:17" ht="13.2">
      <c r="K1222" s="20"/>
      <c r="L1222" s="37"/>
      <c r="M1222" s="10" t="s">
        <v>1433</v>
      </c>
      <c r="N1222" s="37"/>
    </row>
    <row r="1223" spans="6:17" ht="13.2">
      <c r="K1223" s="20"/>
      <c r="L1223" s="37"/>
      <c r="M1223" s="10" t="s">
        <v>1434</v>
      </c>
      <c r="N1223" s="37"/>
    </row>
    <row r="1224" spans="6:17" ht="13.2">
      <c r="K1224" s="20"/>
      <c r="L1224" s="37"/>
      <c r="M1224" s="10" t="s">
        <v>1437</v>
      </c>
      <c r="N1224" s="37"/>
    </row>
    <row r="1225" spans="6:17" ht="13.2">
      <c r="K1225" s="20"/>
      <c r="L1225" s="37"/>
      <c r="M1225" s="10" t="s">
        <v>1474</v>
      </c>
      <c r="N1225" s="37"/>
    </row>
    <row r="1226" spans="6:17" ht="13.2">
      <c r="K1226" s="20"/>
      <c r="L1226" s="37"/>
      <c r="M1226" s="10" t="s">
        <v>1625</v>
      </c>
      <c r="N1226" s="37"/>
    </row>
    <row r="1227" spans="6:17" ht="13.2">
      <c r="K1227" s="20"/>
      <c r="L1227" s="37"/>
      <c r="M1227" s="20"/>
      <c r="N1227" s="37"/>
    </row>
    <row r="1228" spans="6:17" ht="13.2">
      <c r="K1228" s="20" t="s">
        <v>1441</v>
      </c>
      <c r="L1228" s="37" t="e">
        <f ca="1">SUM(L1214:L1220)</f>
        <v>#NAME?</v>
      </c>
      <c r="M1228" s="20" t="s">
        <v>1442</v>
      </c>
      <c r="N1228" s="37">
        <f>SUM(N1214:N1226)</f>
        <v>29.893280000000001</v>
      </c>
    </row>
    <row r="1229" spans="6:17" ht="13.2">
      <c r="K1229" s="20"/>
      <c r="L1229" s="37"/>
      <c r="M1229" s="20"/>
      <c r="N1229" s="37"/>
    </row>
    <row r="1230" spans="6:17" ht="13.2">
      <c r="F1230" s="184" t="s">
        <v>946</v>
      </c>
      <c r="G1230" s="180"/>
      <c r="H1230" s="180"/>
      <c r="I1230" s="180"/>
      <c r="J1230" s="180"/>
      <c r="K1230" s="180"/>
      <c r="L1230" s="180"/>
      <c r="M1230" s="180"/>
      <c r="N1230" s="180"/>
      <c r="O1230" s="180"/>
    </row>
    <row r="1231" spans="6:17" ht="13.2">
      <c r="F1231" s="10" t="s">
        <v>1408</v>
      </c>
      <c r="G1231" s="10" t="s">
        <v>543</v>
      </c>
      <c r="H1231" s="10" t="s">
        <v>1409</v>
      </c>
      <c r="I1231" s="10" t="s">
        <v>1410</v>
      </c>
      <c r="J1231" s="10" t="s">
        <v>1411</v>
      </c>
      <c r="K1231" s="10" t="s">
        <v>1412</v>
      </c>
      <c r="L1231" s="10" t="s">
        <v>1413</v>
      </c>
      <c r="M1231" s="179" t="s">
        <v>1468</v>
      </c>
      <c r="N1231" s="180"/>
      <c r="O1231" s="10" t="s">
        <v>1415</v>
      </c>
    </row>
    <row r="1232" spans="6:17" ht="13.2">
      <c r="F1232" s="18" t="s">
        <v>675</v>
      </c>
      <c r="G1232" s="18">
        <v>4</v>
      </c>
      <c r="H1232" s="10" t="s">
        <v>1416</v>
      </c>
      <c r="I1232" s="10">
        <f>4*140</f>
        <v>560</v>
      </c>
      <c r="J1232" s="43" t="e">
        <f t="array" aca="1" ref="J1232" ca="1">_xludf.XLOOKUP(F1232, analysis!A:A, analysis!I:I)</f>
        <v>#NAME?</v>
      </c>
      <c r="K1232" s="10" t="e">
        <f t="array" aca="1" ref="K1232" ca="1">_xludf.XLOOKUP(F1232, analysis!A:A, analysis!J:J)</f>
        <v>#NAME?</v>
      </c>
      <c r="L1232" s="10" t="e">
        <f ca="1">K1232*I1232*J1232/1000</f>
        <v>#NAME?</v>
      </c>
      <c r="M1232" s="10" t="s">
        <v>1417</v>
      </c>
      <c r="P1232" s="10" t="str">
        <f ca="1">IFERROR(__xludf.DUMMYFUNCTION("transpose(split(F1232,CHAR(10)))"),"potato")</f>
        <v>potato</v>
      </c>
      <c r="Q1232" s="10">
        <f ca="1">IFERROR(__xludf.DUMMYFUNCTION("transpose(split(G1232,CHAR(10)))"),4)</f>
        <v>4</v>
      </c>
    </row>
    <row r="1233" spans="6:15" ht="13.2">
      <c r="F1233" s="10" t="s">
        <v>733</v>
      </c>
      <c r="G1233" s="10" t="s">
        <v>1562</v>
      </c>
      <c r="H1233" s="10">
        <v>0</v>
      </c>
      <c r="I1233" s="10">
        <v>0</v>
      </c>
      <c r="J1233" s="43" t="e">
        <f t="array" aca="1" ref="J1233" ca="1">_xludf.XLOOKUP(F1233, analysis!A:A, analysis!I:I)</f>
        <v>#NAME?</v>
      </c>
      <c r="K1233" s="10" t="e">
        <f t="array" aca="1" ref="K1233" ca="1">_xludf.XLOOKUP(F1233, analysis!A:A, analysis!J:J)</f>
        <v>#NAME?</v>
      </c>
      <c r="L1233" s="37"/>
      <c r="M1233" s="10" t="s">
        <v>1420</v>
      </c>
      <c r="N1233" s="37"/>
    </row>
    <row r="1234" spans="6:15" ht="13.2">
      <c r="K1234" s="20"/>
      <c r="L1234" s="37"/>
      <c r="M1234" s="10" t="s">
        <v>1423</v>
      </c>
      <c r="N1234" s="37"/>
    </row>
    <row r="1235" spans="6:15" ht="13.2">
      <c r="K1235" s="20"/>
      <c r="L1235" s="37"/>
      <c r="M1235" s="10" t="s">
        <v>1425</v>
      </c>
      <c r="N1235" s="37"/>
    </row>
    <row r="1236" spans="6:15" ht="13.2">
      <c r="K1236" s="20"/>
      <c r="L1236" s="37"/>
      <c r="M1236" s="10" t="s">
        <v>1428</v>
      </c>
      <c r="N1236" s="37"/>
    </row>
    <row r="1237" spans="6:15" ht="13.2">
      <c r="K1237" s="20"/>
      <c r="L1237" s="37"/>
      <c r="M1237" s="10" t="s">
        <v>1429</v>
      </c>
      <c r="N1237" s="10">
        <f>((4700/2*0.927*1.96*170/0.63)+(2.5/60)*5773920+(2.5/60)*5773920)*(10^-6)*50</f>
        <v>81.665900000000008</v>
      </c>
    </row>
    <row r="1238" spans="6:15" ht="13.2">
      <c r="K1238" s="20"/>
      <c r="L1238" s="37"/>
      <c r="M1238" s="10" t="s">
        <v>1430</v>
      </c>
    </row>
    <row r="1239" spans="6:15" ht="13.2">
      <c r="K1239" s="20"/>
      <c r="L1239" s="37"/>
      <c r="M1239" s="10" t="s">
        <v>1432</v>
      </c>
      <c r="N1239" s="37"/>
    </row>
    <row r="1240" spans="6:15" ht="13.2">
      <c r="K1240" s="20"/>
      <c r="L1240" s="37"/>
      <c r="M1240" s="10" t="s">
        <v>1433</v>
      </c>
      <c r="N1240" s="37"/>
    </row>
    <row r="1241" spans="6:15" ht="13.2">
      <c r="K1241" s="20"/>
      <c r="L1241" s="37"/>
      <c r="M1241" s="10" t="s">
        <v>1434</v>
      </c>
      <c r="N1241" s="37"/>
    </row>
    <row r="1242" spans="6:15" ht="13.2">
      <c r="K1242" s="20"/>
      <c r="L1242" s="37"/>
      <c r="M1242" s="10" t="s">
        <v>1437</v>
      </c>
      <c r="N1242" s="37"/>
    </row>
    <row r="1243" spans="6:15" ht="13.2">
      <c r="K1243" s="20"/>
      <c r="L1243" s="37"/>
      <c r="M1243" s="10" t="s">
        <v>1474</v>
      </c>
      <c r="N1243" s="37"/>
    </row>
    <row r="1244" spans="6:15" ht="13.2">
      <c r="K1244" s="20"/>
      <c r="L1244" s="37"/>
      <c r="M1244" s="10" t="s">
        <v>1625</v>
      </c>
      <c r="N1244" s="37"/>
    </row>
    <row r="1245" spans="6:15" ht="13.2">
      <c r="K1245" s="20"/>
      <c r="L1245" s="37"/>
      <c r="M1245" s="20"/>
      <c r="N1245" s="37"/>
    </row>
    <row r="1246" spans="6:15" ht="13.2">
      <c r="K1246" s="20" t="s">
        <v>1441</v>
      </c>
      <c r="L1246" s="37" t="e">
        <f ca="1">SUM(L1232:L1233)</f>
        <v>#NAME?</v>
      </c>
      <c r="M1246" s="20" t="s">
        <v>1442</v>
      </c>
      <c r="N1246" s="37">
        <f>SUM(N1232:N1244)</f>
        <v>81.665900000000008</v>
      </c>
    </row>
    <row r="1247" spans="6:15" ht="13.2">
      <c r="K1247" s="20"/>
      <c r="L1247" s="37"/>
      <c r="M1247" s="20"/>
      <c r="N1247" s="37"/>
    </row>
    <row r="1248" spans="6:15" ht="13.2">
      <c r="F1248" s="184" t="s">
        <v>962</v>
      </c>
      <c r="G1248" s="180"/>
      <c r="H1248" s="180"/>
      <c r="I1248" s="180"/>
      <c r="J1248" s="180"/>
      <c r="K1248" s="180"/>
      <c r="L1248" s="180"/>
      <c r="M1248" s="180"/>
      <c r="N1248" s="180"/>
      <c r="O1248" s="180"/>
    </row>
    <row r="1249" spans="6:17" ht="13.2">
      <c r="F1249" s="10" t="s">
        <v>1408</v>
      </c>
      <c r="G1249" s="10" t="s">
        <v>543</v>
      </c>
      <c r="H1249" s="10" t="s">
        <v>1409</v>
      </c>
      <c r="I1249" s="10" t="s">
        <v>1410</v>
      </c>
      <c r="J1249" s="10" t="s">
        <v>1411</v>
      </c>
      <c r="K1249" s="10" t="s">
        <v>1412</v>
      </c>
      <c r="L1249" s="10" t="s">
        <v>1413</v>
      </c>
      <c r="M1249" s="179" t="s">
        <v>1468</v>
      </c>
      <c r="N1249" s="180"/>
      <c r="O1249" s="10" t="s">
        <v>1415</v>
      </c>
    </row>
    <row r="1250" spans="6:17" ht="13.2">
      <c r="F1250" s="10" t="s">
        <v>1628</v>
      </c>
      <c r="G1250" s="10">
        <v>1</v>
      </c>
      <c r="H1250" s="10" t="s">
        <v>1416</v>
      </c>
      <c r="I1250" s="10">
        <v>55</v>
      </c>
      <c r="J1250" s="43" t="e">
        <f t="array" aca="1" ref="J1250" ca="1">_xludf.XLOOKUP(F1250, analysis!A:A, analysis!I:I)</f>
        <v>#NAME?</v>
      </c>
      <c r="K1250" s="10" t="e">
        <f t="array" aca="1" ref="K1250" ca="1">_xludf.XLOOKUP(F1250, analysis!A:A, analysis!J:J)</f>
        <v>#NAME?</v>
      </c>
      <c r="L1250" s="10" t="e">
        <f t="shared" ref="L1250:L1259" ca="1" si="66">K1250*I1250*J1250/1000</f>
        <v>#NAME?</v>
      </c>
      <c r="M1250" s="10" t="s">
        <v>1417</v>
      </c>
      <c r="P1250" s="10" t="str">
        <f ca="1">IFERROR(__xludf.DUMMYFUNCTION("transpose(split(F1250,CHAR(10)))"),"green bell pepper")</f>
        <v>green bell pepper</v>
      </c>
      <c r="Q1250" s="10">
        <f ca="1">IFERROR(__xludf.DUMMYFUNCTION("transpose(split(G1250,CHAR(10)))"),1)</f>
        <v>1</v>
      </c>
    </row>
    <row r="1251" spans="6:17" ht="13.2">
      <c r="F1251" s="10" t="s">
        <v>1647</v>
      </c>
      <c r="G1251" s="10">
        <v>1</v>
      </c>
      <c r="H1251" s="10" t="s">
        <v>1416</v>
      </c>
      <c r="I1251" s="10">
        <v>55</v>
      </c>
      <c r="J1251" s="43" t="e">
        <f t="array" aca="1" ref="J1251" ca="1">_xludf.XLOOKUP(F1251, analysis!A:A, analysis!I:I)</f>
        <v>#NAME?</v>
      </c>
      <c r="K1251" s="10" t="e">
        <f t="array" aca="1" ref="K1251" ca="1">_xludf.XLOOKUP(F1251, analysis!A:A, analysis!J:J)</f>
        <v>#NAME?</v>
      </c>
      <c r="L1251" s="10" t="e">
        <f t="shared" ca="1" si="66"/>
        <v>#NAME?</v>
      </c>
      <c r="M1251" s="10" t="s">
        <v>1420</v>
      </c>
      <c r="N1251" s="37"/>
    </row>
    <row r="1252" spans="6:17" ht="13.2">
      <c r="F1252" s="10" t="s">
        <v>658</v>
      </c>
      <c r="G1252" s="10">
        <v>3</v>
      </c>
      <c r="H1252" s="10" t="s">
        <v>1416</v>
      </c>
      <c r="I1252" s="10">
        <f>3*100</f>
        <v>300</v>
      </c>
      <c r="J1252" s="43" t="e">
        <f t="array" aca="1" ref="J1252" ca="1">_xludf.XLOOKUP(F1252, analysis!A:A, analysis!I:I)</f>
        <v>#NAME?</v>
      </c>
      <c r="K1252" s="10" t="e">
        <f t="array" aca="1" ref="K1252" ca="1">_xludf.XLOOKUP(F1252, analysis!A:A, analysis!J:J)</f>
        <v>#NAME?</v>
      </c>
      <c r="L1252" s="10" t="e">
        <f t="shared" ca="1" si="66"/>
        <v>#NAME?</v>
      </c>
      <c r="M1252" s="10" t="s">
        <v>1423</v>
      </c>
      <c r="N1252" s="37"/>
    </row>
    <row r="1253" spans="6:17" ht="13.2">
      <c r="F1253" s="10" t="s">
        <v>651</v>
      </c>
      <c r="G1253" s="10">
        <v>1</v>
      </c>
      <c r="H1253" s="10" t="s">
        <v>1416</v>
      </c>
      <c r="I1253" s="10">
        <v>70</v>
      </c>
      <c r="J1253" s="43" t="e">
        <f t="array" aca="1" ref="J1253" ca="1">_xludf.XLOOKUP(F1253, analysis!A:A, analysis!I:I)</f>
        <v>#NAME?</v>
      </c>
      <c r="K1253" s="10" t="e">
        <f t="array" aca="1" ref="K1253" ca="1">_xludf.XLOOKUP(F1253, analysis!A:A, analysis!J:J)</f>
        <v>#NAME?</v>
      </c>
      <c r="L1253" s="10" t="e">
        <f t="shared" ca="1" si="66"/>
        <v>#NAME?</v>
      </c>
      <c r="M1253" s="10" t="s">
        <v>1425</v>
      </c>
      <c r="N1253" s="37"/>
    </row>
    <row r="1254" spans="6:17" ht="13.2">
      <c r="F1254" s="10" t="s">
        <v>1448</v>
      </c>
      <c r="G1254" s="10" t="s">
        <v>1704</v>
      </c>
      <c r="H1254" s="10" t="s">
        <v>1422</v>
      </c>
      <c r="I1254" s="10">
        <f>100*1.01</f>
        <v>101</v>
      </c>
      <c r="J1254" s="43" t="e">
        <f t="array" aca="1" ref="J1254" ca="1">_xludf.XLOOKUP(F1254, analysis!A:A, analysis!I:I)</f>
        <v>#NAME?</v>
      </c>
      <c r="K1254" s="10" t="e">
        <f t="array" aca="1" ref="K1254" ca="1">_xludf.XLOOKUP(F1254, analysis!A:A, analysis!J:J)</f>
        <v>#NAME?</v>
      </c>
      <c r="L1254" s="10" t="e">
        <f t="shared" ca="1" si="66"/>
        <v>#NAME?</v>
      </c>
      <c r="M1254" s="10" t="s">
        <v>1428</v>
      </c>
      <c r="N1254" s="37"/>
    </row>
    <row r="1255" spans="6:17" ht="13.2">
      <c r="F1255" s="10" t="s">
        <v>1421</v>
      </c>
      <c r="G1255" s="10" t="s">
        <v>749</v>
      </c>
      <c r="H1255" s="10" t="s">
        <v>1422</v>
      </c>
      <c r="I1255" s="10">
        <f>0.914*200</f>
        <v>182.8</v>
      </c>
      <c r="J1255" s="43" t="e">
        <f t="array" aca="1" ref="J1255" ca="1">_xludf.XLOOKUP(F1255, analysis!A:A, analysis!I:I)</f>
        <v>#NAME?</v>
      </c>
      <c r="K1255" s="10" t="e">
        <f t="array" aca="1" ref="K1255" ca="1">_xludf.XLOOKUP(F1255, analysis!A:A, analysis!J:J)</f>
        <v>#NAME?</v>
      </c>
      <c r="L1255" s="10" t="e">
        <f t="shared" ca="1" si="66"/>
        <v>#NAME?</v>
      </c>
      <c r="M1255" s="10" t="s">
        <v>1429</v>
      </c>
    </row>
    <row r="1256" spans="6:17" ht="13.2">
      <c r="F1256" s="10" t="s">
        <v>1449</v>
      </c>
      <c r="G1256" s="10" t="s">
        <v>1601</v>
      </c>
      <c r="H1256" s="10" t="s">
        <v>1444</v>
      </c>
      <c r="I1256" s="10">
        <f>0.11*25</f>
        <v>2.75</v>
      </c>
      <c r="J1256" s="43" t="e">
        <f t="array" aca="1" ref="J1256" ca="1">_xludf.XLOOKUP(F1256, analysis!A:A, analysis!I:I)</f>
        <v>#NAME?</v>
      </c>
      <c r="K1256" s="10" t="e">
        <f t="array" aca="1" ref="K1256" ca="1">_xludf.XLOOKUP(F1256, analysis!A:A, analysis!J:J)</f>
        <v>#NAME?</v>
      </c>
      <c r="L1256" s="10" t="e">
        <f t="shared" ca="1" si="66"/>
        <v>#NAME?</v>
      </c>
      <c r="M1256" s="10" t="s">
        <v>1430</v>
      </c>
    </row>
    <row r="1257" spans="6:17" ht="13.2">
      <c r="F1257" s="10" t="s">
        <v>641</v>
      </c>
      <c r="G1257" s="10" t="s">
        <v>746</v>
      </c>
      <c r="H1257" s="10" t="s">
        <v>1422</v>
      </c>
      <c r="I1257" s="10">
        <f>0.95*15</f>
        <v>14.25</v>
      </c>
      <c r="J1257" s="43" t="e">
        <f t="array" aca="1" ref="J1257" ca="1">_xludf.XLOOKUP(F1257, analysis!A:A, analysis!I:I)</f>
        <v>#NAME?</v>
      </c>
      <c r="K1257" s="10" t="e">
        <f t="array" aca="1" ref="K1257" ca="1">_xludf.XLOOKUP(F1257, analysis!A:A, analysis!J:J)</f>
        <v>#NAME?</v>
      </c>
      <c r="L1257" s="10" t="e">
        <f t="shared" ca="1" si="66"/>
        <v>#NAME?</v>
      </c>
      <c r="M1257" s="10" t="s">
        <v>1432</v>
      </c>
      <c r="N1257" s="37"/>
    </row>
    <row r="1258" spans="6:17" ht="13.2">
      <c r="F1258" s="10" t="s">
        <v>646</v>
      </c>
      <c r="G1258" s="10" t="s">
        <v>1689</v>
      </c>
      <c r="H1258" s="10" t="s">
        <v>1422</v>
      </c>
      <c r="I1258" s="10">
        <f>1.38*2.5</f>
        <v>3.4499999999999997</v>
      </c>
      <c r="J1258" s="43" t="e">
        <f t="array" aca="1" ref="J1258" ca="1">_xludf.XLOOKUP(F1258, analysis!A:A, analysis!I:I)</f>
        <v>#NAME?</v>
      </c>
      <c r="K1258" s="10" t="e">
        <f t="array" aca="1" ref="K1258" ca="1">_xludf.XLOOKUP(F1258, analysis!A:A, analysis!J:J)</f>
        <v>#NAME?</v>
      </c>
      <c r="L1258" s="10" t="e">
        <f t="shared" ca="1" si="66"/>
        <v>#NAME?</v>
      </c>
      <c r="M1258" s="10" t="s">
        <v>1433</v>
      </c>
      <c r="N1258" s="37"/>
    </row>
    <row r="1259" spans="6:17" ht="13.2">
      <c r="F1259" s="10" t="s">
        <v>1440</v>
      </c>
      <c r="G1259" s="10" t="s">
        <v>1689</v>
      </c>
      <c r="H1259" s="10" t="s">
        <v>1422</v>
      </c>
      <c r="I1259" s="10">
        <f>0.47*2.5</f>
        <v>1.1749999999999998</v>
      </c>
      <c r="J1259" s="43" t="e">
        <f t="array" aca="1" ref="J1259" ca="1">_xludf.XLOOKUP(F1259, analysis!A:A, analysis!I:I)</f>
        <v>#NAME?</v>
      </c>
      <c r="K1259" s="10" t="e">
        <f t="array" aca="1" ref="K1259" ca="1">_xludf.XLOOKUP(F1259, analysis!A:A, analysis!J:J)</f>
        <v>#NAME?</v>
      </c>
      <c r="L1259" s="10" t="e">
        <f t="shared" ca="1" si="66"/>
        <v>#NAME?</v>
      </c>
      <c r="M1259" s="10" t="s">
        <v>1434</v>
      </c>
      <c r="N1259" s="37"/>
    </row>
    <row r="1260" spans="6:17" ht="13.2">
      <c r="J1260" s="43"/>
      <c r="M1260" s="10" t="s">
        <v>1437</v>
      </c>
      <c r="N1260" s="37"/>
    </row>
    <row r="1261" spans="6:17" ht="13.2">
      <c r="K1261" s="20"/>
      <c r="L1261" s="37"/>
      <c r="M1261" s="10" t="s">
        <v>1474</v>
      </c>
      <c r="N1261" s="37"/>
    </row>
    <row r="1262" spans="6:17" ht="13.2">
      <c r="K1262" s="20"/>
      <c r="L1262" s="37"/>
      <c r="M1262" s="10" t="s">
        <v>1625</v>
      </c>
      <c r="N1262" s="37"/>
    </row>
    <row r="1263" spans="6:17" ht="13.2">
      <c r="K1263" s="20"/>
      <c r="L1263" s="37"/>
      <c r="M1263" s="20"/>
      <c r="N1263" s="37"/>
    </row>
    <row r="1264" spans="6:17" ht="13.2">
      <c r="K1264" s="20" t="s">
        <v>1441</v>
      </c>
      <c r="L1264" s="37" t="e">
        <f ca="1">SUM(L1250:L1259)</f>
        <v>#NAME?</v>
      </c>
      <c r="M1264" s="20" t="s">
        <v>1442</v>
      </c>
      <c r="N1264" s="37">
        <f>SUM(N1250:N1262)</f>
        <v>0</v>
      </c>
    </row>
    <row r="1265" spans="6:17" ht="13.2">
      <c r="K1265" s="20"/>
      <c r="L1265" s="37"/>
      <c r="M1265" s="20"/>
      <c r="N1265" s="37"/>
    </row>
    <row r="1266" spans="6:17" ht="13.2">
      <c r="F1266" s="184" t="s">
        <v>966</v>
      </c>
      <c r="G1266" s="180"/>
      <c r="H1266" s="180"/>
      <c r="I1266" s="180"/>
      <c r="J1266" s="180"/>
      <c r="K1266" s="180"/>
      <c r="L1266" s="180"/>
      <c r="M1266" s="180"/>
      <c r="N1266" s="180"/>
      <c r="O1266" s="180"/>
    </row>
    <row r="1267" spans="6:17" ht="13.2">
      <c r="F1267" s="10" t="s">
        <v>1408</v>
      </c>
      <c r="G1267" s="10" t="s">
        <v>543</v>
      </c>
      <c r="H1267" s="10" t="s">
        <v>1409</v>
      </c>
      <c r="I1267" s="10" t="s">
        <v>1410</v>
      </c>
      <c r="J1267" s="10" t="s">
        <v>1411</v>
      </c>
      <c r="K1267" s="10" t="s">
        <v>1412</v>
      </c>
      <c r="L1267" s="10" t="s">
        <v>1413</v>
      </c>
      <c r="M1267" s="179" t="s">
        <v>1468</v>
      </c>
      <c r="N1267" s="180"/>
      <c r="O1267" s="10" t="s">
        <v>1415</v>
      </c>
    </row>
    <row r="1268" spans="6:17" ht="13.2">
      <c r="F1268" s="10" t="s">
        <v>1638</v>
      </c>
      <c r="G1268" s="10">
        <v>5</v>
      </c>
      <c r="H1268" s="10" t="s">
        <v>1416</v>
      </c>
      <c r="I1268" s="10">
        <f>5*75</f>
        <v>375</v>
      </c>
      <c r="J1268" s="43" t="e">
        <f t="array" aca="1" ref="J1268" ca="1">_xludf.XLOOKUP(F1268, analysis!A:A, analysis!I:I)</f>
        <v>#NAME?</v>
      </c>
      <c r="K1268" s="10" t="e">
        <f t="array" aca="1" ref="K1268" ca="1">_xludf.XLOOKUP(F1268, analysis!A:A, analysis!J:J)</f>
        <v>#NAME?</v>
      </c>
      <c r="L1268" s="10" t="e">
        <f t="shared" ref="L1268:L1274" ca="1" si="67">K1268*I1268*J1268/1000</f>
        <v>#NAME?</v>
      </c>
      <c r="M1268" s="10" t="s">
        <v>1417</v>
      </c>
      <c r="P1268" s="10" t="str">
        <f ca="1">IFERROR(__xludf.DUMMYFUNCTION("transpose(split(F1268,CHAR(10)))"),"palm hearts")</f>
        <v>palm hearts</v>
      </c>
      <c r="Q1268" s="10">
        <f ca="1">IFERROR(__xludf.DUMMYFUNCTION("transpose(split(G1268,CHAR(10)))"),5)</f>
        <v>5</v>
      </c>
    </row>
    <row r="1269" spans="6:17" ht="13.2">
      <c r="F1269" s="10" t="s">
        <v>658</v>
      </c>
      <c r="G1269" s="10">
        <v>2</v>
      </c>
      <c r="H1269" s="10" t="s">
        <v>1416</v>
      </c>
      <c r="I1269" s="10">
        <f>2*100</f>
        <v>200</v>
      </c>
      <c r="J1269" s="43" t="e">
        <f t="array" aca="1" ref="J1269" ca="1">_xludf.XLOOKUP(F1269, analysis!A:A, analysis!I:I)</f>
        <v>#NAME?</v>
      </c>
      <c r="K1269" s="10" t="e">
        <f t="array" aca="1" ref="K1269" ca="1">_xludf.XLOOKUP(F1269, analysis!A:A, analysis!J:J)</f>
        <v>#NAME?</v>
      </c>
      <c r="L1269" s="10" t="e">
        <f t="shared" ca="1" si="67"/>
        <v>#NAME?</v>
      </c>
      <c r="M1269" s="10" t="s">
        <v>1420</v>
      </c>
      <c r="N1269" s="37"/>
    </row>
    <row r="1270" spans="6:17" ht="13.2">
      <c r="F1270" s="10" t="s">
        <v>651</v>
      </c>
      <c r="G1270" s="10">
        <v>1</v>
      </c>
      <c r="H1270" s="10" t="s">
        <v>1416</v>
      </c>
      <c r="I1270" s="10">
        <v>70</v>
      </c>
      <c r="J1270" s="43" t="e">
        <f t="array" aca="1" ref="J1270" ca="1">_xludf.XLOOKUP(F1270, analysis!A:A, analysis!I:I)</f>
        <v>#NAME?</v>
      </c>
      <c r="K1270" s="10" t="e">
        <f t="array" aca="1" ref="K1270" ca="1">_xludf.XLOOKUP(F1270, analysis!A:A, analysis!J:J)</f>
        <v>#NAME?</v>
      </c>
      <c r="L1270" s="10" t="e">
        <f t="shared" ca="1" si="67"/>
        <v>#NAME?</v>
      </c>
      <c r="M1270" s="10" t="s">
        <v>1423</v>
      </c>
      <c r="N1270" s="37"/>
    </row>
    <row r="1271" spans="6:17" ht="13.2">
      <c r="F1271" s="10" t="s">
        <v>1421</v>
      </c>
      <c r="G1271" s="10" t="s">
        <v>1506</v>
      </c>
      <c r="H1271" s="10" t="s">
        <v>1422</v>
      </c>
      <c r="I1271" s="10">
        <f>0.914*30</f>
        <v>27.42</v>
      </c>
      <c r="J1271" s="43" t="e">
        <f t="array" aca="1" ref="J1271" ca="1">_xludf.XLOOKUP(F1271, analysis!A:A, analysis!I:I)</f>
        <v>#NAME?</v>
      </c>
      <c r="K1271" s="10" t="e">
        <f t="array" aca="1" ref="K1271" ca="1">_xludf.XLOOKUP(F1271, analysis!A:A, analysis!J:J)</f>
        <v>#NAME?</v>
      </c>
      <c r="L1271" s="10" t="e">
        <f t="shared" ca="1" si="67"/>
        <v>#NAME?</v>
      </c>
      <c r="M1271" s="10" t="s">
        <v>1425</v>
      </c>
      <c r="N1271" s="37"/>
    </row>
    <row r="1272" spans="6:17" ht="13.2">
      <c r="F1272" s="10" t="s">
        <v>646</v>
      </c>
      <c r="G1272" s="10" t="s">
        <v>1439</v>
      </c>
      <c r="H1272" s="10">
        <v>0</v>
      </c>
      <c r="I1272" s="10">
        <v>0</v>
      </c>
      <c r="J1272" s="43" t="e">
        <f t="array" aca="1" ref="J1272" ca="1">_xludf.XLOOKUP(F1272, analysis!A:A, analysis!I:I)</f>
        <v>#NAME?</v>
      </c>
      <c r="K1272" s="10" t="e">
        <f t="array" aca="1" ref="K1272" ca="1">_xludf.XLOOKUP(F1272, analysis!A:A, analysis!J:J)</f>
        <v>#NAME?</v>
      </c>
      <c r="L1272" s="10" t="e">
        <f t="shared" ca="1" si="67"/>
        <v>#NAME?</v>
      </c>
      <c r="M1272" s="10" t="s">
        <v>1428</v>
      </c>
      <c r="N1272" s="37"/>
    </row>
    <row r="1273" spans="6:17" ht="13.2">
      <c r="F1273" s="10" t="s">
        <v>1440</v>
      </c>
      <c r="G1273" s="10" t="s">
        <v>1439</v>
      </c>
      <c r="H1273" s="10">
        <v>0</v>
      </c>
      <c r="I1273" s="10">
        <v>0</v>
      </c>
      <c r="J1273" s="43" t="e">
        <f t="array" aca="1" ref="J1273" ca="1">_xludf.XLOOKUP(F1273, analysis!A:A, analysis!I:I)</f>
        <v>#NAME?</v>
      </c>
      <c r="K1273" s="10" t="e">
        <f t="array" aca="1" ref="K1273" ca="1">_xludf.XLOOKUP(F1273, analysis!A:A, analysis!J:J)</f>
        <v>#NAME?</v>
      </c>
      <c r="L1273" s="10" t="e">
        <f t="shared" ca="1" si="67"/>
        <v>#NAME?</v>
      </c>
      <c r="M1273" s="10" t="s">
        <v>1429</v>
      </c>
      <c r="N1273" s="37"/>
    </row>
    <row r="1274" spans="6:17" ht="13.2">
      <c r="F1274" s="10" t="s">
        <v>1435</v>
      </c>
      <c r="G1274" s="10" t="s">
        <v>1439</v>
      </c>
      <c r="H1274" s="10">
        <v>0</v>
      </c>
      <c r="I1274" s="10">
        <v>0</v>
      </c>
      <c r="J1274" s="43" t="e">
        <f t="array" aca="1" ref="J1274" ca="1">_xludf.XLOOKUP(F1274, analysis!A:A, analysis!I:I)</f>
        <v>#NAME?</v>
      </c>
      <c r="K1274" s="10" t="e">
        <f t="array" aca="1" ref="K1274" ca="1">_xludf.XLOOKUP(F1274, analysis!A:A, analysis!J:J)</f>
        <v>#NAME?</v>
      </c>
      <c r="L1274" s="10" t="e">
        <f t="shared" ca="1" si="67"/>
        <v>#NAME?</v>
      </c>
      <c r="M1274" s="10" t="s">
        <v>1430</v>
      </c>
      <c r="N1274" s="37"/>
    </row>
    <row r="1275" spans="6:17" ht="13.2">
      <c r="K1275" s="20"/>
      <c r="L1275" s="37"/>
      <c r="M1275" s="10" t="s">
        <v>1432</v>
      </c>
      <c r="N1275" s="37"/>
    </row>
    <row r="1276" spans="6:17" ht="13.2">
      <c r="K1276" s="20"/>
      <c r="L1276" s="37"/>
      <c r="M1276" s="10" t="s">
        <v>1433</v>
      </c>
      <c r="N1276" s="37"/>
    </row>
    <row r="1277" spans="6:17" ht="13.2">
      <c r="K1277" s="20"/>
      <c r="L1277" s="37"/>
      <c r="M1277" s="10" t="s">
        <v>1434</v>
      </c>
      <c r="N1277" s="37"/>
    </row>
    <row r="1278" spans="6:17" ht="13.2">
      <c r="K1278" s="20"/>
      <c r="L1278" s="37"/>
      <c r="M1278" s="10" t="s">
        <v>1437</v>
      </c>
      <c r="N1278" s="37"/>
    </row>
    <row r="1279" spans="6:17" ht="13.2">
      <c r="K1279" s="20"/>
      <c r="L1279" s="37"/>
      <c r="M1279" s="10" t="s">
        <v>1474</v>
      </c>
      <c r="N1279" s="37"/>
    </row>
    <row r="1280" spans="6:17" ht="13.2">
      <c r="K1280" s="20"/>
      <c r="L1280" s="37"/>
      <c r="M1280" s="10" t="s">
        <v>1625</v>
      </c>
      <c r="N1280" s="37"/>
    </row>
    <row r="1281" spans="6:17" ht="13.2">
      <c r="K1281" s="20"/>
      <c r="L1281" s="37"/>
      <c r="M1281" s="20"/>
      <c r="N1281" s="37"/>
    </row>
    <row r="1282" spans="6:17" ht="13.2">
      <c r="K1282" s="20" t="s">
        <v>1441</v>
      </c>
      <c r="L1282" s="37" t="e">
        <f ca="1">SUM(L1268:L1274)</f>
        <v>#NAME?</v>
      </c>
      <c r="M1282" s="20" t="s">
        <v>1442</v>
      </c>
      <c r="N1282" s="37">
        <f>SUM(N1268:N1280)</f>
        <v>0</v>
      </c>
    </row>
    <row r="1283" spans="6:17" ht="13.2">
      <c r="K1283" s="20"/>
      <c r="L1283" s="37"/>
      <c r="M1283" s="20"/>
      <c r="N1283" s="37"/>
    </row>
    <row r="1284" spans="6:17" ht="13.2">
      <c r="F1284" s="185" t="s">
        <v>1180</v>
      </c>
      <c r="G1284" s="180"/>
      <c r="H1284" s="180"/>
      <c r="I1284" s="180"/>
      <c r="J1284" s="180"/>
      <c r="K1284" s="180"/>
      <c r="L1284" s="180"/>
      <c r="M1284" s="180"/>
      <c r="N1284" s="180"/>
      <c r="O1284" s="180"/>
    </row>
    <row r="1285" spans="6:17" ht="13.2">
      <c r="F1285" s="10" t="s">
        <v>1408</v>
      </c>
      <c r="G1285" s="10" t="s">
        <v>543</v>
      </c>
      <c r="H1285" s="10" t="s">
        <v>1409</v>
      </c>
      <c r="I1285" s="10" t="s">
        <v>1410</v>
      </c>
      <c r="J1285" s="10" t="s">
        <v>1411</v>
      </c>
      <c r="K1285" s="10" t="s">
        <v>1412</v>
      </c>
      <c r="L1285" s="10" t="s">
        <v>1413</v>
      </c>
      <c r="M1285" s="179" t="s">
        <v>1468</v>
      </c>
      <c r="N1285" s="180"/>
      <c r="O1285" s="10" t="s">
        <v>1415</v>
      </c>
    </row>
    <row r="1286" spans="6:17" ht="13.2">
      <c r="F1286" s="10" t="s">
        <v>1588</v>
      </c>
      <c r="G1286" s="10" t="s">
        <v>1502</v>
      </c>
      <c r="H1286" s="10" t="s">
        <v>1444</v>
      </c>
      <c r="I1286" s="10">
        <v>680</v>
      </c>
      <c r="J1286" s="43" t="e">
        <f t="array" aca="1" ref="J1286" ca="1">_xludf.XLOOKUP(F1286, analysis!A:A, analysis!I:I)</f>
        <v>#NAME?</v>
      </c>
      <c r="K1286" s="10" t="e">
        <f t="array" aca="1" ref="K1286" ca="1">_xludf.XLOOKUP(F1286, analysis!A:A, analysis!J:J)</f>
        <v>#NAME?</v>
      </c>
      <c r="L1286" s="10" t="e">
        <f t="shared" ref="L1286:L1293" ca="1" si="68">K1286*I1286*J1286/1000</f>
        <v>#NAME?</v>
      </c>
      <c r="M1286" s="10" t="s">
        <v>1417</v>
      </c>
      <c r="P1286" s="10" t="str">
        <f ca="1">IFERROR(__xludf.DUMMYFUNCTION("transpose(split(F1286,CHAR(10)))"),"collard green")</f>
        <v>collard green</v>
      </c>
      <c r="Q1286" s="10" t="str">
        <f ca="1">IFERROR(__xludf.DUMMYFUNCTION("transpose(split(G1286,CHAR(10)))"),"680g")</f>
        <v>680g</v>
      </c>
    </row>
    <row r="1287" spans="6:17" ht="13.2">
      <c r="F1287" s="10" t="s">
        <v>1421</v>
      </c>
      <c r="G1287" s="10" t="s">
        <v>734</v>
      </c>
      <c r="H1287" s="10" t="s">
        <v>1422</v>
      </c>
      <c r="I1287" s="10">
        <f>0.914*45</f>
        <v>41.13</v>
      </c>
      <c r="J1287" s="43" t="e">
        <f t="array" aca="1" ref="J1287" ca="1">_xludf.XLOOKUP(F1287, analysis!A:A, analysis!I:I)</f>
        <v>#NAME?</v>
      </c>
      <c r="K1287" s="10" t="e">
        <f t="array" aca="1" ref="K1287" ca="1">_xludf.XLOOKUP(F1287, analysis!A:A, analysis!J:J)</f>
        <v>#NAME?</v>
      </c>
      <c r="L1287" s="10" t="e">
        <f t="shared" ca="1" si="68"/>
        <v>#NAME?</v>
      </c>
      <c r="M1287" s="10" t="s">
        <v>1420</v>
      </c>
      <c r="N1287" s="37"/>
    </row>
    <row r="1288" spans="6:17" ht="13.2">
      <c r="F1288" s="10" t="s">
        <v>651</v>
      </c>
      <c r="G1288" s="10">
        <v>1</v>
      </c>
      <c r="H1288" s="10" t="s">
        <v>1416</v>
      </c>
      <c r="I1288" s="10">
        <v>70</v>
      </c>
      <c r="J1288" s="43" t="e">
        <f t="array" aca="1" ref="J1288" ca="1">_xludf.XLOOKUP(F1288, analysis!A:A, analysis!I:I)</f>
        <v>#NAME?</v>
      </c>
      <c r="K1288" s="10" t="e">
        <f t="array" aca="1" ref="K1288" ca="1">_xludf.XLOOKUP(F1288, analysis!A:A, analysis!J:J)</f>
        <v>#NAME?</v>
      </c>
      <c r="L1288" s="10" t="e">
        <f t="shared" ca="1" si="68"/>
        <v>#NAME?</v>
      </c>
      <c r="M1288" s="10" t="s">
        <v>1423</v>
      </c>
      <c r="N1288" s="37"/>
    </row>
    <row r="1289" spans="6:17" ht="13.2">
      <c r="F1289" s="10" t="s">
        <v>737</v>
      </c>
      <c r="G1289" s="10">
        <v>4</v>
      </c>
      <c r="H1289" s="10" t="s">
        <v>1416</v>
      </c>
      <c r="I1289" s="10">
        <f>4*4.4</f>
        <v>17.600000000000001</v>
      </c>
      <c r="J1289" s="43" t="e">
        <f t="array" aca="1" ref="J1289" ca="1">_xludf.XLOOKUP(F1289, analysis!A:A, analysis!I:I)</f>
        <v>#NAME?</v>
      </c>
      <c r="K1289" s="10" t="e">
        <f t="array" aca="1" ref="K1289" ca="1">_xludf.XLOOKUP(F1289, analysis!A:A, analysis!J:J)</f>
        <v>#NAME?</v>
      </c>
      <c r="L1289" s="10" t="e">
        <f t="shared" ca="1" si="68"/>
        <v>#NAME?</v>
      </c>
      <c r="M1289" s="10" t="s">
        <v>1425</v>
      </c>
      <c r="N1289" s="37"/>
    </row>
    <row r="1290" spans="6:17" ht="13.2">
      <c r="F1290" s="10" t="s">
        <v>1615</v>
      </c>
      <c r="G1290" s="10" t="s">
        <v>1621</v>
      </c>
      <c r="H1290" s="10" t="s">
        <v>1489</v>
      </c>
      <c r="I1290" s="10">
        <f>0.49*5/2</f>
        <v>1.2250000000000001</v>
      </c>
      <c r="J1290" s="43" t="e">
        <f t="array" aca="1" ref="J1290" ca="1">_xludf.XLOOKUP(F1290, analysis!A:A, analysis!I:I)</f>
        <v>#NAME?</v>
      </c>
      <c r="K1290" s="10" t="e">
        <f t="array" aca="1" ref="K1290" ca="1">_xludf.XLOOKUP(F1290, analysis!A:A, analysis!J:J)</f>
        <v>#NAME?</v>
      </c>
      <c r="L1290" s="10" t="e">
        <f t="shared" ca="1" si="68"/>
        <v>#NAME?</v>
      </c>
      <c r="M1290" s="10" t="s">
        <v>1428</v>
      </c>
      <c r="N1290" s="37"/>
    </row>
    <row r="1291" spans="6:17" ht="13.2">
      <c r="F1291" s="10" t="s">
        <v>646</v>
      </c>
      <c r="G1291" s="10" t="s">
        <v>1439</v>
      </c>
      <c r="H1291" s="10">
        <v>0</v>
      </c>
      <c r="I1291" s="10">
        <v>0</v>
      </c>
      <c r="J1291" s="43" t="e">
        <f t="array" aca="1" ref="J1291" ca="1">_xludf.XLOOKUP(F1291, analysis!A:A, analysis!I:I)</f>
        <v>#NAME?</v>
      </c>
      <c r="K1291" s="10" t="e">
        <f t="array" aca="1" ref="K1291" ca="1">_xludf.XLOOKUP(F1291, analysis!A:A, analysis!J:J)</f>
        <v>#NAME?</v>
      </c>
      <c r="L1291" s="10" t="e">
        <f t="shared" ca="1" si="68"/>
        <v>#NAME?</v>
      </c>
      <c r="M1291" s="10" t="s">
        <v>1429</v>
      </c>
      <c r="N1291" s="37"/>
    </row>
    <row r="1292" spans="6:17" ht="13.2">
      <c r="F1292" s="10" t="s">
        <v>1440</v>
      </c>
      <c r="G1292" s="10" t="s">
        <v>1439</v>
      </c>
      <c r="H1292" s="10">
        <v>0</v>
      </c>
      <c r="I1292" s="10">
        <v>0</v>
      </c>
      <c r="J1292" s="43" t="e">
        <f t="array" aca="1" ref="J1292" ca="1">_xludf.XLOOKUP(F1292, analysis!A:A, analysis!I:I)</f>
        <v>#NAME?</v>
      </c>
      <c r="K1292" s="10" t="e">
        <f t="array" aca="1" ref="K1292" ca="1">_xludf.XLOOKUP(F1292, analysis!A:A, analysis!J:J)</f>
        <v>#NAME?</v>
      </c>
      <c r="L1292" s="10" t="e">
        <f t="shared" ca="1" si="68"/>
        <v>#NAME?</v>
      </c>
      <c r="M1292" s="10" t="s">
        <v>1430</v>
      </c>
      <c r="N1292" s="10">
        <f>(((I1287*1.97*160)/0.63)+(3/60)*5773920+(0.5/60)*5773920+(6.5/60)*5773920+(2.5/60)*5773920)*10^-6*50</f>
        <v>61.173902857142849</v>
      </c>
    </row>
    <row r="1293" spans="6:17" ht="13.2">
      <c r="F1293" s="10" t="s">
        <v>1585</v>
      </c>
      <c r="G1293" s="10" t="s">
        <v>1695</v>
      </c>
      <c r="H1293" s="10" t="s">
        <v>1444</v>
      </c>
      <c r="I1293" s="10">
        <v>420</v>
      </c>
      <c r="J1293" s="43" t="e">
        <f t="array" aca="1" ref="J1293" ca="1">_xludf.XLOOKUP(F1293, analysis!A:A, analysis!I:I)</f>
        <v>#NAME?</v>
      </c>
      <c r="K1293" s="10" t="e">
        <f t="array" aca="1" ref="K1293" ca="1">_xludf.XLOOKUP(F1293, analysis!A:A, analysis!J:J)</f>
        <v>#NAME?</v>
      </c>
      <c r="L1293" s="10" t="e">
        <f t="shared" ca="1" si="68"/>
        <v>#NAME?</v>
      </c>
      <c r="M1293" s="10" t="s">
        <v>1432</v>
      </c>
      <c r="N1293" s="37"/>
    </row>
    <row r="1294" spans="6:17" ht="13.2">
      <c r="K1294" s="20"/>
      <c r="L1294" s="37"/>
      <c r="M1294" s="10" t="s">
        <v>1433</v>
      </c>
      <c r="N1294" s="37"/>
    </row>
    <row r="1295" spans="6:17" ht="13.2">
      <c r="K1295" s="20"/>
      <c r="L1295" s="37"/>
      <c r="M1295" s="10" t="s">
        <v>1434</v>
      </c>
      <c r="N1295" s="37"/>
    </row>
    <row r="1296" spans="6:17" ht="13.2">
      <c r="K1296" s="20"/>
      <c r="L1296" s="37"/>
      <c r="M1296" s="10" t="s">
        <v>1437</v>
      </c>
      <c r="N1296" s="37"/>
    </row>
    <row r="1297" spans="6:17" ht="13.2">
      <c r="K1297" s="20"/>
      <c r="L1297" s="37"/>
      <c r="M1297" s="10" t="s">
        <v>1474</v>
      </c>
      <c r="N1297" s="37"/>
    </row>
    <row r="1298" spans="6:17" ht="13.2">
      <c r="K1298" s="20"/>
      <c r="L1298" s="37"/>
      <c r="M1298" s="10" t="s">
        <v>1625</v>
      </c>
      <c r="N1298" s="37"/>
    </row>
    <row r="1299" spans="6:17" ht="13.2">
      <c r="K1299" s="20"/>
      <c r="L1299" s="37"/>
      <c r="M1299" s="20"/>
      <c r="N1299" s="37"/>
    </row>
    <row r="1300" spans="6:17" ht="13.2">
      <c r="K1300" s="20" t="s">
        <v>1441</v>
      </c>
      <c r="L1300" s="37" t="e">
        <f ca="1">SUM(L1286:L1293)</f>
        <v>#NAME?</v>
      </c>
      <c r="M1300" s="20" t="s">
        <v>1442</v>
      </c>
      <c r="N1300" s="37">
        <f>SUM(N1286:N1298)</f>
        <v>61.173902857142849</v>
      </c>
    </row>
    <row r="1301" spans="6:17" ht="13.2">
      <c r="K1301" s="20"/>
      <c r="L1301" s="37"/>
      <c r="M1301" s="20"/>
      <c r="N1301" s="37"/>
    </row>
    <row r="1302" spans="6:17" ht="13.2">
      <c r="F1302" s="185" t="s">
        <v>1216</v>
      </c>
      <c r="G1302" s="180"/>
      <c r="H1302" s="180"/>
      <c r="I1302" s="180"/>
      <c r="J1302" s="180"/>
      <c r="K1302" s="180"/>
      <c r="L1302" s="180"/>
      <c r="M1302" s="180"/>
      <c r="N1302" s="180"/>
      <c r="O1302" s="180"/>
    </row>
    <row r="1303" spans="6:17" ht="13.2">
      <c r="F1303" s="10" t="s">
        <v>1408</v>
      </c>
      <c r="G1303" s="10" t="s">
        <v>543</v>
      </c>
      <c r="H1303" s="10" t="s">
        <v>1409</v>
      </c>
      <c r="I1303" s="10" t="s">
        <v>1410</v>
      </c>
      <c r="J1303" s="10" t="s">
        <v>1411</v>
      </c>
      <c r="K1303" s="10" t="s">
        <v>1412</v>
      </c>
      <c r="L1303" s="10" t="s">
        <v>1413</v>
      </c>
      <c r="M1303" s="179" t="s">
        <v>1468</v>
      </c>
      <c r="N1303" s="180"/>
      <c r="O1303" s="10" t="s">
        <v>1415</v>
      </c>
    </row>
    <row r="1304" spans="6:17" ht="13.2">
      <c r="F1304" s="10" t="s">
        <v>1581</v>
      </c>
      <c r="G1304" s="10" t="s">
        <v>1705</v>
      </c>
      <c r="H1304" s="10" t="s">
        <v>1444</v>
      </c>
      <c r="I1304" s="10">
        <v>368</v>
      </c>
      <c r="J1304" s="43" t="e">
        <f t="array" aca="1" ref="J1304" ca="1">_xludf.XLOOKUP(F1304, analysis!A:A, analysis!I:I)</f>
        <v>#NAME?</v>
      </c>
      <c r="K1304" s="10" t="e">
        <f t="array" aca="1" ref="K1304" ca="1">_xludf.XLOOKUP(F1304, analysis!A:A, analysis!J:J)</f>
        <v>#NAME?</v>
      </c>
      <c r="L1304" s="10" t="e">
        <f t="shared" ref="L1304:L1316" ca="1" si="69">K1304*I1304*J1304/1000</f>
        <v>#NAME?</v>
      </c>
      <c r="M1304" s="10" t="s">
        <v>1417</v>
      </c>
      <c r="P1304" s="10" t="str">
        <f ca="1">IFERROR(__xludf.DUMMYFUNCTION("transpose(split(F1304,CHAR(10)))"),"beans")</f>
        <v>beans</v>
      </c>
      <c r="Q1304" s="10" t="str">
        <f ca="1">IFERROR(__xludf.DUMMYFUNCTION("transpose(split(G1304,CHAR(10)))"),"368g")</f>
        <v>368g</v>
      </c>
    </row>
    <row r="1305" spans="6:17" ht="13.2">
      <c r="F1305" s="10" t="s">
        <v>1421</v>
      </c>
      <c r="G1305" s="10" t="s">
        <v>746</v>
      </c>
      <c r="H1305" s="10" t="s">
        <v>1422</v>
      </c>
      <c r="I1305" s="10">
        <f>0.914*15</f>
        <v>13.71</v>
      </c>
      <c r="J1305" s="43" t="e">
        <f t="array" aca="1" ref="J1305" ca="1">_xludf.XLOOKUP(F1305, analysis!A:A, analysis!I:I)</f>
        <v>#NAME?</v>
      </c>
      <c r="K1305" s="10" t="e">
        <f t="array" aca="1" ref="K1305" ca="1">_xludf.XLOOKUP(F1305, analysis!A:A, analysis!J:J)</f>
        <v>#NAME?</v>
      </c>
      <c r="L1305" s="10" t="e">
        <f t="shared" ca="1" si="69"/>
        <v>#NAME?</v>
      </c>
      <c r="M1305" s="10" t="s">
        <v>1420</v>
      </c>
      <c r="N1305" s="37">
        <f>1.1*(5/60)*59.9</f>
        <v>5.4908333333333337</v>
      </c>
    </row>
    <row r="1306" spans="6:17" ht="13.2">
      <c r="F1306" s="10" t="s">
        <v>651</v>
      </c>
      <c r="G1306" s="10">
        <v>1</v>
      </c>
      <c r="H1306" s="10" t="s">
        <v>1416</v>
      </c>
      <c r="I1306" s="10">
        <v>70</v>
      </c>
      <c r="J1306" s="43" t="e">
        <f t="array" aca="1" ref="J1306" ca="1">_xludf.XLOOKUP(F1306, analysis!A:A, analysis!I:I)</f>
        <v>#NAME?</v>
      </c>
      <c r="K1306" s="10" t="e">
        <f t="array" aca="1" ref="K1306" ca="1">_xludf.XLOOKUP(F1306, analysis!A:A, analysis!J:J)</f>
        <v>#NAME?</v>
      </c>
      <c r="L1306" s="10" t="e">
        <f t="shared" ca="1" si="69"/>
        <v>#NAME?</v>
      </c>
      <c r="M1306" s="10" t="s">
        <v>1423</v>
      </c>
      <c r="N1306" s="37"/>
    </row>
    <row r="1307" spans="6:17" ht="13.2">
      <c r="F1307" s="10" t="s">
        <v>1706</v>
      </c>
      <c r="G1307" s="10">
        <v>1</v>
      </c>
      <c r="H1307" s="10" t="s">
        <v>1416</v>
      </c>
      <c r="I1307" s="10">
        <v>15</v>
      </c>
      <c r="J1307" s="43" t="e">
        <f t="array" aca="1" ref="J1307" ca="1">_xludf.XLOOKUP(F1307, analysis!A:A, analysis!I:I)</f>
        <v>#NAME?</v>
      </c>
      <c r="K1307" s="10" t="e">
        <f t="array" aca="1" ref="K1307" ca="1">_xludf.XLOOKUP(F1307, analysis!A:A, analysis!J:J)</f>
        <v>#NAME?</v>
      </c>
      <c r="L1307" s="10" t="e">
        <f t="shared" ca="1" si="69"/>
        <v>#NAME?</v>
      </c>
      <c r="M1307" s="10" t="s">
        <v>1425</v>
      </c>
      <c r="N1307" s="37"/>
    </row>
    <row r="1308" spans="6:17" ht="13.2">
      <c r="F1308" s="10" t="s">
        <v>1567</v>
      </c>
      <c r="G1308" s="10">
        <v>1</v>
      </c>
      <c r="H1308" s="10" t="s">
        <v>1416</v>
      </c>
      <c r="I1308" s="10">
        <v>55</v>
      </c>
      <c r="J1308" s="43" t="e">
        <f t="array" aca="1" ref="J1308" ca="1">_xludf.XLOOKUP(F1308, analysis!A:A, analysis!I:I)</f>
        <v>#NAME?</v>
      </c>
      <c r="K1308" s="10" t="e">
        <f t="array" aca="1" ref="K1308" ca="1">_xludf.XLOOKUP(F1308, analysis!A:A, analysis!J:J)</f>
        <v>#NAME?</v>
      </c>
      <c r="L1308" s="10" t="e">
        <f t="shared" ca="1" si="69"/>
        <v>#NAME?</v>
      </c>
      <c r="M1308" s="10" t="s">
        <v>1428</v>
      </c>
      <c r="N1308" s="37"/>
    </row>
    <row r="1309" spans="6:17" ht="13.2">
      <c r="F1309" s="10" t="s">
        <v>677</v>
      </c>
      <c r="G1309" s="10">
        <v>1</v>
      </c>
      <c r="H1309" s="10" t="s">
        <v>1416</v>
      </c>
      <c r="I1309" s="10">
        <v>120</v>
      </c>
      <c r="J1309" s="43" t="e">
        <f t="array" aca="1" ref="J1309" ca="1">_xludf.XLOOKUP(F1309, analysis!A:A, analysis!I:I)</f>
        <v>#NAME?</v>
      </c>
      <c r="K1309" s="10" t="e">
        <f t="array" aca="1" ref="K1309" ca="1">_xludf.XLOOKUP(F1309, analysis!A:A, analysis!J:J)</f>
        <v>#NAME?</v>
      </c>
      <c r="L1309" s="10" t="e">
        <f t="shared" ca="1" si="69"/>
        <v>#NAME?</v>
      </c>
      <c r="M1309" s="10" t="s">
        <v>1429</v>
      </c>
      <c r="N1309" s="37"/>
    </row>
    <row r="1310" spans="6:17" ht="13.2">
      <c r="F1310" s="10" t="s">
        <v>737</v>
      </c>
      <c r="G1310" s="10">
        <v>3</v>
      </c>
      <c r="H1310" s="10" t="s">
        <v>1416</v>
      </c>
      <c r="I1310" s="10">
        <f>3*4.4</f>
        <v>13.200000000000001</v>
      </c>
      <c r="J1310" s="43" t="e">
        <f t="array" aca="1" ref="J1310" ca="1">_xludf.XLOOKUP(F1310, analysis!A:A, analysis!I:I)</f>
        <v>#NAME?</v>
      </c>
      <c r="K1310" s="10" t="e">
        <f t="array" aca="1" ref="K1310" ca="1">_xludf.XLOOKUP(F1310, analysis!A:A, analysis!J:J)</f>
        <v>#NAME?</v>
      </c>
      <c r="L1310" s="10" t="e">
        <f t="shared" ca="1" si="69"/>
        <v>#NAME?</v>
      </c>
      <c r="M1310" s="10" t="s">
        <v>1430</v>
      </c>
      <c r="N1310" s="10">
        <f>(((I1305*1.97*160)/0.63)+(5/60)*5773920+(1/60)*5773920)*10^-6*50</f>
        <v>29.212567619047615</v>
      </c>
    </row>
    <row r="1311" spans="6:17" ht="13.2">
      <c r="F1311" s="10" t="s">
        <v>653</v>
      </c>
      <c r="G1311" s="10" t="s">
        <v>1707</v>
      </c>
      <c r="H1311" s="10" t="s">
        <v>1708</v>
      </c>
      <c r="I1311" s="10">
        <v>2500</v>
      </c>
      <c r="J1311" s="43" t="e">
        <f t="array" aca="1" ref="J1311" ca="1">_xludf.XLOOKUP(F1311, analysis!A:A, analysis!I:I)</f>
        <v>#NAME?</v>
      </c>
      <c r="K1311" s="10" t="e">
        <f t="array" aca="1" ref="K1311" ca="1">_xludf.XLOOKUP(F1311, analysis!A:A, analysis!J:J)</f>
        <v>#NAME?</v>
      </c>
      <c r="L1311" s="10" t="e">
        <f t="shared" ca="1" si="69"/>
        <v>#NAME?</v>
      </c>
      <c r="M1311" s="10" t="s">
        <v>1432</v>
      </c>
      <c r="N1311" s="37"/>
    </row>
    <row r="1312" spans="6:17" ht="13.2">
      <c r="F1312" s="10" t="s">
        <v>711</v>
      </c>
      <c r="G1312" s="10">
        <v>3</v>
      </c>
      <c r="H1312" s="10" t="s">
        <v>1416</v>
      </c>
      <c r="I1312" s="10">
        <f>3*0.25</f>
        <v>0.75</v>
      </c>
      <c r="J1312" s="43" t="e">
        <f t="array" aca="1" ref="J1312" ca="1">_xludf.XLOOKUP(F1312, analysis!A:A, analysis!I:I)</f>
        <v>#NAME?</v>
      </c>
      <c r="K1312" s="10" t="e">
        <f t="array" aca="1" ref="K1312" ca="1">_xludf.XLOOKUP(F1312, analysis!A:A, analysis!J:J)</f>
        <v>#NAME?</v>
      </c>
      <c r="L1312" s="10" t="e">
        <f t="shared" ca="1" si="69"/>
        <v>#NAME?</v>
      </c>
      <c r="M1312" s="10" t="s">
        <v>1433</v>
      </c>
      <c r="N1312" s="37"/>
    </row>
    <row r="1313" spans="6:17" ht="13.2">
      <c r="F1313" s="10" t="s">
        <v>646</v>
      </c>
      <c r="G1313" s="10" t="s">
        <v>1439</v>
      </c>
      <c r="H1313" s="10">
        <v>0</v>
      </c>
      <c r="I1313" s="10">
        <v>0</v>
      </c>
      <c r="J1313" s="43" t="e">
        <f t="array" aca="1" ref="J1313" ca="1">_xludf.XLOOKUP(F1313, analysis!A:A, analysis!I:I)</f>
        <v>#NAME?</v>
      </c>
      <c r="K1313" s="10" t="e">
        <f t="array" aca="1" ref="K1313" ca="1">_xludf.XLOOKUP(F1313, analysis!A:A, analysis!J:J)</f>
        <v>#NAME?</v>
      </c>
      <c r="L1313" s="10" t="e">
        <f t="shared" ca="1" si="69"/>
        <v>#NAME?</v>
      </c>
      <c r="M1313" s="10" t="s">
        <v>1434</v>
      </c>
      <c r="N1313" s="10">
        <f>((1400*4.2*100/0.63)+(25/60)*5773920)*(10^-6)*50</f>
        <v>166.95666666666668</v>
      </c>
    </row>
    <row r="1314" spans="6:17" ht="13.2">
      <c r="F1314" s="10" t="s">
        <v>1440</v>
      </c>
      <c r="G1314" s="10" t="s">
        <v>1439</v>
      </c>
      <c r="H1314" s="10">
        <v>0</v>
      </c>
      <c r="I1314" s="10">
        <v>0</v>
      </c>
      <c r="J1314" s="43" t="e">
        <f t="array" aca="1" ref="J1314" ca="1">_xludf.XLOOKUP(F1314, analysis!A:A, analysis!I:I)</f>
        <v>#NAME?</v>
      </c>
      <c r="K1314" s="10" t="e">
        <f t="array" aca="1" ref="K1314" ca="1">_xludf.XLOOKUP(F1314, analysis!A:A, analysis!J:J)</f>
        <v>#NAME?</v>
      </c>
      <c r="L1314" s="10" t="e">
        <f t="shared" ca="1" si="69"/>
        <v>#NAME?</v>
      </c>
      <c r="M1314" s="10" t="s">
        <v>1437</v>
      </c>
      <c r="N1314" s="37">
        <f>((17.5/60)*5773920)*(10^-6)*50</f>
        <v>84.202999999999989</v>
      </c>
    </row>
    <row r="1315" spans="6:17" ht="13.2">
      <c r="F1315" s="10" t="s">
        <v>1709</v>
      </c>
      <c r="G1315" s="10" t="s">
        <v>1662</v>
      </c>
      <c r="H1315" s="10">
        <v>112</v>
      </c>
      <c r="I1315" s="10">
        <v>112</v>
      </c>
      <c r="J1315" s="43" t="e">
        <f t="array" aca="1" ref="J1315" ca="1">_xludf.XLOOKUP(F1315, analysis!A:A, analysis!I:I)</f>
        <v>#NAME?</v>
      </c>
      <c r="K1315" s="10" t="e">
        <f t="array" aca="1" ref="K1315" ca="1">_xludf.XLOOKUP(F1315, analysis!A:A, analysis!J:J)</f>
        <v>#NAME?</v>
      </c>
      <c r="L1315" s="10" t="e">
        <f t="shared" ca="1" si="69"/>
        <v>#NAME?</v>
      </c>
      <c r="M1315" s="10" t="s">
        <v>1474</v>
      </c>
      <c r="N1315" s="37"/>
    </row>
    <row r="1316" spans="6:17" ht="13.2">
      <c r="F1316" s="10" t="s">
        <v>1449</v>
      </c>
      <c r="G1316" s="10" t="s">
        <v>1528</v>
      </c>
      <c r="H1316" s="10">
        <v>21</v>
      </c>
      <c r="I1316" s="10">
        <v>21</v>
      </c>
      <c r="J1316" s="43" t="e">
        <f t="array" aca="1" ref="J1316" ca="1">_xludf.XLOOKUP(F1316, analysis!A:A, analysis!I:I)</f>
        <v>#NAME?</v>
      </c>
      <c r="K1316" s="10" t="e">
        <f t="array" aca="1" ref="K1316" ca="1">_xludf.XLOOKUP(F1316, analysis!A:A, analysis!J:J)</f>
        <v>#NAME?</v>
      </c>
      <c r="L1316" s="10" t="e">
        <f t="shared" ca="1" si="69"/>
        <v>#NAME?</v>
      </c>
      <c r="M1316" s="10" t="s">
        <v>1625</v>
      </c>
      <c r="N1316" s="37"/>
    </row>
    <row r="1317" spans="6:17" ht="13.2">
      <c r="K1317" s="20"/>
      <c r="L1317" s="37"/>
      <c r="M1317" s="20"/>
      <c r="N1317" s="37"/>
    </row>
    <row r="1318" spans="6:17" ht="13.2">
      <c r="K1318" s="20" t="s">
        <v>1441</v>
      </c>
      <c r="L1318" s="37" t="e">
        <f ca="1">SUM(L1304:L1316)</f>
        <v>#NAME?</v>
      </c>
      <c r="M1318" s="20" t="s">
        <v>1442</v>
      </c>
      <c r="N1318" s="37">
        <f>SUM(N1304:N1316)</f>
        <v>285.86306761904763</v>
      </c>
    </row>
    <row r="1319" spans="6:17" ht="13.2">
      <c r="F1319" s="185" t="s">
        <v>1261</v>
      </c>
      <c r="G1319" s="180"/>
      <c r="H1319" s="180"/>
      <c r="I1319" s="180"/>
      <c r="J1319" s="180"/>
      <c r="K1319" s="180"/>
      <c r="L1319" s="180"/>
      <c r="M1319" s="180"/>
      <c r="N1319" s="180"/>
      <c r="O1319" s="180"/>
    </row>
    <row r="1320" spans="6:17" ht="13.2">
      <c r="F1320" s="10" t="s">
        <v>1408</v>
      </c>
      <c r="G1320" s="10" t="s">
        <v>543</v>
      </c>
      <c r="H1320" s="10" t="s">
        <v>1409</v>
      </c>
      <c r="I1320" s="10" t="s">
        <v>1410</v>
      </c>
      <c r="J1320" s="10" t="s">
        <v>1411</v>
      </c>
      <c r="K1320" s="10" t="s">
        <v>1412</v>
      </c>
      <c r="L1320" s="10" t="s">
        <v>1413</v>
      </c>
      <c r="M1320" s="179" t="s">
        <v>1468</v>
      </c>
      <c r="N1320" s="180"/>
      <c r="O1320" s="10" t="s">
        <v>1415</v>
      </c>
    </row>
    <row r="1321" spans="6:17" ht="13.2">
      <c r="F1321" s="18" t="s">
        <v>651</v>
      </c>
      <c r="G1321" s="18">
        <v>2</v>
      </c>
      <c r="H1321" s="10" t="s">
        <v>1416</v>
      </c>
      <c r="I1321" s="10">
        <v>140</v>
      </c>
      <c r="J1321" s="43" t="e">
        <f t="array" aca="1" ref="J1321" ca="1">_xludf.XLOOKUP(F1321, analysis!A:A, analysis!I:I)</f>
        <v>#NAME?</v>
      </c>
      <c r="K1321" s="10" t="e">
        <f t="array" aca="1" ref="K1321" ca="1">_xludf.XLOOKUP(F1321, analysis!A:A, analysis!J:J)</f>
        <v>#NAME?</v>
      </c>
      <c r="L1321" s="10" t="e">
        <f t="shared" ref="L1321:L1327" ca="1" si="70">K1321*I1321*J1321/1000</f>
        <v>#NAME?</v>
      </c>
      <c r="M1321" s="10" t="s">
        <v>1417</v>
      </c>
      <c r="P1321" s="10" t="str">
        <f ca="1">IFERROR(__xludf.DUMMYFUNCTION("transpose(split(F1321,CHAR(10)))"),"onion")</f>
        <v>onion</v>
      </c>
      <c r="Q1321" s="10">
        <f ca="1">IFERROR(__xludf.DUMMYFUNCTION("transpose(split(G1321,CHAR(10)))"),2)</f>
        <v>2</v>
      </c>
    </row>
    <row r="1322" spans="6:17" ht="13.2">
      <c r="F1322" s="18" t="s">
        <v>1421</v>
      </c>
      <c r="G1322" s="18" t="s">
        <v>1612</v>
      </c>
      <c r="H1322" s="10" t="s">
        <v>1422</v>
      </c>
      <c r="I1322" s="10">
        <f>360*0.914</f>
        <v>329.04</v>
      </c>
      <c r="J1322" s="43" t="e">
        <f t="array" aca="1" ref="J1322" ca="1">_xludf.XLOOKUP(F1322, analysis!A:A, analysis!I:I)</f>
        <v>#NAME?</v>
      </c>
      <c r="K1322" s="10" t="e">
        <f t="array" aca="1" ref="K1322" ca="1">_xludf.XLOOKUP(F1322, analysis!A:A, analysis!J:J)</f>
        <v>#NAME?</v>
      </c>
      <c r="L1322" s="10" t="e">
        <f t="shared" ca="1" si="70"/>
        <v>#NAME?</v>
      </c>
      <c r="M1322" s="10" t="s">
        <v>1420</v>
      </c>
      <c r="N1322" s="37"/>
    </row>
    <row r="1323" spans="6:17" ht="13.2">
      <c r="F1323" s="18" t="s">
        <v>1551</v>
      </c>
      <c r="G1323" s="18" t="s">
        <v>1506</v>
      </c>
      <c r="H1323" s="10" t="s">
        <v>1422</v>
      </c>
      <c r="I1323" s="10">
        <f>30*0.95</f>
        <v>28.5</v>
      </c>
      <c r="J1323" s="43" t="e">
        <f t="array" aca="1" ref="J1323" ca="1">_xludf.XLOOKUP(F1323, analysis!A:A, analysis!I:I)</f>
        <v>#NAME?</v>
      </c>
      <c r="K1323" s="10" t="e">
        <f t="array" aca="1" ref="K1323" ca="1">_xludf.XLOOKUP(F1323, analysis!A:A, analysis!J:J)</f>
        <v>#NAME?</v>
      </c>
      <c r="L1323" s="10" t="e">
        <f t="shared" ca="1" si="70"/>
        <v>#NAME?</v>
      </c>
      <c r="M1323" s="10" t="s">
        <v>1423</v>
      </c>
      <c r="N1323" s="37"/>
    </row>
    <row r="1324" spans="6:17" ht="13.2">
      <c r="F1324" s="18" t="s">
        <v>653</v>
      </c>
      <c r="G1324" s="18" t="s">
        <v>1596</v>
      </c>
      <c r="H1324" s="10" t="s">
        <v>1422</v>
      </c>
      <c r="I1324" s="10">
        <v>60</v>
      </c>
      <c r="J1324" s="43" t="e">
        <f t="array" aca="1" ref="J1324" ca="1">_xludf.XLOOKUP(F1324, analysis!A:A, analysis!I:I)</f>
        <v>#NAME?</v>
      </c>
      <c r="K1324" s="10" t="e">
        <f t="array" aca="1" ref="K1324" ca="1">_xludf.XLOOKUP(F1324, analysis!A:A, analysis!J:J)</f>
        <v>#NAME?</v>
      </c>
      <c r="L1324" s="10" t="e">
        <f t="shared" ca="1" si="70"/>
        <v>#NAME?</v>
      </c>
      <c r="M1324" s="10" t="s">
        <v>1425</v>
      </c>
      <c r="N1324" s="37"/>
    </row>
    <row r="1325" spans="6:17" ht="13.2">
      <c r="F1325" s="18" t="s">
        <v>646</v>
      </c>
      <c r="G1325" s="18" t="s">
        <v>1439</v>
      </c>
      <c r="H1325" s="10">
        <v>0</v>
      </c>
      <c r="I1325" s="10">
        <v>0</v>
      </c>
      <c r="J1325" s="43" t="e">
        <f t="array" aca="1" ref="J1325" ca="1">_xludf.XLOOKUP(F1325, analysis!A:A, analysis!I:I)</f>
        <v>#NAME?</v>
      </c>
      <c r="K1325" s="10" t="e">
        <f t="array" aca="1" ref="K1325" ca="1">_xludf.XLOOKUP(F1325, analysis!A:A, analysis!J:J)</f>
        <v>#NAME?</v>
      </c>
      <c r="L1325" s="10" t="e">
        <f t="shared" ca="1" si="70"/>
        <v>#NAME?</v>
      </c>
      <c r="M1325" s="10" t="s">
        <v>1428</v>
      </c>
      <c r="N1325" s="37"/>
    </row>
    <row r="1326" spans="6:17" ht="13.2">
      <c r="F1326" s="18" t="s">
        <v>1440</v>
      </c>
      <c r="G1326" s="18" t="s">
        <v>1439</v>
      </c>
      <c r="H1326" s="10">
        <v>0</v>
      </c>
      <c r="I1326" s="10">
        <v>0</v>
      </c>
      <c r="J1326" s="43" t="e">
        <f t="array" aca="1" ref="J1326" ca="1">_xludf.XLOOKUP(F1326, analysis!A:A, analysis!I:I)</f>
        <v>#NAME?</v>
      </c>
      <c r="K1326" s="10" t="e">
        <f t="array" aca="1" ref="K1326" ca="1">_xludf.XLOOKUP(F1326, analysis!A:A, analysis!J:J)</f>
        <v>#NAME?</v>
      </c>
      <c r="L1326" s="10" t="e">
        <f t="shared" ca="1" si="70"/>
        <v>#NAME?</v>
      </c>
      <c r="M1326" s="10" t="s">
        <v>1429</v>
      </c>
      <c r="N1326" s="37"/>
    </row>
    <row r="1327" spans="6:17" ht="13.2">
      <c r="F1327" s="18" t="s">
        <v>662</v>
      </c>
      <c r="G1327" s="18" t="s">
        <v>1509</v>
      </c>
      <c r="H1327" s="10" t="s">
        <v>1489</v>
      </c>
      <c r="I1327" s="10">
        <f>5*0.2</f>
        <v>1</v>
      </c>
      <c r="J1327" s="43" t="e">
        <f t="array" aca="1" ref="J1327" ca="1">_xludf.XLOOKUP(F1327, analysis!A:A, analysis!I:I)</f>
        <v>#NAME?</v>
      </c>
      <c r="K1327" s="10" t="e">
        <f t="array" aca="1" ref="K1327" ca="1">_xludf.XLOOKUP(F1327, analysis!A:A, analysis!J:J)</f>
        <v>#NAME?</v>
      </c>
      <c r="L1327" s="10" t="e">
        <f t="shared" ca="1" si="70"/>
        <v>#NAME?</v>
      </c>
      <c r="M1327" s="10" t="s">
        <v>1430</v>
      </c>
      <c r="N1327" s="37"/>
    </row>
    <row r="1328" spans="6:17" ht="13.2">
      <c r="K1328" s="20"/>
      <c r="L1328" s="37"/>
      <c r="M1328" s="10" t="s">
        <v>1432</v>
      </c>
      <c r="N1328" s="37"/>
    </row>
    <row r="1329" spans="6:17" ht="13.2">
      <c r="K1329" s="20"/>
      <c r="L1329" s="37"/>
      <c r="M1329" s="10" t="s">
        <v>1433</v>
      </c>
      <c r="N1329" s="37"/>
    </row>
    <row r="1330" spans="6:17" ht="13.2">
      <c r="K1330" s="20"/>
      <c r="L1330" s="37"/>
      <c r="M1330" s="10" t="s">
        <v>1434</v>
      </c>
      <c r="N1330" s="37"/>
    </row>
    <row r="1331" spans="6:17" ht="13.2">
      <c r="K1331" s="20"/>
      <c r="L1331" s="37"/>
      <c r="M1331" s="10" t="s">
        <v>1437</v>
      </c>
      <c r="N1331" s="37"/>
    </row>
    <row r="1332" spans="6:17" ht="13.2">
      <c r="K1332" s="20"/>
      <c r="L1332" s="37"/>
      <c r="M1332" s="10" t="s">
        <v>1474</v>
      </c>
      <c r="N1332" s="37"/>
    </row>
    <row r="1333" spans="6:17" ht="13.2">
      <c r="K1333" s="20"/>
      <c r="L1333" s="37"/>
      <c r="M1333" s="10" t="s">
        <v>1625</v>
      </c>
      <c r="N1333" s="37"/>
    </row>
    <row r="1334" spans="6:17" ht="13.2">
      <c r="K1334" s="20"/>
      <c r="L1334" s="37"/>
      <c r="M1334" s="20"/>
      <c r="N1334" s="37"/>
    </row>
    <row r="1335" spans="6:17" ht="13.2">
      <c r="K1335" s="20" t="s">
        <v>1441</v>
      </c>
      <c r="L1335" s="37" t="e">
        <f ca="1">SUM(L1321:L1327)</f>
        <v>#NAME?</v>
      </c>
      <c r="M1335" s="20" t="s">
        <v>1442</v>
      </c>
      <c r="N1335" s="37">
        <f>SUM(N1321:N1333)</f>
        <v>0</v>
      </c>
    </row>
    <row r="1336" spans="6:17" ht="13.2">
      <c r="K1336" s="20"/>
      <c r="L1336" s="37"/>
      <c r="M1336" s="20"/>
      <c r="N1336" s="37"/>
    </row>
    <row r="1337" spans="6:17" ht="13.2">
      <c r="F1337" s="185" t="s">
        <v>1184</v>
      </c>
      <c r="G1337" s="180"/>
      <c r="H1337" s="180"/>
      <c r="I1337" s="180"/>
      <c r="J1337" s="180"/>
      <c r="K1337" s="180"/>
      <c r="L1337" s="180"/>
      <c r="M1337" s="180"/>
      <c r="N1337" s="180"/>
      <c r="O1337" s="180"/>
    </row>
    <row r="1338" spans="6:17" ht="13.2">
      <c r="F1338" s="10" t="s">
        <v>1408</v>
      </c>
      <c r="G1338" s="10" t="s">
        <v>543</v>
      </c>
      <c r="H1338" s="10" t="s">
        <v>1409</v>
      </c>
      <c r="I1338" s="10" t="s">
        <v>1410</v>
      </c>
      <c r="J1338" s="10" t="s">
        <v>1411</v>
      </c>
      <c r="K1338" s="10" t="s">
        <v>1412</v>
      </c>
      <c r="L1338" s="10" t="s">
        <v>1413</v>
      </c>
      <c r="M1338" s="179" t="s">
        <v>1468</v>
      </c>
      <c r="N1338" s="180"/>
      <c r="O1338" s="10" t="s">
        <v>1415</v>
      </c>
    </row>
    <row r="1339" spans="6:17" ht="13.2">
      <c r="F1339" s="18" t="s">
        <v>581</v>
      </c>
      <c r="G1339" s="18">
        <v>4</v>
      </c>
      <c r="H1339" s="10" t="s">
        <v>1416</v>
      </c>
      <c r="I1339" s="10">
        <v>140</v>
      </c>
      <c r="J1339" s="43" t="e">
        <f t="array" aca="1" ref="J1339" ca="1">_xludf.XLOOKUP(F1339, analysis!A:A, analysis!I:I)</f>
        <v>#NAME?</v>
      </c>
      <c r="K1339" s="10" t="e">
        <f t="array" aca="1" ref="K1339" ca="1">_xludf.XLOOKUP(F1339, analysis!A:A, analysis!J:J)</f>
        <v>#NAME?</v>
      </c>
      <c r="L1339" s="10" t="e">
        <f t="shared" ref="L1339:L1343" ca="1" si="71">K1339*I1339*J1339/1000</f>
        <v>#NAME?</v>
      </c>
      <c r="M1339" s="10" t="s">
        <v>1417</v>
      </c>
      <c r="P1339" s="10" t="str">
        <f ca="1">IFERROR(__xludf.DUMMYFUNCTION("transpose(split(F1339,CHAR(10)))"),"banana")</f>
        <v>banana</v>
      </c>
      <c r="Q1339" s="10">
        <f ca="1">IFERROR(__xludf.DUMMYFUNCTION("transpose(split(G1339,CHAR(10)))"),4)</f>
        <v>4</v>
      </c>
    </row>
    <row r="1340" spans="6:17" ht="13.2">
      <c r="F1340" s="10" t="s">
        <v>652</v>
      </c>
      <c r="G1340" s="10" t="s">
        <v>746</v>
      </c>
      <c r="H1340" s="10" t="s">
        <v>1422</v>
      </c>
      <c r="I1340" s="10">
        <f>15*0.911</f>
        <v>13.665000000000001</v>
      </c>
      <c r="J1340" s="43" t="e">
        <f t="array" aca="1" ref="J1340" ca="1">_xludf.XLOOKUP(F1340, analysis!A:A, analysis!I:I)</f>
        <v>#NAME?</v>
      </c>
      <c r="K1340" s="10" t="e">
        <f t="array" aca="1" ref="K1340" ca="1">_xludf.XLOOKUP(F1340, analysis!A:A, analysis!J:J)</f>
        <v>#NAME?</v>
      </c>
      <c r="L1340" s="10" t="e">
        <f t="shared" ca="1" si="71"/>
        <v>#NAME?</v>
      </c>
      <c r="M1340" s="10" t="s">
        <v>1420</v>
      </c>
      <c r="N1340" s="37"/>
    </row>
    <row r="1341" spans="6:17" ht="13.2">
      <c r="F1341" s="10" t="s">
        <v>1483</v>
      </c>
      <c r="G1341" s="10" t="s">
        <v>1522</v>
      </c>
      <c r="H1341" s="10" t="s">
        <v>1444</v>
      </c>
      <c r="I1341" s="10">
        <v>113</v>
      </c>
      <c r="J1341" s="43" t="e">
        <f t="array" aca="1" ref="J1341" ca="1">_xludf.XLOOKUP(F1341, analysis!A:A, analysis!I:I)</f>
        <v>#NAME?</v>
      </c>
      <c r="K1341" s="10" t="e">
        <f t="array" aca="1" ref="K1341" ca="1">_xludf.XLOOKUP(F1341, analysis!A:A, analysis!J:J)</f>
        <v>#NAME?</v>
      </c>
      <c r="L1341" s="10" t="e">
        <f t="shared" ca="1" si="71"/>
        <v>#NAME?</v>
      </c>
      <c r="M1341" s="10" t="s">
        <v>1423</v>
      </c>
      <c r="N1341" s="37"/>
    </row>
    <row r="1342" spans="6:17" ht="13.2">
      <c r="F1342" s="10" t="s">
        <v>1546</v>
      </c>
      <c r="G1342" s="10" t="s">
        <v>1439</v>
      </c>
      <c r="H1342" s="10">
        <v>0</v>
      </c>
      <c r="I1342" s="10">
        <v>0</v>
      </c>
      <c r="J1342" s="43" t="e">
        <f t="array" aca="1" ref="J1342" ca="1">_xludf.XLOOKUP(F1342, analysis!A:A, analysis!I:I)</f>
        <v>#NAME?</v>
      </c>
      <c r="K1342" s="10" t="e">
        <f t="array" aca="1" ref="K1342" ca="1">_xludf.XLOOKUP(F1342, analysis!A:A, analysis!J:J)</f>
        <v>#NAME?</v>
      </c>
      <c r="L1342" s="10" t="e">
        <f t="shared" ca="1" si="71"/>
        <v>#NAME?</v>
      </c>
      <c r="M1342" s="10" t="s">
        <v>1425</v>
      </c>
      <c r="N1342" s="37"/>
    </row>
    <row r="1343" spans="6:17" ht="13.2">
      <c r="F1343" s="10" t="s">
        <v>641</v>
      </c>
      <c r="G1343" s="10" t="s">
        <v>1439</v>
      </c>
      <c r="H1343" s="10">
        <v>0</v>
      </c>
      <c r="I1343" s="10">
        <v>0</v>
      </c>
      <c r="J1343" s="43" t="e">
        <f t="array" aca="1" ref="J1343" ca="1">_xludf.XLOOKUP(F1343, analysis!A:A, analysis!I:I)</f>
        <v>#NAME?</v>
      </c>
      <c r="K1343" s="10" t="e">
        <f t="array" aca="1" ref="K1343" ca="1">_xludf.XLOOKUP(F1343, analysis!A:A, analysis!J:J)</f>
        <v>#NAME?</v>
      </c>
      <c r="L1343" s="10" t="e">
        <f t="shared" ca="1" si="71"/>
        <v>#NAME?</v>
      </c>
      <c r="M1343" s="10" t="s">
        <v>1428</v>
      </c>
      <c r="N1343" s="37"/>
    </row>
    <row r="1344" spans="6:17" ht="13.2">
      <c r="K1344" s="20"/>
      <c r="L1344" s="37"/>
      <c r="M1344" s="10" t="s">
        <v>1429</v>
      </c>
      <c r="N1344" s="37"/>
    </row>
    <row r="1345" spans="6:17" ht="13.2">
      <c r="K1345" s="20"/>
      <c r="L1345" s="37"/>
      <c r="M1345" s="10" t="s">
        <v>1430</v>
      </c>
      <c r="N1345" s="37"/>
    </row>
    <row r="1346" spans="6:17" ht="13.2">
      <c r="K1346" s="20"/>
      <c r="L1346" s="37"/>
      <c r="M1346" s="10" t="s">
        <v>1432</v>
      </c>
      <c r="N1346" s="10">
        <f>((1.012*1.2923*10^-3*70000*180/0.63)/0.13+(40/60)*5773920)*(10^-6)*50</f>
        <v>202.52405846153846</v>
      </c>
    </row>
    <row r="1347" spans="6:17" ht="13.2">
      <c r="K1347" s="20"/>
      <c r="L1347" s="37"/>
      <c r="M1347" s="10" t="s">
        <v>1433</v>
      </c>
      <c r="N1347" s="37"/>
    </row>
    <row r="1348" spans="6:17" ht="13.2">
      <c r="K1348" s="20"/>
      <c r="L1348" s="37"/>
      <c r="M1348" s="10" t="s">
        <v>1434</v>
      </c>
      <c r="N1348" s="37"/>
    </row>
    <row r="1349" spans="6:17" ht="13.2">
      <c r="K1349" s="20"/>
      <c r="L1349" s="37"/>
      <c r="M1349" s="10" t="s">
        <v>1437</v>
      </c>
      <c r="N1349" s="37"/>
    </row>
    <row r="1350" spans="6:17" ht="13.2">
      <c r="K1350" s="20"/>
      <c r="L1350" s="37"/>
      <c r="M1350" s="10" t="s">
        <v>1474</v>
      </c>
      <c r="N1350" s="37"/>
    </row>
    <row r="1351" spans="6:17" ht="13.2">
      <c r="K1351" s="20"/>
      <c r="L1351" s="37"/>
      <c r="M1351" s="10" t="s">
        <v>1625</v>
      </c>
      <c r="N1351" s="37"/>
    </row>
    <row r="1352" spans="6:17" ht="13.2">
      <c r="K1352" s="20"/>
      <c r="L1352" s="37"/>
      <c r="M1352" s="20"/>
      <c r="N1352" s="37"/>
    </row>
    <row r="1353" spans="6:17" ht="13.2">
      <c r="K1353" s="20" t="s">
        <v>1441</v>
      </c>
      <c r="L1353" s="37" t="e">
        <f ca="1">SUM(L1339:L1343)</f>
        <v>#NAME?</v>
      </c>
      <c r="M1353" s="20" t="s">
        <v>1442</v>
      </c>
      <c r="N1353" s="37">
        <f>SUM(N1339:N1351)</f>
        <v>202.52405846153846</v>
      </c>
    </row>
    <row r="1354" spans="6:17" ht="13.2">
      <c r="K1354" s="20"/>
      <c r="L1354" s="37"/>
      <c r="M1354" s="20"/>
      <c r="N1354" s="37"/>
    </row>
    <row r="1355" spans="6:17" ht="13.2">
      <c r="F1355" s="185" t="s">
        <v>795</v>
      </c>
      <c r="G1355" s="180"/>
      <c r="H1355" s="180"/>
      <c r="I1355" s="180"/>
      <c r="J1355" s="180"/>
      <c r="K1355" s="180"/>
      <c r="L1355" s="180"/>
      <c r="M1355" s="180"/>
      <c r="N1355" s="180"/>
      <c r="O1355" s="180"/>
    </row>
    <row r="1356" spans="6:17" ht="13.2">
      <c r="F1356" s="10" t="s">
        <v>1408</v>
      </c>
      <c r="G1356" s="10" t="s">
        <v>543</v>
      </c>
      <c r="H1356" s="10" t="s">
        <v>1409</v>
      </c>
      <c r="I1356" s="10" t="s">
        <v>1410</v>
      </c>
      <c r="J1356" s="10" t="s">
        <v>1411</v>
      </c>
      <c r="K1356" s="10" t="s">
        <v>1412</v>
      </c>
      <c r="L1356" s="10" t="s">
        <v>1413</v>
      </c>
      <c r="M1356" s="179" t="s">
        <v>1468</v>
      </c>
      <c r="N1356" s="180"/>
      <c r="O1356" s="10" t="s">
        <v>1415</v>
      </c>
    </row>
    <row r="1357" spans="6:17" ht="13.2">
      <c r="F1357" s="10" t="s">
        <v>1710</v>
      </c>
      <c r="G1357" s="10" t="s">
        <v>1550</v>
      </c>
      <c r="H1357" s="10" t="s">
        <v>1444</v>
      </c>
      <c r="I1357" s="10">
        <v>260</v>
      </c>
      <c r="J1357" s="43" t="e">
        <f t="array" aca="1" ref="J1357" ca="1">_xludf.XLOOKUP(F1357, analysis!A:A, analysis!I:I)</f>
        <v>#NAME?</v>
      </c>
      <c r="K1357" s="10" t="e">
        <f t="array" aca="1" ref="K1357" ca="1">_xludf.XLOOKUP(F1357, analysis!A:A, analysis!J:J)</f>
        <v>#NAME?</v>
      </c>
      <c r="L1357" s="10" t="e">
        <f t="shared" ref="L1357:L1363" ca="1" si="72">K1357*I1357*J1357/1000</f>
        <v>#NAME?</v>
      </c>
      <c r="M1357" s="10" t="s">
        <v>1417</v>
      </c>
      <c r="N1357" s="37"/>
      <c r="P1357" s="10" t="str">
        <f ca="1">IFERROR(__xludf.DUMMYFUNCTION("transpose(split(F1357,CHAR(10)))"),"Plain flour")</f>
        <v>Plain flour</v>
      </c>
      <c r="Q1357" s="10" t="str">
        <f ca="1">IFERROR(__xludf.DUMMYFUNCTION("transpose(split(G1357,CHAR(10)))"),"260g")</f>
        <v>260g</v>
      </c>
    </row>
    <row r="1358" spans="6:17" ht="13.2">
      <c r="F1358" s="10" t="s">
        <v>646</v>
      </c>
      <c r="G1358" s="10" t="s">
        <v>738</v>
      </c>
      <c r="H1358" s="10" t="s">
        <v>1422</v>
      </c>
      <c r="I1358" s="10">
        <f>1.38*5</f>
        <v>6.8999999999999995</v>
      </c>
      <c r="J1358" s="43" t="e">
        <f t="array" aca="1" ref="J1358" ca="1">_xludf.XLOOKUP(F1358, analysis!A:A, analysis!I:I)</f>
        <v>#NAME?</v>
      </c>
      <c r="K1358" s="10" t="e">
        <f t="array" aca="1" ref="K1358" ca="1">_xludf.XLOOKUP(F1358, analysis!A:A, analysis!J:J)</f>
        <v>#NAME?</v>
      </c>
      <c r="L1358" s="10" t="e">
        <f t="shared" ca="1" si="72"/>
        <v>#NAME?</v>
      </c>
      <c r="M1358" s="10" t="s">
        <v>1420</v>
      </c>
      <c r="N1358" s="37"/>
    </row>
    <row r="1359" spans="6:17" ht="13.2">
      <c r="F1359" s="10" t="s">
        <v>733</v>
      </c>
      <c r="G1359" s="10" t="s">
        <v>1506</v>
      </c>
      <c r="H1359" s="10" t="s">
        <v>1422</v>
      </c>
      <c r="I1359" s="10">
        <f>0.927*30</f>
        <v>27.810000000000002</v>
      </c>
      <c r="J1359" s="43" t="e">
        <f t="array" aca="1" ref="J1359" ca="1">_xludf.XLOOKUP(F1359, analysis!A:A, analysis!I:I)</f>
        <v>#NAME?</v>
      </c>
      <c r="K1359" s="10" t="e">
        <f t="array" aca="1" ref="K1359" ca="1">_xludf.XLOOKUP(F1359, analysis!A:A, analysis!J:J)</f>
        <v>#NAME?</v>
      </c>
      <c r="L1359" s="10" t="e">
        <f t="shared" ca="1" si="72"/>
        <v>#NAME?</v>
      </c>
      <c r="M1359" s="10" t="s">
        <v>1423</v>
      </c>
      <c r="N1359" s="37"/>
    </row>
    <row r="1360" spans="6:17" ht="13.2">
      <c r="F1360" s="10" t="s">
        <v>1551</v>
      </c>
      <c r="G1360" s="10" t="s">
        <v>738</v>
      </c>
      <c r="H1360" s="10" t="s">
        <v>1422</v>
      </c>
      <c r="I1360" s="10">
        <f>0.95*5</f>
        <v>4.75</v>
      </c>
      <c r="J1360" s="43" t="e">
        <f t="array" aca="1" ref="J1360" ca="1">_xludf.XLOOKUP(F1360, analysis!A:A, analysis!I:I)</f>
        <v>#NAME?</v>
      </c>
      <c r="K1360" s="10" t="e">
        <f t="array" aca="1" ref="K1360" ca="1">_xludf.XLOOKUP(F1360, analysis!A:A, analysis!J:J)</f>
        <v>#NAME?</v>
      </c>
      <c r="L1360" s="10" t="e">
        <f t="shared" ca="1" si="72"/>
        <v>#NAME?</v>
      </c>
      <c r="M1360" s="10" t="s">
        <v>1425</v>
      </c>
      <c r="N1360" s="10">
        <f>((I1362)*4.2*30/0.63)*(10^-6)*50</f>
        <v>1.2</v>
      </c>
    </row>
    <row r="1361" spans="6:17" ht="13.2">
      <c r="F1361" s="10" t="s">
        <v>1552</v>
      </c>
      <c r="G1361" s="10" t="s">
        <v>746</v>
      </c>
      <c r="H1361" s="10" t="s">
        <v>1422</v>
      </c>
      <c r="I1361" s="10">
        <f>15*1.01</f>
        <v>15.15</v>
      </c>
      <c r="J1361" s="43" t="e">
        <f t="array" aca="1" ref="J1361" ca="1">_xludf.XLOOKUP(F1361, analysis!A:A, analysis!I:I)</f>
        <v>#NAME?</v>
      </c>
      <c r="K1361" s="10" t="e">
        <f t="array" aca="1" ref="K1361" ca="1">_xludf.XLOOKUP(F1361, analysis!A:A, analysis!J:J)</f>
        <v>#NAME?</v>
      </c>
      <c r="L1361" s="10" t="e">
        <f t="shared" ca="1" si="72"/>
        <v>#NAME?</v>
      </c>
      <c r="M1361" s="10" t="s">
        <v>1428</v>
      </c>
      <c r="N1361" s="37"/>
    </row>
    <row r="1362" spans="6:17" ht="13.2">
      <c r="F1362" s="10" t="s">
        <v>1553</v>
      </c>
      <c r="G1362" s="10" t="s">
        <v>1508</v>
      </c>
      <c r="H1362" s="10" t="s">
        <v>1422</v>
      </c>
      <c r="I1362" s="10">
        <v>120</v>
      </c>
      <c r="J1362" s="43" t="e">
        <f t="array" aca="1" ref="J1362" ca="1">_xludf.XLOOKUP("water", analysis!A:A, analysis!I:I)</f>
        <v>#NAME?</v>
      </c>
      <c r="K1362" s="10" t="e">
        <f t="array" aca="1" ref="K1362" ca="1">_xludf.XLOOKUP("water", analysis!A:A, analysis!J:J)</f>
        <v>#NAME?</v>
      </c>
      <c r="L1362" s="10" t="e">
        <f t="shared" ca="1" si="72"/>
        <v>#NAME?</v>
      </c>
      <c r="M1362" s="10" t="s">
        <v>1429</v>
      </c>
      <c r="N1362" s="10">
        <f>((12^2*PI()*7.5*0.927*1.96*170/0.63)+(5/60)*5773920)*(10^-6)*50</f>
        <v>107.23204249490821</v>
      </c>
    </row>
    <row r="1363" spans="6:17" ht="13.2">
      <c r="F1363" s="10" t="s">
        <v>1483</v>
      </c>
      <c r="G1363" s="10" t="s">
        <v>1517</v>
      </c>
      <c r="H1363" s="10" t="s">
        <v>1444</v>
      </c>
      <c r="I1363" s="10">
        <v>200</v>
      </c>
      <c r="J1363" s="43" t="e">
        <f t="array" aca="1" ref="J1363" ca="1">_xludf.XLOOKUP(F1363, analysis!A:A, analysis!I:I)</f>
        <v>#NAME?</v>
      </c>
      <c r="K1363" s="10" t="e">
        <f t="array" aca="1" ref="K1363" ca="1">_xludf.XLOOKUP(F1363, analysis!A:A, analysis!J:J)</f>
        <v>#NAME?</v>
      </c>
      <c r="L1363" s="10" t="e">
        <f t="shared" ca="1" si="72"/>
        <v>#NAME?</v>
      </c>
      <c r="M1363" s="10" t="s">
        <v>1430</v>
      </c>
      <c r="N1363" s="37"/>
    </row>
    <row r="1364" spans="6:17" ht="13.2">
      <c r="K1364" s="20"/>
      <c r="L1364" s="37"/>
      <c r="M1364" s="10" t="s">
        <v>1432</v>
      </c>
      <c r="N1364" s="37"/>
    </row>
    <row r="1365" spans="6:17" ht="13.2">
      <c r="K1365" s="20"/>
      <c r="L1365" s="37"/>
      <c r="M1365" s="10" t="s">
        <v>1433</v>
      </c>
      <c r="N1365" s="37"/>
    </row>
    <row r="1366" spans="6:17" ht="13.2">
      <c r="K1366" s="20"/>
      <c r="L1366" s="37"/>
      <c r="M1366" s="10" t="s">
        <v>1434</v>
      </c>
      <c r="N1366" s="37"/>
    </row>
    <row r="1367" spans="6:17" ht="13.2">
      <c r="K1367" s="20"/>
      <c r="L1367" s="37"/>
      <c r="M1367" s="10" t="s">
        <v>1437</v>
      </c>
      <c r="N1367" s="37"/>
    </row>
    <row r="1368" spans="6:17" ht="13.2">
      <c r="K1368" s="20"/>
      <c r="L1368" s="37"/>
      <c r="M1368" s="10" t="s">
        <v>1474</v>
      </c>
      <c r="N1368" s="37"/>
    </row>
    <row r="1369" spans="6:17" ht="13.2">
      <c r="K1369" s="20"/>
      <c r="L1369" s="37"/>
      <c r="M1369" s="10" t="s">
        <v>1625</v>
      </c>
      <c r="N1369" s="37"/>
    </row>
    <row r="1370" spans="6:17" ht="13.2">
      <c r="K1370" s="20"/>
      <c r="L1370" s="37"/>
      <c r="M1370" s="20"/>
      <c r="N1370" s="37"/>
    </row>
    <row r="1371" spans="6:17" ht="13.2">
      <c r="K1371" s="20" t="s">
        <v>1441</v>
      </c>
      <c r="L1371" s="37" t="e">
        <f ca="1">SUM(L1357:L1361)</f>
        <v>#NAME?</v>
      </c>
      <c r="M1371" s="20" t="s">
        <v>1442</v>
      </c>
      <c r="N1371" s="37">
        <f>SUM(N1357:N1369)</f>
        <v>108.43204249490822</v>
      </c>
    </row>
    <row r="1372" spans="6:17" ht="13.2">
      <c r="K1372" s="20"/>
      <c r="L1372" s="37"/>
      <c r="M1372" s="20"/>
      <c r="N1372" s="37"/>
    </row>
    <row r="1373" spans="6:17" ht="13.2">
      <c r="F1373" s="184" t="s">
        <v>938</v>
      </c>
      <c r="G1373" s="180"/>
      <c r="H1373" s="180"/>
      <c r="I1373" s="180"/>
      <c r="J1373" s="180"/>
      <c r="K1373" s="180"/>
      <c r="L1373" s="180"/>
      <c r="M1373" s="180"/>
      <c r="N1373" s="180"/>
      <c r="O1373" s="180"/>
    </row>
    <row r="1374" spans="6:17" ht="13.2">
      <c r="F1374" s="10" t="s">
        <v>1408</v>
      </c>
      <c r="G1374" s="10" t="s">
        <v>543</v>
      </c>
      <c r="H1374" s="10" t="s">
        <v>1409</v>
      </c>
      <c r="I1374" s="10" t="s">
        <v>1410</v>
      </c>
      <c r="J1374" s="10" t="s">
        <v>1411</v>
      </c>
      <c r="K1374" s="10" t="s">
        <v>1412</v>
      </c>
      <c r="L1374" s="10" t="s">
        <v>1413</v>
      </c>
      <c r="M1374" s="179" t="s">
        <v>1468</v>
      </c>
      <c r="N1374" s="180"/>
      <c r="O1374" s="10" t="s">
        <v>1415</v>
      </c>
    </row>
    <row r="1375" spans="6:17" ht="13.2">
      <c r="F1375" s="10" t="s">
        <v>1421</v>
      </c>
      <c r="G1375" s="10" t="s">
        <v>1506</v>
      </c>
      <c r="H1375" s="10" t="s">
        <v>1422</v>
      </c>
      <c r="I1375" s="10">
        <v>250</v>
      </c>
      <c r="J1375" s="43" t="e">
        <f t="array" aca="1" ref="J1375" ca="1">_xludf.XLOOKUP(F1375, analysis!A:A, analysis!I:I)</f>
        <v>#NAME?</v>
      </c>
      <c r="K1375" s="10" t="e">
        <f t="array" aca="1" ref="K1375" ca="1">_xludf.XLOOKUP(F1375, analysis!A:A, analysis!J:J)</f>
        <v>#NAME?</v>
      </c>
      <c r="L1375" s="10" t="e">
        <f t="shared" ref="L1375:L1381" ca="1" si="73">K1375*I1375*J1375/1000</f>
        <v>#NAME?</v>
      </c>
      <c r="M1375" s="10" t="s">
        <v>1417</v>
      </c>
      <c r="N1375" s="37"/>
      <c r="P1375" s="10" t="str">
        <f ca="1">IFERROR(__xludf.DUMMYFUNCTION("transpose(split(F1375,CHAR(10)))"),"olive oil")</f>
        <v>olive oil</v>
      </c>
      <c r="Q1375" s="10" t="str">
        <f ca="1">IFERROR(__xludf.DUMMYFUNCTION("transpose(split(G1375,CHAR(10)))"),"30ml")</f>
        <v>30ml</v>
      </c>
    </row>
    <row r="1376" spans="6:17" ht="13.2">
      <c r="F1376" s="10" t="s">
        <v>663</v>
      </c>
      <c r="G1376" s="10" t="s">
        <v>1634</v>
      </c>
      <c r="H1376" s="10" t="s">
        <v>1422</v>
      </c>
      <c r="I1376" s="10">
        <f>1.02*400</f>
        <v>408</v>
      </c>
      <c r="J1376" s="43" t="e">
        <f t="array" aca="1" ref="J1376" ca="1">_xludf.XLOOKUP(F1376, analysis!A:A, analysis!I:I)</f>
        <v>#NAME?</v>
      </c>
      <c r="K1376" s="10" t="e">
        <f t="array" aca="1" ref="K1376" ca="1">_xludf.XLOOKUP(F1376, analysis!A:A, analysis!J:J)</f>
        <v>#NAME?</v>
      </c>
      <c r="L1376" s="10" t="e">
        <f t="shared" ca="1" si="73"/>
        <v>#NAME?</v>
      </c>
      <c r="M1376" s="10" t="s">
        <v>1420</v>
      </c>
      <c r="N1376" s="37"/>
    </row>
    <row r="1377" spans="6:15" ht="13.2">
      <c r="F1377" s="10" t="s">
        <v>640</v>
      </c>
      <c r="G1377" s="10" t="s">
        <v>1595</v>
      </c>
      <c r="H1377" s="10" t="s">
        <v>1422</v>
      </c>
      <c r="I1377" s="10">
        <f>1.04*250</f>
        <v>260</v>
      </c>
      <c r="J1377" s="43" t="e">
        <f t="array" aca="1" ref="J1377" ca="1">_xludf.XLOOKUP(F1377, analysis!A:A, analysis!I:I)</f>
        <v>#NAME?</v>
      </c>
      <c r="K1377" s="10" t="e">
        <f t="array" aca="1" ref="K1377" ca="1">_xludf.XLOOKUP(F1377, analysis!A:A, analysis!J:J)</f>
        <v>#NAME?</v>
      </c>
      <c r="L1377" s="10" t="e">
        <f t="shared" ca="1" si="73"/>
        <v>#NAME?</v>
      </c>
      <c r="M1377" s="10" t="s">
        <v>1423</v>
      </c>
      <c r="N1377" s="37"/>
    </row>
    <row r="1378" spans="6:15" ht="13.2">
      <c r="F1378" s="10" t="s">
        <v>1711</v>
      </c>
      <c r="G1378" s="10" t="s">
        <v>1559</v>
      </c>
      <c r="H1378" s="10" t="s">
        <v>1444</v>
      </c>
      <c r="I1378" s="10">
        <v>300</v>
      </c>
      <c r="J1378" s="43" t="e">
        <f t="array" aca="1" ref="J1378" ca="1">_xludf.XLOOKUP(F1378, analysis!A:A, analysis!I:I)</f>
        <v>#NAME?</v>
      </c>
      <c r="K1378" s="10" t="e">
        <f t="array" aca="1" ref="K1378" ca="1">_xludf.XLOOKUP(F1378, analysis!A:A, analysis!J:J)</f>
        <v>#NAME?</v>
      </c>
      <c r="L1378" s="10" t="e">
        <f t="shared" ca="1" si="73"/>
        <v>#NAME?</v>
      </c>
      <c r="M1378" s="10" t="s">
        <v>1425</v>
      </c>
      <c r="N1378" s="37">
        <f>(((I1377*1.81*80/0.63)+(5.5/60)*5773920+(1/60)*5773920)*(10^-6)*50)</f>
        <v>34.263336507936508</v>
      </c>
    </row>
    <row r="1379" spans="6:15" ht="13.2">
      <c r="F1379" s="10" t="s">
        <v>1467</v>
      </c>
      <c r="G1379" s="10" t="s">
        <v>1686</v>
      </c>
      <c r="H1379" s="10" t="s">
        <v>1422</v>
      </c>
      <c r="I1379" s="10">
        <f>0.994*75</f>
        <v>74.55</v>
      </c>
      <c r="J1379" s="43" t="e">
        <f t="array" aca="1" ref="J1379" ca="1">_xludf.XLOOKUP(F1379, analysis!A:A, analysis!I:I)</f>
        <v>#NAME?</v>
      </c>
      <c r="K1379" s="10" t="e">
        <f t="array" aca="1" ref="K1379" ca="1">_xludf.XLOOKUP(F1379, analysis!A:A, analysis!J:J)</f>
        <v>#NAME?</v>
      </c>
      <c r="L1379" s="10" t="e">
        <f t="shared" ca="1" si="73"/>
        <v>#NAME?</v>
      </c>
      <c r="M1379" s="10" t="s">
        <v>1428</v>
      </c>
      <c r="N1379" s="37"/>
    </row>
    <row r="1380" spans="6:15" ht="13.2">
      <c r="F1380" s="10" t="s">
        <v>646</v>
      </c>
      <c r="G1380" s="10" t="s">
        <v>1439</v>
      </c>
      <c r="H1380" s="10">
        <v>0</v>
      </c>
      <c r="I1380" s="10">
        <v>0</v>
      </c>
      <c r="J1380" s="43" t="e">
        <f t="array" aca="1" ref="J1380" ca="1">_xludf.XLOOKUP(F1380, analysis!A:A, analysis!I:I)</f>
        <v>#NAME?</v>
      </c>
      <c r="K1380" s="10" t="e">
        <f t="array" aca="1" ref="K1380" ca="1">_xludf.XLOOKUP(F1380, analysis!A:A, analysis!J:J)</f>
        <v>#NAME?</v>
      </c>
      <c r="L1380" s="10" t="e">
        <f t="shared" ca="1" si="73"/>
        <v>#NAME?</v>
      </c>
      <c r="M1380" s="10" t="s">
        <v>1429</v>
      </c>
      <c r="N1380" s="37"/>
    </row>
    <row r="1381" spans="6:15" ht="13.2">
      <c r="F1381" s="10" t="s">
        <v>1440</v>
      </c>
      <c r="G1381" s="10" t="s">
        <v>1439</v>
      </c>
      <c r="H1381" s="10">
        <v>0</v>
      </c>
      <c r="I1381" s="10">
        <v>0</v>
      </c>
      <c r="J1381" s="43" t="e">
        <f t="array" aca="1" ref="J1381" ca="1">_xludf.XLOOKUP(F1381, analysis!A:A, analysis!I:I)</f>
        <v>#NAME?</v>
      </c>
      <c r="K1381" s="10" t="e">
        <f t="array" aca="1" ref="K1381" ca="1">_xludf.XLOOKUP(F1381, analysis!A:A, analysis!J:J)</f>
        <v>#NAME?</v>
      </c>
      <c r="L1381" s="10" t="e">
        <f t="shared" ca="1" si="73"/>
        <v>#NAME?</v>
      </c>
      <c r="M1381" s="10" t="s">
        <v>1430</v>
      </c>
      <c r="N1381" s="37"/>
    </row>
    <row r="1382" spans="6:15" ht="13.2">
      <c r="K1382" s="20"/>
      <c r="L1382" s="37"/>
      <c r="M1382" s="10" t="s">
        <v>1432</v>
      </c>
      <c r="N1382" s="37"/>
    </row>
    <row r="1383" spans="6:15" ht="13.2">
      <c r="K1383" s="20"/>
      <c r="L1383" s="37"/>
      <c r="M1383" s="10" t="s">
        <v>1433</v>
      </c>
      <c r="N1383" s="37"/>
    </row>
    <row r="1384" spans="6:15" ht="13.2">
      <c r="K1384" s="20"/>
      <c r="L1384" s="37"/>
      <c r="M1384" s="10" t="s">
        <v>1434</v>
      </c>
      <c r="N1384" s="37"/>
    </row>
    <row r="1385" spans="6:15" ht="13.2">
      <c r="K1385" s="20"/>
      <c r="L1385" s="37"/>
      <c r="M1385" s="10" t="s">
        <v>1437</v>
      </c>
      <c r="N1385" s="37"/>
    </row>
    <row r="1386" spans="6:15" ht="13.2">
      <c r="K1386" s="20"/>
      <c r="L1386" s="37"/>
      <c r="M1386" s="10" t="s">
        <v>1474</v>
      </c>
      <c r="N1386" s="37"/>
    </row>
    <row r="1387" spans="6:15" ht="13.2">
      <c r="K1387" s="20"/>
      <c r="L1387" s="37"/>
      <c r="M1387" s="10" t="s">
        <v>1625</v>
      </c>
      <c r="N1387" s="37"/>
    </row>
    <row r="1388" spans="6:15" ht="13.2">
      <c r="K1388" s="20"/>
      <c r="L1388" s="37"/>
      <c r="M1388" s="20"/>
      <c r="N1388" s="37"/>
    </row>
    <row r="1389" spans="6:15" ht="13.2">
      <c r="K1389" s="20" t="s">
        <v>1441</v>
      </c>
      <c r="L1389" s="37" t="e">
        <f ca="1">SUM(L1375:L1381)</f>
        <v>#NAME?</v>
      </c>
      <c r="M1389" s="20" t="s">
        <v>1442</v>
      </c>
      <c r="N1389" s="37">
        <f>SUM(N1375:N1387)</f>
        <v>34.263336507936508</v>
      </c>
    </row>
    <row r="1390" spans="6:15" ht="13.2">
      <c r="K1390" s="20"/>
      <c r="L1390" s="37"/>
      <c r="M1390" s="20"/>
      <c r="N1390" s="37"/>
    </row>
    <row r="1391" spans="6:15" ht="13.2">
      <c r="F1391" s="184" t="s">
        <v>950</v>
      </c>
      <c r="G1391" s="180"/>
      <c r="H1391" s="180"/>
      <c r="I1391" s="180"/>
      <c r="J1391" s="180"/>
      <c r="K1391" s="180"/>
      <c r="L1391" s="180"/>
      <c r="M1391" s="180"/>
      <c r="N1391" s="180"/>
      <c r="O1391" s="180"/>
    </row>
    <row r="1392" spans="6:15" ht="13.2">
      <c r="F1392" s="10" t="s">
        <v>1408</v>
      </c>
      <c r="G1392" s="10" t="s">
        <v>543</v>
      </c>
      <c r="H1392" s="10" t="s">
        <v>1409</v>
      </c>
      <c r="I1392" s="10" t="s">
        <v>1410</v>
      </c>
      <c r="J1392" s="10" t="s">
        <v>1411</v>
      </c>
      <c r="K1392" s="10" t="s">
        <v>1412</v>
      </c>
      <c r="L1392" s="10" t="s">
        <v>1413</v>
      </c>
      <c r="M1392" s="179" t="s">
        <v>1468</v>
      </c>
      <c r="N1392" s="180"/>
      <c r="O1392" s="10" t="s">
        <v>1415</v>
      </c>
    </row>
    <row r="1393" spans="6:17" ht="13.2">
      <c r="F1393" s="10" t="s">
        <v>733</v>
      </c>
      <c r="G1393" s="10" t="s">
        <v>1506</v>
      </c>
      <c r="H1393" s="10" t="s">
        <v>1422</v>
      </c>
      <c r="I1393" s="10">
        <f>30*0.927</f>
        <v>27.810000000000002</v>
      </c>
      <c r="J1393" s="43" t="e">
        <f t="array" aca="1" ref="J1393" ca="1">_xludf.XLOOKUP(F1393, analysis!A:A, analysis!I:I)</f>
        <v>#NAME?</v>
      </c>
      <c r="K1393" s="10" t="e">
        <f t="array" aca="1" ref="K1393" ca="1">_xludf.XLOOKUP(F1393, analysis!A:A, analysis!J:J)</f>
        <v>#NAME?</v>
      </c>
      <c r="L1393" s="10" t="e">
        <f t="shared" ref="L1393:L1400" ca="1" si="74">K1393*I1393*J1393/1000</f>
        <v>#NAME?</v>
      </c>
      <c r="M1393" s="10" t="s">
        <v>1417</v>
      </c>
      <c r="N1393" s="37"/>
      <c r="P1393" s="10" t="str">
        <f ca="1">IFERROR(__xludf.DUMMYFUNCTION("transpose(split(F1393,CHAR(10)))"),"vegetable oil")</f>
        <v>vegetable oil</v>
      </c>
      <c r="Q1393" s="10" t="str">
        <f ca="1">IFERROR(__xludf.DUMMYFUNCTION("transpose(split(G1393,CHAR(10)))"),"30ml")</f>
        <v>30ml</v>
      </c>
    </row>
    <row r="1394" spans="6:17" ht="13.2">
      <c r="F1394" s="10" t="s">
        <v>651</v>
      </c>
      <c r="G1394" s="10">
        <v>1</v>
      </c>
      <c r="H1394" s="10" t="s">
        <v>1416</v>
      </c>
      <c r="I1394" s="10">
        <v>70</v>
      </c>
      <c r="J1394" s="43" t="e">
        <f t="array" aca="1" ref="J1394" ca="1">_xludf.XLOOKUP(F1394, analysis!A:A, analysis!I:I)</f>
        <v>#NAME?</v>
      </c>
      <c r="K1394" s="10" t="e">
        <f t="array" aca="1" ref="K1394" ca="1">_xludf.XLOOKUP(F1394, analysis!A:A, analysis!J:J)</f>
        <v>#NAME?</v>
      </c>
      <c r="L1394" s="10" t="e">
        <f t="shared" ca="1" si="74"/>
        <v>#NAME?</v>
      </c>
      <c r="M1394" s="10" t="s">
        <v>1420</v>
      </c>
      <c r="N1394" s="37"/>
    </row>
    <row r="1395" spans="6:17" ht="13.2">
      <c r="F1395" s="10" t="s">
        <v>652</v>
      </c>
      <c r="G1395" s="10" t="s">
        <v>1537</v>
      </c>
      <c r="H1395" s="10" t="s">
        <v>1444</v>
      </c>
      <c r="I1395" s="10">
        <v>115</v>
      </c>
      <c r="J1395" s="43" t="e">
        <f t="array" aca="1" ref="J1395" ca="1">_xludf.XLOOKUP(F1395, analysis!A:A, analysis!I:I)</f>
        <v>#NAME?</v>
      </c>
      <c r="K1395" s="10" t="e">
        <f t="array" aca="1" ref="K1395" ca="1">_xludf.XLOOKUP(F1395, analysis!A:A, analysis!J:J)</f>
        <v>#NAME?</v>
      </c>
      <c r="L1395" s="10" t="e">
        <f t="shared" ca="1" si="74"/>
        <v>#NAME?</v>
      </c>
      <c r="M1395" s="10" t="s">
        <v>1423</v>
      </c>
      <c r="N1395" s="37"/>
    </row>
    <row r="1396" spans="6:17" ht="13.2">
      <c r="F1396" s="10" t="s">
        <v>581</v>
      </c>
      <c r="G1396" s="10">
        <v>2</v>
      </c>
      <c r="H1396" s="10" t="s">
        <v>1416</v>
      </c>
      <c r="I1396" s="10">
        <f>75*2</f>
        <v>150</v>
      </c>
      <c r="J1396" s="43" t="e">
        <f t="array" aca="1" ref="J1396" ca="1">_xludf.XLOOKUP(F1396, analysis!A:A, analysis!I:I)</f>
        <v>#NAME?</v>
      </c>
      <c r="K1396" s="10" t="e">
        <f t="array" aca="1" ref="K1396" ca="1">_xludf.XLOOKUP(F1396, analysis!A:A, analysis!J:J)</f>
        <v>#NAME?</v>
      </c>
      <c r="L1396" s="10" t="e">
        <f t="shared" ca="1" si="74"/>
        <v>#NAME?</v>
      </c>
      <c r="M1396" s="10" t="s">
        <v>1425</v>
      </c>
      <c r="N1396" s="37"/>
    </row>
    <row r="1397" spans="6:17" ht="13.2">
      <c r="F1397" s="10" t="s">
        <v>642</v>
      </c>
      <c r="G1397" s="10">
        <v>1</v>
      </c>
      <c r="H1397" s="10" t="s">
        <v>1416</v>
      </c>
      <c r="I1397" s="10">
        <v>45</v>
      </c>
      <c r="J1397" s="43" t="e">
        <f t="array" aca="1" ref="J1397" ca="1">_xludf.XLOOKUP(F1397, analysis!A:A, analysis!I:I)</f>
        <v>#NAME?</v>
      </c>
      <c r="K1397" s="10" t="e">
        <f t="array" aca="1" ref="K1397" ca="1">_xludf.XLOOKUP(F1397, analysis!A:A, analysis!J:J)</f>
        <v>#NAME?</v>
      </c>
      <c r="L1397" s="10" t="e">
        <f t="shared" ca="1" si="74"/>
        <v>#NAME?</v>
      </c>
      <c r="M1397" s="10" t="s">
        <v>1428</v>
      </c>
      <c r="N1397" s="37"/>
    </row>
    <row r="1398" spans="6:17" ht="13.2">
      <c r="F1398" s="10" t="s">
        <v>1585</v>
      </c>
      <c r="G1398" s="10" t="s">
        <v>753</v>
      </c>
      <c r="H1398" s="10" t="s">
        <v>1444</v>
      </c>
      <c r="I1398" s="10">
        <v>400</v>
      </c>
      <c r="J1398" s="43" t="e">
        <f t="array" aca="1" ref="J1398" ca="1">_xludf.XLOOKUP(F1398, analysis!A:A, analysis!I:I)</f>
        <v>#NAME?</v>
      </c>
      <c r="K1398" s="10" t="e">
        <f t="array" aca="1" ref="K1398" ca="1">_xludf.XLOOKUP(F1398, analysis!A:A, analysis!J:J)</f>
        <v>#NAME?</v>
      </c>
      <c r="L1398" s="10" t="e">
        <f t="shared" ca="1" si="74"/>
        <v>#NAME?</v>
      </c>
      <c r="M1398" s="10" t="s">
        <v>1429</v>
      </c>
      <c r="N1398" s="37"/>
    </row>
    <row r="1399" spans="6:17" ht="13.2">
      <c r="F1399" s="10" t="s">
        <v>646</v>
      </c>
      <c r="G1399" s="10" t="s">
        <v>1562</v>
      </c>
      <c r="H1399" s="10">
        <v>0</v>
      </c>
      <c r="I1399" s="10">
        <v>0</v>
      </c>
      <c r="J1399" s="43" t="e">
        <f t="array" aca="1" ref="J1399" ca="1">_xludf.XLOOKUP(F1399, analysis!A:A, analysis!I:I)</f>
        <v>#NAME?</v>
      </c>
      <c r="K1399" s="10" t="e">
        <f t="array" aca="1" ref="K1399" ca="1">_xludf.XLOOKUP(F1399, analysis!A:A, analysis!J:J)</f>
        <v>#NAME?</v>
      </c>
      <c r="L1399" s="10" t="e">
        <f t="shared" ca="1" si="74"/>
        <v>#NAME?</v>
      </c>
      <c r="M1399" s="10" t="s">
        <v>1430</v>
      </c>
      <c r="N1399" s="10">
        <f>(((I1393*1.96*160)/0.63)+(7.5/60)*5773920+(I1395*60)+(1.5/60)*5773920+(3.5/60)*5773920)*10^-6*50</f>
        <v>61.182159999999996</v>
      </c>
    </row>
    <row r="1400" spans="6:17" ht="13.2">
      <c r="F1400" s="10" t="s">
        <v>1449</v>
      </c>
      <c r="G1400" s="10" t="s">
        <v>1506</v>
      </c>
      <c r="H1400" s="10" t="s">
        <v>1422</v>
      </c>
      <c r="I1400" s="10">
        <f>0.11*30</f>
        <v>3.3</v>
      </c>
      <c r="J1400" s="43" t="e">
        <f t="array" aca="1" ref="J1400" ca="1">_xludf.XLOOKUP(F1400, analysis!A:A, analysis!I:I)</f>
        <v>#NAME?</v>
      </c>
      <c r="K1400" s="10" t="e">
        <f t="array" aca="1" ref="K1400" ca="1">_xludf.XLOOKUP(F1400, analysis!A:A, analysis!J:J)</f>
        <v>#NAME?</v>
      </c>
      <c r="L1400" s="10" t="e">
        <f t="shared" ca="1" si="74"/>
        <v>#NAME?</v>
      </c>
      <c r="M1400" s="10" t="s">
        <v>1432</v>
      </c>
      <c r="N1400" s="37"/>
    </row>
    <row r="1401" spans="6:17" ht="13.2">
      <c r="K1401" s="20"/>
      <c r="L1401" s="37"/>
      <c r="M1401" s="10" t="s">
        <v>1433</v>
      </c>
      <c r="N1401" s="37"/>
    </row>
    <row r="1402" spans="6:17" ht="13.2">
      <c r="K1402" s="20"/>
      <c r="L1402" s="37"/>
      <c r="M1402" s="10" t="s">
        <v>1434</v>
      </c>
      <c r="N1402" s="37"/>
    </row>
    <row r="1403" spans="6:17" ht="13.2">
      <c r="K1403" s="20"/>
      <c r="L1403" s="37"/>
      <c r="M1403" s="10" t="s">
        <v>1437</v>
      </c>
      <c r="N1403" s="37"/>
    </row>
    <row r="1404" spans="6:17" ht="13.2">
      <c r="K1404" s="20"/>
      <c r="L1404" s="37"/>
      <c r="M1404" s="10" t="s">
        <v>1474</v>
      </c>
      <c r="N1404" s="37"/>
    </row>
    <row r="1405" spans="6:17" ht="13.2">
      <c r="K1405" s="20"/>
      <c r="L1405" s="37"/>
      <c r="M1405" s="10" t="s">
        <v>1625</v>
      </c>
      <c r="N1405" s="37"/>
    </row>
    <row r="1406" spans="6:17" ht="13.2">
      <c r="K1406" s="20"/>
      <c r="L1406" s="37"/>
      <c r="M1406" s="20"/>
      <c r="N1406" s="37"/>
    </row>
    <row r="1407" spans="6:17" ht="13.2">
      <c r="K1407" s="20" t="s">
        <v>1441</v>
      </c>
      <c r="L1407" s="37" t="e">
        <f ca="1">SUM(L1393:L1400)</f>
        <v>#NAME?</v>
      </c>
      <c r="M1407" s="20" t="s">
        <v>1442</v>
      </c>
      <c r="N1407" s="37">
        <f>SUM(N1393:N1405)</f>
        <v>61.182159999999996</v>
      </c>
    </row>
    <row r="1408" spans="6:17" ht="13.2">
      <c r="K1408" s="20"/>
      <c r="L1408" s="37"/>
      <c r="M1408" s="20"/>
      <c r="N1408" s="37"/>
    </row>
    <row r="1409" spans="6:17" ht="13.2">
      <c r="F1409" s="185" t="s">
        <v>954</v>
      </c>
      <c r="G1409" s="180"/>
      <c r="H1409" s="180"/>
      <c r="I1409" s="180"/>
      <c r="J1409" s="180"/>
      <c r="K1409" s="180"/>
      <c r="L1409" s="180"/>
      <c r="M1409" s="180"/>
      <c r="N1409" s="180"/>
      <c r="O1409" s="180"/>
    </row>
    <row r="1410" spans="6:17" ht="13.2">
      <c r="F1410" s="10" t="s">
        <v>1408</v>
      </c>
      <c r="G1410" s="10" t="s">
        <v>543</v>
      </c>
      <c r="H1410" s="10" t="s">
        <v>1409</v>
      </c>
      <c r="I1410" s="10" t="s">
        <v>1410</v>
      </c>
      <c r="J1410" s="10" t="s">
        <v>1411</v>
      </c>
      <c r="K1410" s="10" t="s">
        <v>1412</v>
      </c>
      <c r="L1410" s="10" t="s">
        <v>1413</v>
      </c>
      <c r="M1410" s="179" t="s">
        <v>1468</v>
      </c>
      <c r="N1410" s="180"/>
      <c r="O1410" s="10" t="s">
        <v>1415</v>
      </c>
    </row>
    <row r="1411" spans="6:17" ht="13.2">
      <c r="F1411" s="10" t="s">
        <v>733</v>
      </c>
      <c r="G1411" s="10" t="s">
        <v>1506</v>
      </c>
      <c r="H1411" s="10" t="s">
        <v>1422</v>
      </c>
      <c r="I1411" s="10">
        <f>30*0.927</f>
        <v>27.810000000000002</v>
      </c>
      <c r="J1411" s="43" t="e">
        <f t="array" aca="1" ref="J1411" ca="1">_xludf.XLOOKUP(F1411, analysis!A:A, analysis!I:I)</f>
        <v>#NAME?</v>
      </c>
      <c r="K1411" s="10" t="e">
        <f t="array" aca="1" ref="K1411" ca="1">_xludf.XLOOKUP(F1411, analysis!A:A, analysis!J:J)</f>
        <v>#NAME?</v>
      </c>
      <c r="L1411" s="10" t="e">
        <f t="shared" ref="L1411:L1418" ca="1" si="75">K1411*I1411*J1411/1000</f>
        <v>#NAME?</v>
      </c>
      <c r="M1411" s="10" t="s">
        <v>1417</v>
      </c>
      <c r="N1411" s="37"/>
      <c r="P1411" s="10" t="str">
        <f ca="1">IFERROR(__xludf.DUMMYFUNCTION("transpose(split(F1411,CHAR(10)))"),"vegetable oil")</f>
        <v>vegetable oil</v>
      </c>
      <c r="Q1411" s="10" t="str">
        <f ca="1">IFERROR(__xludf.DUMMYFUNCTION("transpose(split(G1411,CHAR(10)))"),"30ml")</f>
        <v>30ml</v>
      </c>
    </row>
    <row r="1412" spans="6:17" ht="13.2">
      <c r="F1412" s="10" t="s">
        <v>651</v>
      </c>
      <c r="G1412" s="10">
        <v>1</v>
      </c>
      <c r="H1412" s="10" t="s">
        <v>1416</v>
      </c>
      <c r="I1412" s="10">
        <v>70</v>
      </c>
      <c r="J1412" s="43" t="e">
        <f t="array" aca="1" ref="J1412" ca="1">_xludf.XLOOKUP(F1412, analysis!A:A, analysis!I:I)</f>
        <v>#NAME?</v>
      </c>
      <c r="K1412" s="10" t="e">
        <f t="array" aca="1" ref="K1412" ca="1">_xludf.XLOOKUP(F1412, analysis!A:A, analysis!J:J)</f>
        <v>#NAME?</v>
      </c>
      <c r="L1412" s="10" t="e">
        <f t="shared" ca="1" si="75"/>
        <v>#NAME?</v>
      </c>
      <c r="M1412" s="10" t="s">
        <v>1420</v>
      </c>
      <c r="N1412" s="37"/>
    </row>
    <row r="1413" spans="6:17" ht="13.2">
      <c r="F1413" s="10" t="s">
        <v>652</v>
      </c>
      <c r="G1413" s="10" t="s">
        <v>1537</v>
      </c>
      <c r="H1413" s="10" t="s">
        <v>1444</v>
      </c>
      <c r="I1413" s="10">
        <v>115</v>
      </c>
      <c r="J1413" s="43" t="e">
        <f t="array" aca="1" ref="J1413" ca="1">_xludf.XLOOKUP(F1413, analysis!A:A, analysis!I:I)</f>
        <v>#NAME?</v>
      </c>
      <c r="K1413" s="10" t="e">
        <f t="array" aca="1" ref="K1413" ca="1">_xludf.XLOOKUP(F1413, analysis!A:A, analysis!J:J)</f>
        <v>#NAME?</v>
      </c>
      <c r="L1413" s="10" t="e">
        <f t="shared" ca="1" si="75"/>
        <v>#NAME?</v>
      </c>
      <c r="M1413" s="10" t="s">
        <v>1423</v>
      </c>
      <c r="N1413" s="37"/>
    </row>
    <row r="1414" spans="6:17" ht="13.2">
      <c r="F1414" s="10" t="s">
        <v>712</v>
      </c>
      <c r="G1414" s="10" t="s">
        <v>1506</v>
      </c>
      <c r="H1414" s="10" t="s">
        <v>1422</v>
      </c>
      <c r="I1414" s="10">
        <f>0.89*30</f>
        <v>26.7</v>
      </c>
      <c r="J1414" s="43" t="e">
        <f t="array" aca="1" ref="J1414" ca="1">_xludf.XLOOKUP(F1414, analysis!A:A, analysis!I:I)</f>
        <v>#NAME?</v>
      </c>
      <c r="K1414" s="10" t="e">
        <f t="array" aca="1" ref="K1414" ca="1">_xludf.XLOOKUP(F1414, analysis!A:A, analysis!J:J)</f>
        <v>#NAME?</v>
      </c>
      <c r="L1414" s="10" t="e">
        <f t="shared" ca="1" si="75"/>
        <v>#NAME?</v>
      </c>
      <c r="M1414" s="10" t="s">
        <v>1425</v>
      </c>
      <c r="N1414" s="37"/>
    </row>
    <row r="1415" spans="6:17" ht="13.2">
      <c r="F1415" s="10" t="s">
        <v>1585</v>
      </c>
      <c r="G1415" s="10" t="s">
        <v>723</v>
      </c>
      <c r="H1415" s="10" t="s">
        <v>1444</v>
      </c>
      <c r="I1415" s="10">
        <v>500</v>
      </c>
      <c r="J1415" s="43" t="e">
        <f t="array" aca="1" ref="J1415" ca="1">_xludf.XLOOKUP(F1415, analysis!A:A, analysis!I:I)</f>
        <v>#NAME?</v>
      </c>
      <c r="K1415" s="10" t="e">
        <f t="array" aca="1" ref="K1415" ca="1">_xludf.XLOOKUP(F1415, analysis!A:A, analysis!J:J)</f>
        <v>#NAME?</v>
      </c>
      <c r="L1415" s="10" t="e">
        <f t="shared" ca="1" si="75"/>
        <v>#NAME?</v>
      </c>
      <c r="M1415" s="10" t="s">
        <v>1428</v>
      </c>
      <c r="N1415" s="37"/>
    </row>
    <row r="1416" spans="6:17" ht="13.2">
      <c r="F1416" s="10" t="s">
        <v>646</v>
      </c>
      <c r="G1416" s="10" t="s">
        <v>1439</v>
      </c>
      <c r="H1416" s="10">
        <v>0</v>
      </c>
      <c r="I1416" s="10">
        <v>0</v>
      </c>
      <c r="J1416" s="43" t="e">
        <f t="array" aca="1" ref="J1416" ca="1">_xludf.XLOOKUP(F1416, analysis!A:A, analysis!I:I)</f>
        <v>#NAME?</v>
      </c>
      <c r="K1416" s="10" t="e">
        <f t="array" aca="1" ref="K1416" ca="1">_xludf.XLOOKUP(F1416, analysis!A:A, analysis!J:J)</f>
        <v>#NAME?</v>
      </c>
      <c r="L1416" s="10" t="e">
        <f t="shared" ca="1" si="75"/>
        <v>#NAME?</v>
      </c>
      <c r="M1416" s="10" t="s">
        <v>1429</v>
      </c>
      <c r="N1416" s="37"/>
    </row>
    <row r="1417" spans="6:17" ht="13.2">
      <c r="F1417" s="10" t="s">
        <v>642</v>
      </c>
      <c r="G1417" s="10">
        <v>1</v>
      </c>
      <c r="H1417" s="10" t="s">
        <v>1416</v>
      </c>
      <c r="I1417" s="10">
        <v>45</v>
      </c>
      <c r="J1417" s="43" t="e">
        <f t="array" aca="1" ref="J1417" ca="1">_xludf.XLOOKUP(F1417, analysis!A:A, analysis!I:I)</f>
        <v>#NAME?</v>
      </c>
      <c r="K1417" s="10" t="e">
        <f t="array" aca="1" ref="K1417" ca="1">_xludf.XLOOKUP(F1417, analysis!A:A, analysis!J:J)</f>
        <v>#NAME?</v>
      </c>
      <c r="L1417" s="10" t="e">
        <f t="shared" ca="1" si="75"/>
        <v>#NAME?</v>
      </c>
      <c r="M1417" s="10" t="s">
        <v>1430</v>
      </c>
      <c r="N1417" s="10">
        <f>(((I1411*1.96*160)/0.63)+(7.5/60)*5773920+(I1413*60)+(3.5/60)*5773920)*10^-6*50</f>
        <v>53.964759999999998</v>
      </c>
    </row>
    <row r="1418" spans="6:17" ht="13.2">
      <c r="F1418" s="10" t="s">
        <v>1635</v>
      </c>
      <c r="G1418" s="10" t="s">
        <v>1439</v>
      </c>
      <c r="H1418" s="10">
        <v>0</v>
      </c>
      <c r="I1418" s="10">
        <v>0</v>
      </c>
      <c r="J1418" s="43" t="e">
        <f t="array" aca="1" ref="J1418" ca="1">_xludf.XLOOKUP(F1418, analysis!A:A, analysis!I:I)</f>
        <v>#NAME?</v>
      </c>
      <c r="K1418" s="10" t="e">
        <f t="array" aca="1" ref="K1418" ca="1">_xludf.XLOOKUP(F1418, analysis!A:A, analysis!J:J)</f>
        <v>#NAME?</v>
      </c>
      <c r="L1418" s="10" t="e">
        <f t="shared" ca="1" si="75"/>
        <v>#NAME?</v>
      </c>
      <c r="M1418" s="10" t="s">
        <v>1432</v>
      </c>
      <c r="N1418" s="37"/>
    </row>
    <row r="1419" spans="6:17" ht="13.2">
      <c r="K1419" s="20"/>
      <c r="L1419" s="37"/>
      <c r="M1419" s="10" t="s">
        <v>1433</v>
      </c>
      <c r="N1419" s="37"/>
    </row>
    <row r="1420" spans="6:17" ht="13.2">
      <c r="K1420" s="20"/>
      <c r="L1420" s="37"/>
      <c r="M1420" s="10" t="s">
        <v>1434</v>
      </c>
      <c r="N1420" s="37"/>
    </row>
    <row r="1421" spans="6:17" ht="13.2">
      <c r="K1421" s="20"/>
      <c r="L1421" s="37"/>
      <c r="M1421" s="10" t="s">
        <v>1437</v>
      </c>
      <c r="N1421" s="37"/>
    </row>
    <row r="1422" spans="6:17" ht="13.2">
      <c r="K1422" s="20"/>
      <c r="L1422" s="37"/>
      <c r="M1422" s="10" t="s">
        <v>1474</v>
      </c>
      <c r="N1422" s="37"/>
    </row>
    <row r="1423" spans="6:17" ht="13.2">
      <c r="K1423" s="20"/>
      <c r="L1423" s="37"/>
      <c r="M1423" s="10" t="s">
        <v>1625</v>
      </c>
      <c r="N1423" s="37"/>
    </row>
    <row r="1424" spans="6:17" ht="13.2">
      <c r="K1424" s="20"/>
      <c r="L1424" s="37"/>
      <c r="M1424" s="20"/>
      <c r="N1424" s="37"/>
    </row>
    <row r="1425" spans="6:17" ht="13.2">
      <c r="K1425" s="20" t="s">
        <v>1441</v>
      </c>
      <c r="L1425" s="37" t="e">
        <f ca="1">SUM(L1411:L1418)</f>
        <v>#NAME?</v>
      </c>
      <c r="M1425" s="20" t="s">
        <v>1442</v>
      </c>
      <c r="N1425" s="37">
        <f>SUM(N1411:N1423)</f>
        <v>53.964759999999998</v>
      </c>
    </row>
    <row r="1426" spans="6:17" ht="13.2">
      <c r="K1426" s="20"/>
      <c r="L1426" s="37"/>
      <c r="M1426" s="20"/>
      <c r="N1426" s="37"/>
    </row>
    <row r="1427" spans="6:17" ht="13.2">
      <c r="F1427" s="185" t="s">
        <v>958</v>
      </c>
      <c r="G1427" s="180"/>
      <c r="H1427" s="180"/>
      <c r="I1427" s="180"/>
      <c r="J1427" s="180"/>
      <c r="K1427" s="180"/>
      <c r="L1427" s="180"/>
      <c r="M1427" s="180"/>
      <c r="N1427" s="180"/>
      <c r="O1427" s="180"/>
    </row>
    <row r="1428" spans="6:17" ht="13.2">
      <c r="F1428" s="10" t="s">
        <v>1408</v>
      </c>
      <c r="G1428" s="10" t="s">
        <v>543</v>
      </c>
      <c r="H1428" s="10" t="s">
        <v>1409</v>
      </c>
      <c r="I1428" s="10" t="s">
        <v>1410</v>
      </c>
      <c r="J1428" s="10" t="s">
        <v>1411</v>
      </c>
      <c r="K1428" s="10" t="s">
        <v>1412</v>
      </c>
      <c r="L1428" s="10" t="s">
        <v>1413</v>
      </c>
      <c r="M1428" s="179" t="s">
        <v>1468</v>
      </c>
      <c r="N1428" s="180"/>
      <c r="O1428" s="10" t="s">
        <v>1415</v>
      </c>
    </row>
    <row r="1429" spans="6:17" ht="13.2">
      <c r="F1429" s="10" t="s">
        <v>1712</v>
      </c>
      <c r="G1429" s="10">
        <v>3</v>
      </c>
      <c r="H1429" s="10" t="s">
        <v>1416</v>
      </c>
      <c r="I1429" s="10">
        <v>230</v>
      </c>
      <c r="J1429" s="43" t="e">
        <f t="array" aca="1" ref="J1429" ca="1">_xludf.XLOOKUP(F1429, analysis!A:A, analysis!I:I)</f>
        <v>#NAME?</v>
      </c>
      <c r="K1429" s="10" t="e">
        <f t="array" aca="1" ref="K1429" ca="1">_xludf.XLOOKUP(F1429, analysis!A:A, analysis!J:J)</f>
        <v>#NAME?</v>
      </c>
      <c r="L1429" s="10" t="e">
        <f t="shared" ref="L1429:L1435" ca="1" si="76">K1429*I1429*J1429/1000</f>
        <v>#NAME?</v>
      </c>
      <c r="M1429" s="10" t="s">
        <v>1417</v>
      </c>
      <c r="N1429" s="37"/>
      <c r="P1429" s="10" t="str">
        <f ca="1">IFERROR(__xludf.DUMMYFUNCTION("transpose(split(F1429,CHAR(10)))"),"chayote")</f>
        <v>chayote</v>
      </c>
      <c r="Q1429" s="10">
        <f ca="1">IFERROR(__xludf.DUMMYFUNCTION("transpose(split(G1429,CHAR(10)))"),3)</f>
        <v>3</v>
      </c>
    </row>
    <row r="1430" spans="6:17" ht="13.2">
      <c r="F1430" s="10" t="s">
        <v>733</v>
      </c>
      <c r="G1430" s="10" t="s">
        <v>1506</v>
      </c>
      <c r="H1430" s="10" t="s">
        <v>1422</v>
      </c>
      <c r="I1430" s="10">
        <f>30*0.927</f>
        <v>27.810000000000002</v>
      </c>
      <c r="J1430" s="43" t="e">
        <f t="array" aca="1" ref="J1430" ca="1">_xludf.XLOOKUP(F1430, analysis!A:A, analysis!I:I)</f>
        <v>#NAME?</v>
      </c>
      <c r="K1430" s="10" t="e">
        <f t="array" aca="1" ref="K1430" ca="1">_xludf.XLOOKUP(F1430, analysis!A:A, analysis!J:J)</f>
        <v>#NAME?</v>
      </c>
      <c r="L1430" s="10" t="e">
        <f t="shared" ca="1" si="76"/>
        <v>#NAME?</v>
      </c>
      <c r="M1430" s="10" t="s">
        <v>1420</v>
      </c>
      <c r="N1430" s="37"/>
    </row>
    <row r="1431" spans="6:17" ht="13.2">
      <c r="F1431" s="10" t="s">
        <v>651</v>
      </c>
      <c r="G1431" s="10">
        <v>1</v>
      </c>
      <c r="H1431" s="10" t="s">
        <v>1416</v>
      </c>
      <c r="I1431" s="10">
        <v>70</v>
      </c>
      <c r="J1431" s="43" t="e">
        <f t="array" aca="1" ref="J1431" ca="1">_xludf.XLOOKUP(F1431, analysis!A:A, analysis!I:I)</f>
        <v>#NAME?</v>
      </c>
      <c r="K1431" s="10" t="e">
        <f t="array" aca="1" ref="K1431" ca="1">_xludf.XLOOKUP(F1431, analysis!A:A, analysis!J:J)</f>
        <v>#NAME?</v>
      </c>
      <c r="L1431" s="10" t="e">
        <f t="shared" ca="1" si="76"/>
        <v>#NAME?</v>
      </c>
      <c r="M1431" s="10" t="s">
        <v>1423</v>
      </c>
      <c r="N1431" s="37"/>
    </row>
    <row r="1432" spans="6:17" ht="13.2">
      <c r="F1432" s="10" t="s">
        <v>652</v>
      </c>
      <c r="G1432" s="10" t="s">
        <v>746</v>
      </c>
      <c r="H1432" s="10" t="s">
        <v>1422</v>
      </c>
      <c r="I1432" s="10">
        <f>15*0.911</f>
        <v>13.665000000000001</v>
      </c>
      <c r="J1432" s="43" t="e">
        <f t="array" aca="1" ref="J1432" ca="1">_xludf.XLOOKUP(F1432, analysis!A:A, analysis!I:I)</f>
        <v>#NAME?</v>
      </c>
      <c r="K1432" s="10" t="e">
        <f t="array" aca="1" ref="K1432" ca="1">_xludf.XLOOKUP(F1432, analysis!A:A, analysis!J:J)</f>
        <v>#NAME?</v>
      </c>
      <c r="L1432" s="10" t="e">
        <f t="shared" ca="1" si="76"/>
        <v>#NAME?</v>
      </c>
      <c r="M1432" s="10" t="s">
        <v>1425</v>
      </c>
      <c r="N1432" s="37"/>
    </row>
    <row r="1433" spans="6:17" ht="13.2">
      <c r="F1433" s="10" t="s">
        <v>1449</v>
      </c>
      <c r="G1433" s="10" t="s">
        <v>1601</v>
      </c>
      <c r="H1433" s="10" t="s">
        <v>1444</v>
      </c>
      <c r="I1433" s="10">
        <v>25</v>
      </c>
      <c r="J1433" s="43" t="e">
        <f t="array" aca="1" ref="J1433" ca="1">_xludf.XLOOKUP(F1433, analysis!A:A, analysis!I:I)</f>
        <v>#NAME?</v>
      </c>
      <c r="K1433" s="10" t="e">
        <f t="array" aca="1" ref="K1433" ca="1">_xludf.XLOOKUP(F1433, analysis!A:A, analysis!J:J)</f>
        <v>#NAME?</v>
      </c>
      <c r="L1433" s="10" t="e">
        <f t="shared" ca="1" si="76"/>
        <v>#NAME?</v>
      </c>
      <c r="M1433" s="10" t="s">
        <v>1428</v>
      </c>
      <c r="N1433" s="37"/>
    </row>
    <row r="1434" spans="6:17" ht="13.2">
      <c r="F1434" s="10" t="s">
        <v>646</v>
      </c>
      <c r="G1434" s="10" t="s">
        <v>1439</v>
      </c>
      <c r="H1434" s="10">
        <v>0</v>
      </c>
      <c r="I1434" s="10">
        <v>0</v>
      </c>
      <c r="J1434" s="43" t="e">
        <f t="array" aca="1" ref="J1434" ca="1">_xludf.XLOOKUP(F1434, analysis!A:A, analysis!I:I)</f>
        <v>#NAME?</v>
      </c>
      <c r="K1434" s="10" t="e">
        <f t="array" aca="1" ref="K1434" ca="1">_xludf.XLOOKUP(F1434, analysis!A:A, analysis!J:J)</f>
        <v>#NAME?</v>
      </c>
      <c r="L1434" s="10" t="e">
        <f t="shared" ca="1" si="76"/>
        <v>#NAME?</v>
      </c>
      <c r="M1434" s="10" t="s">
        <v>1429</v>
      </c>
      <c r="N1434" s="37"/>
    </row>
    <row r="1435" spans="6:17" ht="13.2">
      <c r="F1435" s="10" t="s">
        <v>1440</v>
      </c>
      <c r="G1435" s="10" t="s">
        <v>1439</v>
      </c>
      <c r="H1435" s="10">
        <v>0</v>
      </c>
      <c r="I1435" s="10">
        <v>0</v>
      </c>
      <c r="J1435" s="43" t="e">
        <f t="array" aca="1" ref="J1435" ca="1">_xludf.XLOOKUP(F1435, analysis!A:A, analysis!I:I)</f>
        <v>#NAME?</v>
      </c>
      <c r="K1435" s="10" t="e">
        <f t="array" aca="1" ref="K1435" ca="1">_xludf.XLOOKUP(F1435, analysis!A:A, analysis!J:J)</f>
        <v>#NAME?</v>
      </c>
      <c r="L1435" s="10" t="e">
        <f t="shared" ca="1" si="76"/>
        <v>#NAME?</v>
      </c>
      <c r="M1435" s="10" t="s">
        <v>1430</v>
      </c>
      <c r="N1435" s="10">
        <f>(((I1430*1.96*160)/0.63)+(7.5/60)*5773920+(3.5/60)*5773920)*10^-6*50</f>
        <v>53.619759999999992</v>
      </c>
    </row>
    <row r="1436" spans="6:17" ht="13.2">
      <c r="K1436" s="20"/>
      <c r="L1436" s="37"/>
      <c r="M1436" s="10" t="s">
        <v>1432</v>
      </c>
      <c r="N1436" s="37"/>
    </row>
    <row r="1437" spans="6:17" ht="13.2">
      <c r="K1437" s="20"/>
      <c r="L1437" s="37"/>
      <c r="M1437" s="10" t="s">
        <v>1433</v>
      </c>
      <c r="N1437" s="37"/>
    </row>
    <row r="1438" spans="6:17" ht="13.2">
      <c r="K1438" s="20"/>
      <c r="L1438" s="37"/>
      <c r="M1438" s="10" t="s">
        <v>1434</v>
      </c>
      <c r="N1438" s="37"/>
    </row>
    <row r="1439" spans="6:17" ht="13.2">
      <c r="K1439" s="20"/>
      <c r="L1439" s="37"/>
      <c r="M1439" s="10" t="s">
        <v>1437</v>
      </c>
      <c r="N1439" s="37"/>
    </row>
    <row r="1440" spans="6:17" ht="13.2">
      <c r="K1440" s="20"/>
      <c r="L1440" s="37"/>
      <c r="M1440" s="10" t="s">
        <v>1474</v>
      </c>
      <c r="N1440" s="37"/>
    </row>
    <row r="1441" spans="6:17" ht="13.2">
      <c r="K1441" s="20"/>
      <c r="L1441" s="37"/>
      <c r="M1441" s="10" t="s">
        <v>1625</v>
      </c>
      <c r="N1441" s="37"/>
    </row>
    <row r="1442" spans="6:17" ht="13.2">
      <c r="K1442" s="20"/>
      <c r="L1442" s="37"/>
      <c r="M1442" s="20"/>
      <c r="N1442" s="37"/>
    </row>
    <row r="1443" spans="6:17" ht="13.2">
      <c r="K1443" s="20" t="s">
        <v>1441</v>
      </c>
      <c r="L1443" s="37" t="e">
        <f ca="1">SUM(L1429:L1435)</f>
        <v>#NAME?</v>
      </c>
      <c r="M1443" s="20" t="s">
        <v>1442</v>
      </c>
      <c r="N1443" s="37">
        <f>SUM(N1429:N1441)</f>
        <v>53.619759999999992</v>
      </c>
    </row>
    <row r="1444" spans="6:17" ht="13.2">
      <c r="K1444" s="20"/>
      <c r="L1444" s="37"/>
      <c r="M1444" s="20"/>
      <c r="N1444" s="37"/>
    </row>
    <row r="1445" spans="6:17" ht="13.2">
      <c r="F1445" s="184" t="s">
        <v>1017</v>
      </c>
      <c r="G1445" s="180"/>
      <c r="H1445" s="180"/>
      <c r="I1445" s="180"/>
      <c r="J1445" s="180"/>
      <c r="K1445" s="180"/>
      <c r="L1445" s="180"/>
      <c r="M1445" s="180"/>
      <c r="N1445" s="180"/>
      <c r="O1445" s="180"/>
    </row>
    <row r="1446" spans="6:17" ht="13.2">
      <c r="F1446" s="10" t="s">
        <v>1408</v>
      </c>
      <c r="G1446" s="10" t="s">
        <v>543</v>
      </c>
      <c r="H1446" s="10" t="s">
        <v>1409</v>
      </c>
      <c r="I1446" s="10" t="s">
        <v>1410</v>
      </c>
      <c r="J1446" s="10" t="s">
        <v>1411</v>
      </c>
      <c r="K1446" s="10" t="s">
        <v>1412</v>
      </c>
      <c r="L1446" s="10" t="s">
        <v>1413</v>
      </c>
      <c r="M1446" s="179" t="s">
        <v>1468</v>
      </c>
      <c r="N1446" s="180"/>
      <c r="O1446" s="10" t="s">
        <v>1415</v>
      </c>
    </row>
    <row r="1447" spans="6:17" ht="13.2">
      <c r="F1447" s="10" t="s">
        <v>1623</v>
      </c>
      <c r="G1447" s="10" t="s">
        <v>1510</v>
      </c>
      <c r="H1447" s="10" t="s">
        <v>1444</v>
      </c>
      <c r="I1447" s="10">
        <v>15</v>
      </c>
      <c r="J1447" s="43" t="e">
        <f t="array" aca="1" ref="J1447" ca="1">_xludf.XLOOKUP(F1447, analysis!A:A, analysis!I:I)</f>
        <v>#NAME?</v>
      </c>
      <c r="K1447" s="10" t="e">
        <f t="array" aca="1" ref="K1447" ca="1">_xludf.XLOOKUP(F1447, analysis!A:A, analysis!J:J)</f>
        <v>#NAME?</v>
      </c>
      <c r="L1447" s="10" t="e">
        <f t="shared" ref="L1447:L1453" ca="1" si="77">K1447*I1447*J1447/1000</f>
        <v>#NAME?</v>
      </c>
      <c r="M1447" s="10" t="s">
        <v>1417</v>
      </c>
      <c r="N1447" s="37"/>
      <c r="P1447" s="10" t="str">
        <f ca="1">IFERROR(__xludf.DUMMYFUNCTION("transpose(split(F1447,CHAR(10)))"),"dried yeast")</f>
        <v>dried yeast</v>
      </c>
      <c r="Q1447" s="10" t="str">
        <f ca="1">IFERROR(__xludf.DUMMYFUNCTION("transpose(split(G1447,CHAR(10)))"),"15g")</f>
        <v>15g</v>
      </c>
    </row>
    <row r="1448" spans="6:17" ht="13.2">
      <c r="F1448" s="10" t="s">
        <v>641</v>
      </c>
      <c r="G1448" s="10" t="s">
        <v>746</v>
      </c>
      <c r="H1448" s="10" t="s">
        <v>1422</v>
      </c>
      <c r="I1448" s="10">
        <f>15*0.95</f>
        <v>14.25</v>
      </c>
      <c r="J1448" s="43" t="e">
        <f t="array" aca="1" ref="J1448" ca="1">_xludf.XLOOKUP(F1448, analysis!A:A, analysis!I:I)</f>
        <v>#NAME?</v>
      </c>
      <c r="K1448" s="10" t="e">
        <f t="array" aca="1" ref="K1448" ca="1">_xludf.XLOOKUP(F1448, analysis!A:A, analysis!J:J)</f>
        <v>#NAME?</v>
      </c>
      <c r="L1448" s="10" t="e">
        <f t="shared" ca="1" si="77"/>
        <v>#NAME?</v>
      </c>
      <c r="M1448" s="10" t="s">
        <v>1420</v>
      </c>
      <c r="N1448" s="37"/>
    </row>
    <row r="1449" spans="6:17" ht="13.2">
      <c r="F1449" s="10" t="s">
        <v>646</v>
      </c>
      <c r="G1449" s="10" t="s">
        <v>746</v>
      </c>
      <c r="H1449" s="10" t="s">
        <v>1422</v>
      </c>
      <c r="I1449" s="10">
        <f>15*1.38</f>
        <v>20.7</v>
      </c>
      <c r="J1449" s="43" t="e">
        <f t="array" aca="1" ref="J1449" ca="1">_xludf.XLOOKUP(F1449, analysis!A:A, analysis!I:I)</f>
        <v>#NAME?</v>
      </c>
      <c r="K1449" s="10" t="e">
        <f t="array" aca="1" ref="K1449" ca="1">_xludf.XLOOKUP(F1449, analysis!A:A, analysis!J:J)</f>
        <v>#NAME?</v>
      </c>
      <c r="L1449" s="10" t="e">
        <f t="shared" ca="1" si="77"/>
        <v>#NAME?</v>
      </c>
      <c r="M1449" s="10" t="s">
        <v>1423</v>
      </c>
      <c r="N1449" s="37"/>
    </row>
    <row r="1450" spans="6:17" ht="13.2">
      <c r="F1450" s="10" t="s">
        <v>640</v>
      </c>
      <c r="G1450" s="10" t="s">
        <v>1672</v>
      </c>
      <c r="H1450" s="10" t="s">
        <v>1422</v>
      </c>
      <c r="I1450" s="10">
        <f>150*1.04</f>
        <v>156</v>
      </c>
      <c r="J1450" s="43" t="e">
        <f t="array" aca="1" ref="J1450" ca="1">_xludf.XLOOKUP(F1450, analysis!A:A, analysis!I:I)</f>
        <v>#NAME?</v>
      </c>
      <c r="K1450" s="10" t="e">
        <f t="array" aca="1" ref="K1450" ca="1">_xludf.XLOOKUP(F1450, analysis!A:A, analysis!J:J)</f>
        <v>#NAME?</v>
      </c>
      <c r="L1450" s="10" t="e">
        <f t="shared" ca="1" si="77"/>
        <v>#NAME?</v>
      </c>
      <c r="M1450" s="10" t="s">
        <v>1425</v>
      </c>
      <c r="N1450" s="37"/>
    </row>
    <row r="1451" spans="6:17" ht="13.2">
      <c r="F1451" s="10" t="s">
        <v>733</v>
      </c>
      <c r="G1451" s="10" t="s">
        <v>1506</v>
      </c>
      <c r="H1451" s="10" t="s">
        <v>1422</v>
      </c>
      <c r="I1451" s="10">
        <f>30*0.927</f>
        <v>27.810000000000002</v>
      </c>
      <c r="J1451" s="43" t="e">
        <f t="array" aca="1" ref="J1451" ca="1">_xludf.XLOOKUP(F1451, analysis!A:A, analysis!I:I)</f>
        <v>#NAME?</v>
      </c>
      <c r="K1451" s="10" t="e">
        <f t="array" aca="1" ref="K1451" ca="1">_xludf.XLOOKUP(F1451, analysis!A:A, analysis!J:J)</f>
        <v>#NAME?</v>
      </c>
      <c r="L1451" s="10" t="e">
        <f t="shared" ca="1" si="77"/>
        <v>#NAME?</v>
      </c>
      <c r="M1451" s="10" t="s">
        <v>1428</v>
      </c>
      <c r="N1451" s="37"/>
    </row>
    <row r="1452" spans="6:17" ht="13.2">
      <c r="F1452" s="10" t="s">
        <v>675</v>
      </c>
      <c r="G1452" s="10" t="s">
        <v>726</v>
      </c>
      <c r="H1452" s="10" t="s">
        <v>1444</v>
      </c>
      <c r="I1452" s="10">
        <v>350</v>
      </c>
      <c r="J1452" s="43" t="e">
        <f t="array" aca="1" ref="J1452" ca="1">_xludf.XLOOKUP(F1452, analysis!A:A, analysis!I:I)</f>
        <v>#NAME?</v>
      </c>
      <c r="K1452" s="10" t="e">
        <f t="array" aca="1" ref="K1452" ca="1">_xludf.XLOOKUP(F1452, analysis!A:A, analysis!J:J)</f>
        <v>#NAME?</v>
      </c>
      <c r="L1452" s="10" t="e">
        <f t="shared" ca="1" si="77"/>
        <v>#NAME?</v>
      </c>
      <c r="M1452" s="10" t="s">
        <v>1429</v>
      </c>
      <c r="N1452" s="37"/>
    </row>
    <row r="1453" spans="6:17" ht="13.2">
      <c r="F1453" s="10" t="s">
        <v>1463</v>
      </c>
      <c r="G1453" s="10" t="s">
        <v>753</v>
      </c>
      <c r="H1453" s="10" t="s">
        <v>1444</v>
      </c>
      <c r="I1453" s="10">
        <v>400</v>
      </c>
      <c r="J1453" s="43" t="e">
        <f t="array" aca="1" ref="J1453" ca="1">_xludf.XLOOKUP(F1453, analysis!A:A, analysis!I:I)</f>
        <v>#NAME?</v>
      </c>
      <c r="K1453" s="10" t="e">
        <f t="array" aca="1" ref="K1453" ca="1">_xludf.XLOOKUP(F1453, analysis!A:A, analysis!J:J)</f>
        <v>#NAME?</v>
      </c>
      <c r="L1453" s="10" t="e">
        <f t="shared" ca="1" si="77"/>
        <v>#NAME?</v>
      </c>
      <c r="M1453" s="10" t="s">
        <v>1430</v>
      </c>
      <c r="N1453" s="37"/>
    </row>
    <row r="1454" spans="6:17" ht="13.2">
      <c r="K1454" s="20"/>
      <c r="L1454" s="37"/>
      <c r="M1454" s="10" t="s">
        <v>1432</v>
      </c>
      <c r="N1454" s="10">
        <f>((1.012*1.2923*10^-3*70000*170/0.63)/0.13+(25/60)*5773920)*(10^-6)*50</f>
        <v>129.79116632478633</v>
      </c>
    </row>
    <row r="1455" spans="6:17" ht="13.2">
      <c r="K1455" s="20"/>
      <c r="L1455" s="37"/>
      <c r="M1455" s="10" t="s">
        <v>1433</v>
      </c>
      <c r="N1455" s="37"/>
    </row>
    <row r="1456" spans="6:17" ht="13.2">
      <c r="K1456" s="20"/>
      <c r="L1456" s="37"/>
      <c r="M1456" s="10" t="s">
        <v>1434</v>
      </c>
      <c r="N1456" s="37"/>
    </row>
    <row r="1457" spans="6:17" ht="13.2">
      <c r="K1457" s="20"/>
      <c r="L1457" s="37"/>
      <c r="M1457" s="10" t="s">
        <v>1437</v>
      </c>
      <c r="N1457" s="37"/>
    </row>
    <row r="1458" spans="6:17" ht="13.2">
      <c r="K1458" s="20"/>
      <c r="L1458" s="37"/>
      <c r="M1458" s="10" t="s">
        <v>1474</v>
      </c>
      <c r="N1458" s="37"/>
    </row>
    <row r="1459" spans="6:17" ht="13.2">
      <c r="K1459" s="20"/>
      <c r="L1459" s="37"/>
      <c r="M1459" s="10" t="s">
        <v>1625</v>
      </c>
      <c r="N1459" s="37"/>
    </row>
    <row r="1460" spans="6:17" ht="13.2">
      <c r="K1460" s="20"/>
      <c r="L1460" s="37"/>
      <c r="M1460" s="20"/>
      <c r="N1460" s="37"/>
    </row>
    <row r="1461" spans="6:17" ht="13.2">
      <c r="K1461" s="20" t="s">
        <v>1441</v>
      </c>
      <c r="L1461" s="37" t="e">
        <f ca="1">SUM(L1447:L1453)</f>
        <v>#NAME?</v>
      </c>
      <c r="M1461" s="20" t="s">
        <v>1442</v>
      </c>
      <c r="N1461" s="37">
        <f>SUM(N1447:N1459)</f>
        <v>129.79116632478633</v>
      </c>
    </row>
    <row r="1462" spans="6:17" ht="13.2">
      <c r="K1462" s="20"/>
      <c r="L1462" s="37"/>
      <c r="M1462" s="20"/>
      <c r="N1462" s="37"/>
    </row>
    <row r="1463" spans="6:17" ht="13.2">
      <c r="F1463" s="184" t="s">
        <v>1021</v>
      </c>
      <c r="G1463" s="180"/>
      <c r="H1463" s="180"/>
      <c r="I1463" s="180"/>
      <c r="J1463" s="180"/>
      <c r="K1463" s="180"/>
      <c r="L1463" s="180"/>
      <c r="M1463" s="180"/>
      <c r="N1463" s="180"/>
      <c r="O1463" s="180"/>
    </row>
    <row r="1464" spans="6:17" ht="13.2">
      <c r="F1464" s="10" t="s">
        <v>1408</v>
      </c>
      <c r="G1464" s="10" t="s">
        <v>543</v>
      </c>
      <c r="H1464" s="10" t="s">
        <v>1409</v>
      </c>
      <c r="I1464" s="10" t="s">
        <v>1410</v>
      </c>
      <c r="J1464" s="10" t="s">
        <v>1411</v>
      </c>
      <c r="K1464" s="10" t="s">
        <v>1412</v>
      </c>
      <c r="L1464" s="10" t="s">
        <v>1413</v>
      </c>
      <c r="M1464" s="179" t="s">
        <v>1468</v>
      </c>
      <c r="N1464" s="180"/>
      <c r="O1464" s="10" t="s">
        <v>1415</v>
      </c>
    </row>
    <row r="1465" spans="6:17" ht="13.2">
      <c r="F1465" s="10" t="s">
        <v>1698</v>
      </c>
      <c r="G1465" s="10" t="s">
        <v>723</v>
      </c>
      <c r="H1465" s="10" t="str">
        <f ca="1">IFERROR(__xludf.DUMMYFUNCTION("REGEXEXTRACT(G1465,""[A-Za-z]+"")"),"g")</f>
        <v>g</v>
      </c>
      <c r="I1465" s="10">
        <v>500</v>
      </c>
      <c r="J1465" s="43" t="e">
        <f t="array" aca="1" ref="J1465" ca="1">_xludf.XLOOKUP(F1465, analysis!A:A, analysis!I:I)</f>
        <v>#NAME?</v>
      </c>
      <c r="K1465" s="10" t="e">
        <f t="array" aca="1" ref="K1465" ca="1">_xludf.XLOOKUP(F1465, analysis!A:A, analysis!J:J)</f>
        <v>#NAME?</v>
      </c>
      <c r="L1465" s="10" t="e">
        <f t="shared" ref="L1465:L1471" ca="1" si="78">K1465*I1465*J1465/1000</f>
        <v>#NAME?</v>
      </c>
      <c r="M1465" s="10" t="s">
        <v>1417</v>
      </c>
      <c r="N1465" s="37"/>
      <c r="P1465" s="10" t="str">
        <f ca="1">IFERROR(__xludf.DUMMYFUNCTION("transpose(split(F1465,CHAR(10)))"),"cassava starch")</f>
        <v>cassava starch</v>
      </c>
      <c r="Q1465" s="10" t="str">
        <f ca="1">IFERROR(__xludf.DUMMYFUNCTION("transpose(split(G1465,CHAR(10)))"),"500g")</f>
        <v>500g</v>
      </c>
    </row>
    <row r="1466" spans="6:17" ht="13.2">
      <c r="F1466" s="10" t="s">
        <v>646</v>
      </c>
      <c r="G1466" s="10" t="s">
        <v>1713</v>
      </c>
      <c r="H1466" s="10" t="str">
        <f ca="1">IFERROR(__xludf.DUMMYFUNCTION("REGEXEXTRACT(G1466,""[A-Za-z]+"")"),"ml")</f>
        <v>ml</v>
      </c>
      <c r="I1466" s="10">
        <f>1.38*20</f>
        <v>27.599999999999998</v>
      </c>
      <c r="J1466" s="43" t="e">
        <f t="array" aca="1" ref="J1466" ca="1">_xludf.XLOOKUP(F1466, analysis!A:A, analysis!I:I)</f>
        <v>#NAME?</v>
      </c>
      <c r="K1466" s="10" t="e">
        <f t="array" aca="1" ref="K1466" ca="1">_xludf.XLOOKUP(F1466, analysis!A:A, analysis!J:J)</f>
        <v>#NAME?</v>
      </c>
      <c r="L1466" s="10" t="e">
        <f t="shared" ca="1" si="78"/>
        <v>#NAME?</v>
      </c>
      <c r="M1466" s="10" t="s">
        <v>1420</v>
      </c>
      <c r="N1466" s="37"/>
    </row>
    <row r="1467" spans="6:17" ht="13.2">
      <c r="F1467" s="10" t="s">
        <v>640</v>
      </c>
      <c r="G1467" s="10" t="s">
        <v>1629</v>
      </c>
      <c r="H1467" s="10" t="str">
        <f ca="1">IFERROR(__xludf.DUMMYFUNCTION("REGEXEXTRACT(G1467,""[A-Za-z]+"")"),"ml")</f>
        <v>ml</v>
      </c>
      <c r="I1467" s="10">
        <f>1.04*450</f>
        <v>468</v>
      </c>
      <c r="J1467" s="43" t="e">
        <f t="array" aca="1" ref="J1467" ca="1">_xludf.XLOOKUP(F1467, analysis!A:A, analysis!I:I)</f>
        <v>#NAME?</v>
      </c>
      <c r="K1467" s="10" t="e">
        <f t="array" aca="1" ref="K1467" ca="1">_xludf.XLOOKUP(F1467, analysis!A:A, analysis!J:J)</f>
        <v>#NAME?</v>
      </c>
      <c r="L1467" s="10" t="e">
        <f t="shared" ca="1" si="78"/>
        <v>#NAME?</v>
      </c>
      <c r="M1467" s="10" t="s">
        <v>1423</v>
      </c>
      <c r="N1467" s="37"/>
    </row>
    <row r="1468" spans="6:17" ht="13.2">
      <c r="F1468" s="10" t="s">
        <v>733</v>
      </c>
      <c r="G1468" s="10" t="s">
        <v>1595</v>
      </c>
      <c r="H1468" s="10" t="str">
        <f ca="1">IFERROR(__xludf.DUMMYFUNCTION("REGEXEXTRACT(G1468,""[A-Za-z]+"")"),"ml")</f>
        <v>ml</v>
      </c>
      <c r="I1468" s="10">
        <f>0.927*250</f>
        <v>231.75</v>
      </c>
      <c r="J1468" s="43" t="e">
        <f t="array" aca="1" ref="J1468" ca="1">_xludf.XLOOKUP(F1468, analysis!A:A, analysis!I:I)</f>
        <v>#NAME?</v>
      </c>
      <c r="K1468" s="10" t="e">
        <f t="array" aca="1" ref="K1468" ca="1">_xludf.XLOOKUP(F1468, analysis!A:A, analysis!J:J)</f>
        <v>#NAME?</v>
      </c>
      <c r="L1468" s="10" t="e">
        <f t="shared" ca="1" si="78"/>
        <v>#NAME?</v>
      </c>
      <c r="M1468" s="10" t="s">
        <v>1425</v>
      </c>
      <c r="N1468" s="37">
        <f>(((I1467*1.81*80/0.63)*(10^-6)*50))</f>
        <v>5.378285714285715</v>
      </c>
    </row>
    <row r="1469" spans="6:17" ht="13.2">
      <c r="F1469" s="10" t="s">
        <v>1714</v>
      </c>
      <c r="G1469" s="10" t="s">
        <v>1536</v>
      </c>
      <c r="H1469" s="10" t="str">
        <f ca="1">IFERROR(__xludf.DUMMYFUNCTION("REGEXEXTRACT(G1469,""[A-Za-z]+"")"),"g")</f>
        <v>g</v>
      </c>
      <c r="I1469" s="10">
        <v>225</v>
      </c>
      <c r="J1469" s="43" t="e">
        <f t="array" aca="1" ref="J1469" ca="1">_xludf.XLOOKUP(F1469, analysis!A:A, analysis!I:I)</f>
        <v>#NAME?</v>
      </c>
      <c r="K1469" s="10" t="e">
        <f t="array" aca="1" ref="K1469" ca="1">_xludf.XLOOKUP(F1469, analysis!A:A, analysis!J:J)</f>
        <v>#NAME?</v>
      </c>
      <c r="L1469" s="10" t="e">
        <f t="shared" ca="1" si="78"/>
        <v>#NAME?</v>
      </c>
      <c r="M1469" s="10" t="s">
        <v>1428</v>
      </c>
      <c r="N1469" s="37"/>
    </row>
    <row r="1470" spans="6:17" ht="13.2">
      <c r="F1470" s="10" t="s">
        <v>1485</v>
      </c>
      <c r="G1470" s="10" t="s">
        <v>1486</v>
      </c>
      <c r="H1470" s="10" t="str">
        <f ca="1">IFERROR(__xludf.DUMMYFUNCTION("REGEXEXTRACT(G1470,""[A-Za-z]+"")"),"g")</f>
        <v>g</v>
      </c>
      <c r="I1470" s="10">
        <v>100</v>
      </c>
      <c r="J1470" s="43" t="e">
        <f t="array" aca="1" ref="J1470" ca="1">_xludf.XLOOKUP(F1470, analysis!A:A, analysis!I:I)</f>
        <v>#NAME?</v>
      </c>
      <c r="K1470" s="10" t="e">
        <f t="array" aca="1" ref="K1470" ca="1">_xludf.XLOOKUP(F1470, analysis!A:A, analysis!J:J)</f>
        <v>#NAME?</v>
      </c>
      <c r="L1470" s="10" t="e">
        <f t="shared" ca="1" si="78"/>
        <v>#NAME?</v>
      </c>
      <c r="M1470" s="10" t="s">
        <v>1429</v>
      </c>
      <c r="N1470" s="37"/>
    </row>
    <row r="1471" spans="6:17" ht="13.2">
      <c r="F1471" s="10" t="s">
        <v>642</v>
      </c>
      <c r="G1471" s="10">
        <v>4</v>
      </c>
      <c r="H1471" s="10" t="s">
        <v>1416</v>
      </c>
      <c r="I1471" s="10">
        <f>45*4</f>
        <v>180</v>
      </c>
      <c r="J1471" s="43" t="e">
        <f t="array" aca="1" ref="J1471" ca="1">_xludf.XLOOKUP(F1471, analysis!A:A, analysis!I:I)</f>
        <v>#NAME?</v>
      </c>
      <c r="K1471" s="10" t="e">
        <f t="array" aca="1" ref="K1471" ca="1">_xludf.XLOOKUP(F1471, analysis!A:A, analysis!J:J)</f>
        <v>#NAME?</v>
      </c>
      <c r="L1471" s="10" t="e">
        <f t="shared" ca="1" si="78"/>
        <v>#NAME?</v>
      </c>
      <c r="M1471" s="10" t="s">
        <v>1430</v>
      </c>
      <c r="N1471" s="37"/>
    </row>
    <row r="1472" spans="6:17" ht="13.2">
      <c r="K1472" s="20"/>
      <c r="L1472" s="37"/>
      <c r="M1472" s="10" t="s">
        <v>1432</v>
      </c>
      <c r="N1472" s="10">
        <f>((1.012*1.2923*10^-3*70000*180/0.63)/0.13+(15/60)*5773920+(12.5/60)*5773920)*(10^-6)*50</f>
        <v>142.37905846153848</v>
      </c>
    </row>
    <row r="1473" spans="6:17" ht="13.2">
      <c r="K1473" s="20"/>
      <c r="L1473" s="37"/>
      <c r="M1473" s="10" t="s">
        <v>1433</v>
      </c>
      <c r="N1473" s="37"/>
    </row>
    <row r="1474" spans="6:17" ht="13.2">
      <c r="K1474" s="20"/>
      <c r="L1474" s="37"/>
      <c r="M1474" s="10" t="s">
        <v>1434</v>
      </c>
      <c r="N1474" s="37"/>
    </row>
    <row r="1475" spans="6:17" ht="13.2">
      <c r="K1475" s="20"/>
      <c r="L1475" s="37"/>
      <c r="M1475" s="10" t="s">
        <v>1437</v>
      </c>
      <c r="N1475" s="37"/>
    </row>
    <row r="1476" spans="6:17" ht="13.2">
      <c r="K1476" s="20"/>
      <c r="L1476" s="37"/>
      <c r="M1476" s="10" t="s">
        <v>1474</v>
      </c>
      <c r="N1476" s="37"/>
    </row>
    <row r="1477" spans="6:17" ht="13.2">
      <c r="K1477" s="20"/>
      <c r="L1477" s="37"/>
      <c r="M1477" s="10" t="s">
        <v>1625</v>
      </c>
      <c r="N1477" s="37"/>
    </row>
    <row r="1478" spans="6:17" ht="13.2">
      <c r="K1478" s="20"/>
      <c r="L1478" s="37"/>
      <c r="M1478" s="20"/>
      <c r="N1478" s="37"/>
    </row>
    <row r="1479" spans="6:17" ht="13.2">
      <c r="K1479" s="20" t="s">
        <v>1441</v>
      </c>
      <c r="L1479" s="37" t="e">
        <f ca="1">SUM(L1465:L1471)</f>
        <v>#NAME?</v>
      </c>
      <c r="M1479" s="20" t="s">
        <v>1442</v>
      </c>
      <c r="N1479" s="37">
        <f>SUM(N1465:N1477)</f>
        <v>147.75734417582419</v>
      </c>
    </row>
    <row r="1480" spans="6:17" ht="13.2">
      <c r="K1480" s="20"/>
      <c r="L1480" s="37"/>
      <c r="M1480" s="20"/>
      <c r="N1480" s="37"/>
    </row>
    <row r="1481" spans="6:17" ht="13.2">
      <c r="F1481" s="184" t="s">
        <v>1167</v>
      </c>
      <c r="G1481" s="180"/>
      <c r="H1481" s="180"/>
      <c r="I1481" s="180"/>
      <c r="J1481" s="180"/>
      <c r="K1481" s="180"/>
      <c r="L1481" s="180"/>
      <c r="M1481" s="180"/>
      <c r="N1481" s="180"/>
      <c r="O1481" s="180"/>
    </row>
    <row r="1482" spans="6:17" ht="13.2">
      <c r="F1482" s="10" t="s">
        <v>1408</v>
      </c>
      <c r="G1482" s="10" t="s">
        <v>543</v>
      </c>
      <c r="H1482" s="10" t="s">
        <v>1409</v>
      </c>
      <c r="I1482" s="10" t="s">
        <v>1410</v>
      </c>
      <c r="J1482" s="10" t="s">
        <v>1411</v>
      </c>
      <c r="K1482" s="10" t="s">
        <v>1412</v>
      </c>
      <c r="L1482" s="10" t="s">
        <v>1413</v>
      </c>
      <c r="M1482" s="179" t="s">
        <v>1468</v>
      </c>
      <c r="N1482" s="180"/>
      <c r="O1482" s="10" t="s">
        <v>1415</v>
      </c>
    </row>
    <row r="1483" spans="6:17" ht="13.2">
      <c r="F1483" s="18" t="s">
        <v>1715</v>
      </c>
      <c r="G1483" s="18">
        <v>8</v>
      </c>
      <c r="H1483" s="10" t="s">
        <v>1416</v>
      </c>
      <c r="I1483" s="10">
        <f>8*100</f>
        <v>800</v>
      </c>
      <c r="J1483" s="43" t="e">
        <f t="array" aca="1" ref="J1483" ca="1">_xludf.XLOOKUP(F1483, analysis!A:A, analysis!I:I)</f>
        <v>#NAME?</v>
      </c>
      <c r="K1483" s="10" t="e">
        <f t="array" aca="1" ref="K1483" ca="1">_xludf.XLOOKUP(F1483, analysis!A:A, analysis!J:J)</f>
        <v>#NAME?</v>
      </c>
      <c r="L1483" s="10" t="e">
        <f t="shared" ref="L1483:L1488" ca="1" si="79">K1483*I1483*J1483/1000</f>
        <v>#NAME?</v>
      </c>
      <c r="M1483" s="10" t="s">
        <v>1417</v>
      </c>
      <c r="N1483" s="37"/>
      <c r="P1483" s="10" t="str">
        <f ca="1">IFERROR(__xludf.DUMMYFUNCTION("transpose(split(F1483,CHAR(10)))"),"corncob")</f>
        <v>corncob</v>
      </c>
      <c r="Q1483" s="10">
        <f ca="1">IFERROR(__xludf.DUMMYFUNCTION("transpose(split(G1483,CHAR(10)))"),8)</f>
        <v>8</v>
      </c>
    </row>
    <row r="1484" spans="6:17" ht="13.2">
      <c r="F1484" s="10" t="s">
        <v>641</v>
      </c>
      <c r="G1484" s="10" t="s">
        <v>1621</v>
      </c>
      <c r="H1484" s="10" t="s">
        <v>1489</v>
      </c>
      <c r="I1484" s="10">
        <f>0.95*5/2</f>
        <v>2.375</v>
      </c>
      <c r="J1484" s="43" t="e">
        <f t="array" aca="1" ref="J1484" ca="1">_xludf.XLOOKUP(F1484, analysis!A:A, analysis!I:I)</f>
        <v>#NAME?</v>
      </c>
      <c r="K1484" s="10" t="e">
        <f t="array" aca="1" ref="K1484" ca="1">_xludf.XLOOKUP(F1484, analysis!A:A, analysis!J:J)</f>
        <v>#NAME?</v>
      </c>
      <c r="L1484" s="10" t="e">
        <f t="shared" ca="1" si="79"/>
        <v>#NAME?</v>
      </c>
      <c r="M1484" s="10" t="s">
        <v>1420</v>
      </c>
      <c r="N1484" s="37">
        <f>1.1*(5/60)*59.9</f>
        <v>5.4908333333333337</v>
      </c>
    </row>
    <row r="1485" spans="6:17" ht="13.2">
      <c r="F1485" s="10" t="s">
        <v>640</v>
      </c>
      <c r="G1485" s="10" t="s">
        <v>1564</v>
      </c>
      <c r="H1485" s="10" t="s">
        <v>1422</v>
      </c>
      <c r="I1485" s="10">
        <f>1.04*80</f>
        <v>83.2</v>
      </c>
      <c r="J1485" s="43" t="e">
        <f t="array" aca="1" ref="J1485" ca="1">_xludf.XLOOKUP(F1485, analysis!A:A, analysis!I:I)</f>
        <v>#NAME?</v>
      </c>
      <c r="K1485" s="10" t="e">
        <f t="array" aca="1" ref="K1485" ca="1">_xludf.XLOOKUP(F1485, analysis!A:A, analysis!J:J)</f>
        <v>#NAME?</v>
      </c>
      <c r="L1485" s="10" t="e">
        <f t="shared" ca="1" si="79"/>
        <v>#NAME?</v>
      </c>
      <c r="M1485" s="10" t="s">
        <v>1423</v>
      </c>
      <c r="N1485" s="37"/>
    </row>
    <row r="1486" spans="6:17" ht="13.2">
      <c r="F1486" s="10" t="s">
        <v>646</v>
      </c>
      <c r="G1486" s="10" t="s">
        <v>1621</v>
      </c>
      <c r="H1486" s="10" t="s">
        <v>1489</v>
      </c>
      <c r="I1486" s="10">
        <f>1.38*5/2</f>
        <v>3.4499999999999997</v>
      </c>
      <c r="J1486" s="43" t="e">
        <f t="array" aca="1" ref="J1486" ca="1">_xludf.XLOOKUP(F1486, analysis!A:A, analysis!I:I)</f>
        <v>#NAME?</v>
      </c>
      <c r="K1486" s="10" t="e">
        <f t="array" aca="1" ref="K1486" ca="1">_xludf.XLOOKUP(F1486, analysis!A:A, analysis!J:J)</f>
        <v>#NAME?</v>
      </c>
      <c r="L1486" s="10" t="e">
        <f t="shared" ca="1" si="79"/>
        <v>#NAME?</v>
      </c>
      <c r="M1486" s="10" t="s">
        <v>1425</v>
      </c>
      <c r="N1486" s="37"/>
    </row>
    <row r="1487" spans="6:17" ht="13.2">
      <c r="F1487" s="10" t="s">
        <v>652</v>
      </c>
      <c r="G1487" s="10" t="s">
        <v>1515</v>
      </c>
      <c r="H1487" s="10" t="s">
        <v>1444</v>
      </c>
      <c r="I1487" s="10">
        <v>42</v>
      </c>
      <c r="J1487" s="43" t="e">
        <f t="array" aca="1" ref="J1487" ca="1">_xludf.XLOOKUP(F1487, analysis!A:A, analysis!I:I)</f>
        <v>#NAME?</v>
      </c>
      <c r="K1487" s="10" t="e">
        <f t="array" aca="1" ref="K1487" ca="1">_xludf.XLOOKUP(F1487, analysis!A:A, analysis!J:J)</f>
        <v>#NAME?</v>
      </c>
      <c r="L1487" s="10" t="e">
        <f t="shared" ca="1" si="79"/>
        <v>#NAME?</v>
      </c>
      <c r="M1487" s="10" t="s">
        <v>1428</v>
      </c>
      <c r="N1487" s="37"/>
    </row>
    <row r="1488" spans="6:17" ht="13.2">
      <c r="F1488" s="10" t="s">
        <v>1485</v>
      </c>
      <c r="G1488" s="10" t="s">
        <v>1549</v>
      </c>
      <c r="H1488" s="10" t="s">
        <v>1444</v>
      </c>
      <c r="I1488" s="10">
        <v>50</v>
      </c>
      <c r="J1488" s="43" t="e">
        <f t="array" aca="1" ref="J1488" ca="1">_xludf.XLOOKUP(F1488, analysis!A:A, analysis!I:I)</f>
        <v>#NAME?</v>
      </c>
      <c r="K1488" s="10" t="e">
        <f t="array" aca="1" ref="K1488" ca="1">_xludf.XLOOKUP(F1488, analysis!A:A, analysis!J:J)</f>
        <v>#NAME?</v>
      </c>
      <c r="L1488" s="10" t="e">
        <f t="shared" ca="1" si="79"/>
        <v>#NAME?</v>
      </c>
      <c r="M1488" s="10" t="s">
        <v>1429</v>
      </c>
      <c r="N1488" s="37"/>
    </row>
    <row r="1489" spans="6:17" ht="13.2">
      <c r="K1489" s="20"/>
      <c r="L1489" s="37"/>
      <c r="M1489" s="10" t="s">
        <v>1430</v>
      </c>
      <c r="N1489" s="37"/>
    </row>
    <row r="1490" spans="6:17" ht="13.2">
      <c r="K1490" s="20"/>
      <c r="L1490" s="37"/>
      <c r="M1490" s="10" t="s">
        <v>1432</v>
      </c>
      <c r="N1490" s="10">
        <f>((1.012*1.2923*10^-3*70000*160/0.63)/0.13+(45/60)*5773920+(52.5/60)*5773920)*(10^-6)*50</f>
        <v>478.07327418803425</v>
      </c>
    </row>
    <row r="1491" spans="6:17" ht="13.2">
      <c r="K1491" s="20"/>
      <c r="L1491" s="37"/>
      <c r="M1491" s="10" t="s">
        <v>1433</v>
      </c>
      <c r="N1491" s="37"/>
    </row>
    <row r="1492" spans="6:17" ht="13.2">
      <c r="K1492" s="20"/>
      <c r="L1492" s="37"/>
      <c r="M1492" s="10" t="s">
        <v>1434</v>
      </c>
      <c r="N1492" s="37"/>
    </row>
    <row r="1493" spans="6:17" ht="13.2">
      <c r="K1493" s="20"/>
      <c r="L1493" s="37"/>
      <c r="M1493" s="10" t="s">
        <v>1437</v>
      </c>
      <c r="N1493" s="37"/>
    </row>
    <row r="1494" spans="6:17" ht="13.2">
      <c r="K1494" s="20"/>
      <c r="L1494" s="37"/>
      <c r="M1494" s="10" t="s">
        <v>1474</v>
      </c>
      <c r="N1494" s="37"/>
    </row>
    <row r="1495" spans="6:17" ht="13.2">
      <c r="K1495" s="20"/>
      <c r="L1495" s="37"/>
      <c r="M1495" s="10" t="s">
        <v>1625</v>
      </c>
      <c r="N1495" s="37"/>
    </row>
    <row r="1496" spans="6:17" ht="13.2">
      <c r="K1496" s="20"/>
      <c r="L1496" s="37"/>
      <c r="M1496" s="20"/>
      <c r="N1496" s="37"/>
    </row>
    <row r="1497" spans="6:17" ht="13.2">
      <c r="K1497" s="20" t="s">
        <v>1441</v>
      </c>
      <c r="L1497" s="37" t="e">
        <f ca="1">SUM(L1483:L1488)</f>
        <v>#NAME?</v>
      </c>
      <c r="M1497" s="20" t="s">
        <v>1442</v>
      </c>
      <c r="N1497" s="37">
        <f>SUM(N1483:N1495)</f>
        <v>483.56410752136759</v>
      </c>
    </row>
    <row r="1498" spans="6:17" ht="13.2">
      <c r="K1498" s="20"/>
      <c r="L1498" s="37"/>
      <c r="M1498" s="20"/>
      <c r="N1498" s="37"/>
    </row>
    <row r="1499" spans="6:17" ht="13.2">
      <c r="F1499" s="184" t="s">
        <v>1171</v>
      </c>
      <c r="G1499" s="180"/>
      <c r="H1499" s="180"/>
      <c r="I1499" s="180"/>
      <c r="J1499" s="180"/>
      <c r="K1499" s="180"/>
      <c r="L1499" s="180"/>
      <c r="M1499" s="180"/>
      <c r="N1499" s="180"/>
      <c r="O1499" s="180"/>
    </row>
    <row r="1500" spans="6:17" ht="13.2">
      <c r="F1500" s="10" t="s">
        <v>1408</v>
      </c>
      <c r="G1500" s="10" t="s">
        <v>543</v>
      </c>
      <c r="H1500" s="10" t="s">
        <v>1409</v>
      </c>
      <c r="I1500" s="10" t="s">
        <v>1410</v>
      </c>
      <c r="J1500" s="10" t="s">
        <v>1411</v>
      </c>
      <c r="K1500" s="10" t="s">
        <v>1412</v>
      </c>
      <c r="L1500" s="10" t="s">
        <v>1413</v>
      </c>
      <c r="M1500" s="179" t="s">
        <v>1468</v>
      </c>
      <c r="N1500" s="180"/>
      <c r="O1500" s="10" t="s">
        <v>1415</v>
      </c>
    </row>
    <row r="1501" spans="6:17" ht="13.2">
      <c r="F1501" s="18" t="s">
        <v>1716</v>
      </c>
      <c r="G1501" s="18" t="s">
        <v>1497</v>
      </c>
      <c r="H1501" s="10" t="s">
        <v>1444</v>
      </c>
      <c r="I1501" s="10">
        <v>907</v>
      </c>
      <c r="J1501" s="43" t="e">
        <f t="array" aca="1" ref="J1501" ca="1">_xludf.XLOOKUP(F1501, analysis!A:A, analysis!I:I)</f>
        <v>#NAME?</v>
      </c>
      <c r="K1501" s="10" t="e">
        <f t="array" aca="1" ref="K1501" ca="1">_xludf.XLOOKUP(F1501, analysis!A:A, analysis!J:J)</f>
        <v>#NAME?</v>
      </c>
      <c r="L1501" s="10" t="e">
        <f t="shared" ref="L1501:L1508" ca="1" si="80">K1501*I1501*J1501/1000</f>
        <v>#NAME?</v>
      </c>
      <c r="M1501" s="10" t="s">
        <v>1417</v>
      </c>
      <c r="N1501" s="37"/>
      <c r="P1501" s="10" t="str">
        <f ca="1">IFERROR(__xludf.DUMMYFUNCTION("transpose(split(F1501,CHAR(10)))"),"pumpkin")</f>
        <v>pumpkin</v>
      </c>
      <c r="Q1501" s="10" t="str">
        <f ca="1">IFERROR(__xludf.DUMMYFUNCTION("transpose(split(G1501,CHAR(10)))"),"907g")</f>
        <v>907g</v>
      </c>
    </row>
    <row r="1502" spans="6:17" ht="13.2">
      <c r="F1502" s="10" t="s">
        <v>646</v>
      </c>
      <c r="G1502" s="10" t="s">
        <v>1439</v>
      </c>
      <c r="H1502" s="10">
        <v>0</v>
      </c>
      <c r="I1502" s="10">
        <v>0</v>
      </c>
      <c r="J1502" s="43" t="e">
        <f t="array" aca="1" ref="J1502" ca="1">_xludf.XLOOKUP(F1502, analysis!A:A, analysis!I:I)</f>
        <v>#NAME?</v>
      </c>
      <c r="K1502" s="10" t="e">
        <f t="array" aca="1" ref="K1502" ca="1">_xludf.XLOOKUP(F1502, analysis!A:A, analysis!J:J)</f>
        <v>#NAME?</v>
      </c>
      <c r="L1502" s="10" t="e">
        <f t="shared" ca="1" si="80"/>
        <v>#NAME?</v>
      </c>
      <c r="M1502" s="10" t="s">
        <v>1420</v>
      </c>
      <c r="N1502" s="37"/>
    </row>
    <row r="1503" spans="6:17" ht="13.2">
      <c r="F1503" s="10" t="s">
        <v>1421</v>
      </c>
      <c r="G1503" s="10" t="s">
        <v>1509</v>
      </c>
      <c r="H1503" s="10" t="s">
        <v>1489</v>
      </c>
      <c r="I1503" s="10">
        <f>5*0.914</f>
        <v>4.57</v>
      </c>
      <c r="J1503" s="43" t="e">
        <f t="array" aca="1" ref="J1503" ca="1">_xludf.XLOOKUP(F1503, analysis!A:A, analysis!I:I)</f>
        <v>#NAME?</v>
      </c>
      <c r="K1503" s="10" t="e">
        <f t="array" aca="1" ref="K1503" ca="1">_xludf.XLOOKUP(F1503, analysis!A:A, analysis!J:J)</f>
        <v>#NAME?</v>
      </c>
      <c r="L1503" s="10" t="e">
        <f t="shared" ca="1" si="80"/>
        <v>#NAME?</v>
      </c>
      <c r="M1503" s="10" t="s">
        <v>1423</v>
      </c>
      <c r="N1503" s="37"/>
    </row>
    <row r="1504" spans="6:17" ht="13.2">
      <c r="F1504" s="10" t="s">
        <v>652</v>
      </c>
      <c r="G1504" s="10" t="s">
        <v>1717</v>
      </c>
      <c r="H1504" s="10" t="s">
        <v>1444</v>
      </c>
      <c r="I1504" s="10">
        <v>71</v>
      </c>
      <c r="J1504" s="43" t="e">
        <f t="array" aca="1" ref="J1504" ca="1">_xludf.XLOOKUP(F1504, analysis!A:A, analysis!I:I)</f>
        <v>#NAME?</v>
      </c>
      <c r="K1504" s="10" t="e">
        <f t="array" aca="1" ref="K1504" ca="1">_xludf.XLOOKUP(F1504, analysis!A:A, analysis!J:J)</f>
        <v>#NAME?</v>
      </c>
      <c r="L1504" s="10" t="e">
        <f t="shared" ca="1" si="80"/>
        <v>#NAME?</v>
      </c>
      <c r="M1504" s="10" t="s">
        <v>1425</v>
      </c>
      <c r="N1504" s="37">
        <f>(((2/3*1400*4.2*80/0.63+(5.5/60)*5773920)*(10^-6)*50))</f>
        <v>51.352688888888885</v>
      </c>
    </row>
    <row r="1505" spans="6:17" ht="13.2">
      <c r="F1505" s="10" t="s">
        <v>651</v>
      </c>
      <c r="G1505" s="10">
        <v>1</v>
      </c>
      <c r="H1505" s="10" t="s">
        <v>1416</v>
      </c>
      <c r="I1505" s="10">
        <v>70</v>
      </c>
      <c r="J1505" s="43" t="e">
        <f t="array" aca="1" ref="J1505" ca="1">_xludf.XLOOKUP(F1505, analysis!A:A, analysis!I:I)</f>
        <v>#NAME?</v>
      </c>
      <c r="K1505" s="10" t="e">
        <f t="array" aca="1" ref="K1505" ca="1">_xludf.XLOOKUP(F1505, analysis!A:A, analysis!J:J)</f>
        <v>#NAME?</v>
      </c>
      <c r="L1505" s="10" t="e">
        <f t="shared" ca="1" si="80"/>
        <v>#NAME?</v>
      </c>
      <c r="M1505" s="10" t="s">
        <v>1428</v>
      </c>
      <c r="N1505" s="37"/>
    </row>
    <row r="1506" spans="6:17" ht="13.2">
      <c r="F1506" s="10" t="s">
        <v>737</v>
      </c>
      <c r="G1506" s="10">
        <v>4</v>
      </c>
      <c r="H1506" s="10" t="s">
        <v>1416</v>
      </c>
      <c r="I1506" s="10">
        <f>4*4.4</f>
        <v>17.600000000000001</v>
      </c>
      <c r="J1506" s="43" t="e">
        <f t="array" aca="1" ref="J1506" ca="1">_xludf.XLOOKUP(F1506, analysis!A:A, analysis!I:I)</f>
        <v>#NAME?</v>
      </c>
      <c r="K1506" s="10" t="e">
        <f t="array" aca="1" ref="K1506" ca="1">_xludf.XLOOKUP(F1506, analysis!A:A, analysis!J:J)</f>
        <v>#NAME?</v>
      </c>
      <c r="L1506" s="10" t="e">
        <f t="shared" ca="1" si="80"/>
        <v>#NAME?</v>
      </c>
      <c r="M1506" s="10" t="s">
        <v>1429</v>
      </c>
      <c r="N1506" s="37"/>
    </row>
    <row r="1507" spans="6:17" ht="13.2">
      <c r="F1507" s="10" t="s">
        <v>1440</v>
      </c>
      <c r="G1507" s="10" t="s">
        <v>1439</v>
      </c>
      <c r="H1507" s="10">
        <v>0</v>
      </c>
      <c r="I1507" s="10">
        <v>0</v>
      </c>
      <c r="J1507" s="43" t="e">
        <f t="array" aca="1" ref="J1507" ca="1">_xludf.XLOOKUP(F1507, analysis!A:A, analysis!I:I)</f>
        <v>#NAME?</v>
      </c>
      <c r="K1507" s="10" t="e">
        <f t="array" aca="1" ref="K1507" ca="1">_xludf.XLOOKUP(F1507, analysis!A:A, analysis!J:J)</f>
        <v>#NAME?</v>
      </c>
      <c r="L1507" s="10" t="e">
        <f t="shared" ca="1" si="80"/>
        <v>#NAME?</v>
      </c>
      <c r="M1507" s="10" t="s">
        <v>1430</v>
      </c>
      <c r="N1507" s="10">
        <f>(((I1503*1.96*160)/0.63)+(28*60)+(3/60)*5773920+(0.5/60)*5773920)*10^-6*50</f>
        <v>17.038342222222223</v>
      </c>
    </row>
    <row r="1508" spans="6:17" ht="13.2">
      <c r="F1508" s="10" t="s">
        <v>1449</v>
      </c>
      <c r="G1508" s="10" t="s">
        <v>1528</v>
      </c>
      <c r="H1508" s="10" t="s">
        <v>1444</v>
      </c>
      <c r="I1508" s="10">
        <v>21</v>
      </c>
      <c r="J1508" s="43" t="e">
        <f t="array" aca="1" ref="J1508" ca="1">_xludf.XLOOKUP(F1508, analysis!A:A, analysis!I:I)</f>
        <v>#NAME?</v>
      </c>
      <c r="K1508" s="10" t="e">
        <f t="array" aca="1" ref="K1508" ca="1">_xludf.XLOOKUP(F1508, analysis!A:A, analysis!J:J)</f>
        <v>#NAME?</v>
      </c>
      <c r="L1508" s="10" t="e">
        <f t="shared" ca="1" si="80"/>
        <v>#NAME?</v>
      </c>
      <c r="M1508" s="10" t="s">
        <v>1432</v>
      </c>
      <c r="N1508" s="37"/>
    </row>
    <row r="1509" spans="6:17" ht="13.2">
      <c r="K1509" s="20"/>
      <c r="L1509" s="37"/>
      <c r="M1509" s="10" t="s">
        <v>1433</v>
      </c>
      <c r="N1509" s="37"/>
    </row>
    <row r="1510" spans="6:17" ht="13.2">
      <c r="K1510" s="20"/>
      <c r="L1510" s="37"/>
      <c r="M1510" s="10" t="s">
        <v>1434</v>
      </c>
      <c r="N1510" s="37"/>
    </row>
    <row r="1511" spans="6:17" ht="13.2">
      <c r="K1511" s="20"/>
      <c r="L1511" s="37"/>
      <c r="M1511" s="10" t="s">
        <v>1437</v>
      </c>
      <c r="N1511" s="37"/>
    </row>
    <row r="1512" spans="6:17" ht="13.2">
      <c r="K1512" s="20"/>
      <c r="L1512" s="37"/>
      <c r="M1512" s="10" t="s">
        <v>1474</v>
      </c>
      <c r="N1512" s="37"/>
    </row>
    <row r="1513" spans="6:17" ht="13.2">
      <c r="K1513" s="20"/>
      <c r="L1513" s="37"/>
      <c r="M1513" s="10" t="s">
        <v>1625</v>
      </c>
      <c r="N1513" s="37"/>
    </row>
    <row r="1514" spans="6:17" ht="13.2">
      <c r="K1514" s="20"/>
      <c r="L1514" s="37"/>
      <c r="M1514" s="20"/>
      <c r="N1514" s="37"/>
    </row>
    <row r="1515" spans="6:17" ht="13.2">
      <c r="K1515" s="20" t="s">
        <v>1441</v>
      </c>
      <c r="L1515" s="37" t="e">
        <f ca="1">SUM(L1501:L1508)</f>
        <v>#NAME?</v>
      </c>
      <c r="M1515" s="20" t="s">
        <v>1442</v>
      </c>
      <c r="N1515" s="37">
        <f>SUM(N1501:N1513)</f>
        <v>68.391031111111104</v>
      </c>
    </row>
    <row r="1516" spans="6:17" ht="13.2">
      <c r="K1516" s="20"/>
      <c r="L1516" s="37"/>
      <c r="M1516" s="20"/>
      <c r="N1516" s="37"/>
    </row>
    <row r="1517" spans="6:17" ht="13.2">
      <c r="F1517" s="184" t="s">
        <v>1175</v>
      </c>
      <c r="G1517" s="180"/>
      <c r="H1517" s="180"/>
      <c r="I1517" s="180"/>
      <c r="J1517" s="180"/>
      <c r="K1517" s="180"/>
      <c r="L1517" s="180"/>
      <c r="M1517" s="180"/>
      <c r="N1517" s="180"/>
      <c r="O1517" s="180"/>
    </row>
    <row r="1518" spans="6:17" ht="13.2">
      <c r="F1518" s="10" t="s">
        <v>1408</v>
      </c>
      <c r="G1518" s="10" t="s">
        <v>543</v>
      </c>
      <c r="H1518" s="10" t="s">
        <v>1409</v>
      </c>
      <c r="I1518" s="10" t="s">
        <v>1410</v>
      </c>
      <c r="J1518" s="10" t="s">
        <v>1411</v>
      </c>
      <c r="K1518" s="10" t="s">
        <v>1412</v>
      </c>
      <c r="L1518" s="10" t="s">
        <v>1413</v>
      </c>
      <c r="M1518" s="179" t="s">
        <v>1468</v>
      </c>
      <c r="N1518" s="180"/>
      <c r="O1518" s="10" t="s">
        <v>1415</v>
      </c>
    </row>
    <row r="1519" spans="6:17" ht="13.2">
      <c r="F1519" s="18" t="s">
        <v>1715</v>
      </c>
      <c r="G1519" s="18">
        <v>8</v>
      </c>
      <c r="H1519" s="10" t="s">
        <v>1416</v>
      </c>
      <c r="I1519" s="10">
        <f>8*100</f>
        <v>800</v>
      </c>
      <c r="J1519" s="43" t="e">
        <f t="array" aca="1" ref="J1519" ca="1">_xludf.XLOOKUP(F1519, analysis!A:A, analysis!I:I)</f>
        <v>#NAME?</v>
      </c>
      <c r="K1519" s="10" t="e">
        <f t="array" aca="1" ref="K1519" ca="1">_xludf.XLOOKUP(F1519, analysis!A:A, analysis!J:J)</f>
        <v>#NAME?</v>
      </c>
      <c r="L1519" s="10" t="e">
        <f t="shared" ref="L1519:L1523" ca="1" si="81">K1519*I1519*J1519/1000</f>
        <v>#NAME?</v>
      </c>
      <c r="M1519" s="10" t="s">
        <v>1417</v>
      </c>
      <c r="N1519" s="37"/>
      <c r="P1519" s="10" t="str">
        <f ca="1">IFERROR(__xludf.DUMMYFUNCTION("transpose(split(F1519,CHAR(10)))"),"corncob")</f>
        <v>corncob</v>
      </c>
      <c r="Q1519" s="10">
        <f ca="1">IFERROR(__xludf.DUMMYFUNCTION("transpose(split(G1519,CHAR(10)))"),8)</f>
        <v>8</v>
      </c>
    </row>
    <row r="1520" spans="6:17" ht="13.2">
      <c r="F1520" s="10" t="s">
        <v>653</v>
      </c>
      <c r="G1520" s="10" t="s">
        <v>1492</v>
      </c>
      <c r="H1520" s="10" t="s">
        <v>1422</v>
      </c>
      <c r="I1520" s="10">
        <v>240</v>
      </c>
      <c r="J1520" s="43" t="e">
        <f t="array" aca="1" ref="J1520" ca="1">_xludf.XLOOKUP(F1520, analysis!A:A, analysis!I:I)</f>
        <v>#NAME?</v>
      </c>
      <c r="K1520" s="10" t="e">
        <f t="array" aca="1" ref="K1520" ca="1">_xludf.XLOOKUP(F1520, analysis!A:A, analysis!J:J)</f>
        <v>#NAME?</v>
      </c>
      <c r="L1520" s="10" t="e">
        <f t="shared" ca="1" si="81"/>
        <v>#NAME?</v>
      </c>
      <c r="M1520" s="10" t="s">
        <v>1420</v>
      </c>
      <c r="N1520" s="37">
        <f>1.1*(5/60)*59.9</f>
        <v>5.4908333333333337</v>
      </c>
    </row>
    <row r="1521" spans="6:15" ht="13.2">
      <c r="F1521" s="10" t="s">
        <v>646</v>
      </c>
      <c r="G1521" s="10" t="s">
        <v>1439</v>
      </c>
      <c r="H1521" s="10">
        <v>0</v>
      </c>
      <c r="I1521" s="10">
        <v>0</v>
      </c>
      <c r="J1521" s="43" t="e">
        <f t="array" aca="1" ref="J1521" ca="1">_xludf.XLOOKUP(F1521, analysis!A:A, analysis!I:I)</f>
        <v>#NAME?</v>
      </c>
      <c r="K1521" s="10" t="e">
        <f t="array" aca="1" ref="K1521" ca="1">_xludf.XLOOKUP(F1521, analysis!A:A, analysis!J:J)</f>
        <v>#NAME?</v>
      </c>
      <c r="L1521" s="10" t="e">
        <f t="shared" ca="1" si="81"/>
        <v>#NAME?</v>
      </c>
      <c r="M1521" s="10" t="s">
        <v>1423</v>
      </c>
      <c r="N1521" s="37"/>
    </row>
    <row r="1522" spans="6:15" ht="13.2">
      <c r="F1522" s="10" t="s">
        <v>1485</v>
      </c>
      <c r="G1522" s="10" t="s">
        <v>1549</v>
      </c>
      <c r="H1522" s="10" t="s">
        <v>1444</v>
      </c>
      <c r="I1522" s="10">
        <v>50</v>
      </c>
      <c r="J1522" s="43" t="e">
        <f t="array" aca="1" ref="J1522" ca="1">_xludf.XLOOKUP(F1522, analysis!A:A, analysis!I:I)</f>
        <v>#NAME?</v>
      </c>
      <c r="K1522" s="10" t="e">
        <f t="array" aca="1" ref="K1522" ca="1">_xludf.XLOOKUP(F1522, analysis!A:A, analysis!J:J)</f>
        <v>#NAME?</v>
      </c>
      <c r="L1522" s="10" t="e">
        <f t="shared" ca="1" si="81"/>
        <v>#NAME?</v>
      </c>
      <c r="M1522" s="10" t="s">
        <v>1425</v>
      </c>
      <c r="N1522" s="37"/>
    </row>
    <row r="1523" spans="6:15" ht="13.2">
      <c r="F1523" s="10" t="s">
        <v>652</v>
      </c>
      <c r="G1523" s="10" t="s">
        <v>1572</v>
      </c>
      <c r="H1523" s="10" t="s">
        <v>1444</v>
      </c>
      <c r="I1523" s="10">
        <v>28</v>
      </c>
      <c r="J1523" s="43" t="e">
        <f t="array" aca="1" ref="J1523" ca="1">_xludf.XLOOKUP(F1523, analysis!A:A, analysis!I:I)</f>
        <v>#NAME?</v>
      </c>
      <c r="K1523" s="10" t="e">
        <f t="array" aca="1" ref="K1523" ca="1">_xludf.XLOOKUP(F1523, analysis!A:A, analysis!J:J)</f>
        <v>#NAME?</v>
      </c>
      <c r="L1523" s="10" t="e">
        <f t="shared" ca="1" si="81"/>
        <v>#NAME?</v>
      </c>
      <c r="M1523" s="10" t="s">
        <v>1428</v>
      </c>
      <c r="N1523" s="37"/>
    </row>
    <row r="1524" spans="6:15" ht="13.2">
      <c r="K1524" s="20"/>
      <c r="L1524" s="37"/>
      <c r="M1524" s="10" t="s">
        <v>1429</v>
      </c>
      <c r="N1524" s="37"/>
    </row>
    <row r="1525" spans="6:15" ht="13.2">
      <c r="K1525" s="20"/>
      <c r="L1525" s="37"/>
      <c r="M1525" s="10" t="s">
        <v>1430</v>
      </c>
      <c r="N1525" s="37"/>
    </row>
    <row r="1526" spans="6:15" ht="13.2">
      <c r="K1526" s="20"/>
      <c r="L1526" s="37"/>
      <c r="M1526" s="10" t="s">
        <v>1432</v>
      </c>
      <c r="N1526" s="37"/>
    </row>
    <row r="1527" spans="6:15" ht="13.2">
      <c r="K1527" s="20"/>
      <c r="L1527" s="37"/>
      <c r="M1527" s="10" t="s">
        <v>1433</v>
      </c>
      <c r="N1527" s="37"/>
    </row>
    <row r="1528" spans="6:15" ht="13.2">
      <c r="K1528" s="20"/>
      <c r="L1528" s="37"/>
      <c r="M1528" s="10" t="s">
        <v>1434</v>
      </c>
      <c r="N1528" s="37"/>
    </row>
    <row r="1529" spans="6:15" ht="13.2">
      <c r="K1529" s="20"/>
      <c r="L1529" s="37"/>
      <c r="M1529" s="10" t="s">
        <v>1437</v>
      </c>
      <c r="N1529" s="37">
        <f>(20/60)*5773920*10^-6*50</f>
        <v>96.231999999999999</v>
      </c>
    </row>
    <row r="1530" spans="6:15" ht="13.2">
      <c r="K1530" s="20"/>
      <c r="L1530" s="37"/>
      <c r="M1530" s="10" t="s">
        <v>1474</v>
      </c>
      <c r="N1530" s="37"/>
    </row>
    <row r="1531" spans="6:15" ht="13.2">
      <c r="K1531" s="20"/>
      <c r="L1531" s="37"/>
      <c r="M1531" s="10" t="s">
        <v>1625</v>
      </c>
      <c r="N1531" s="37"/>
    </row>
    <row r="1532" spans="6:15" ht="13.2">
      <c r="K1532" s="20"/>
      <c r="L1532" s="37"/>
      <c r="M1532" s="20"/>
      <c r="N1532" s="37"/>
    </row>
    <row r="1533" spans="6:15" ht="13.2">
      <c r="K1533" s="20" t="s">
        <v>1441</v>
      </c>
      <c r="L1533" s="37" t="e">
        <f ca="1">SUM(L1519:L1526)</f>
        <v>#NAME?</v>
      </c>
      <c r="M1533" s="20" t="s">
        <v>1442</v>
      </c>
      <c r="N1533" s="37">
        <f>SUM(N1519:N1531)</f>
        <v>101.72283333333333</v>
      </c>
    </row>
    <row r="1534" spans="6:15" ht="13.2">
      <c r="K1534" s="20"/>
      <c r="L1534" s="37"/>
      <c r="M1534" s="20"/>
      <c r="N1534" s="37"/>
    </row>
    <row r="1535" spans="6:15" ht="13.2">
      <c r="F1535" s="184" t="s">
        <v>1237</v>
      </c>
      <c r="G1535" s="180"/>
      <c r="H1535" s="180"/>
      <c r="I1535" s="180"/>
      <c r="J1535" s="180"/>
      <c r="K1535" s="180"/>
      <c r="L1535" s="180"/>
      <c r="M1535" s="180"/>
      <c r="N1535" s="180"/>
      <c r="O1535" s="180"/>
    </row>
    <row r="1536" spans="6:15" ht="13.2">
      <c r="F1536" s="10" t="s">
        <v>1408</v>
      </c>
      <c r="G1536" s="10" t="s">
        <v>543</v>
      </c>
      <c r="H1536" s="10" t="s">
        <v>1409</v>
      </c>
      <c r="I1536" s="10" t="s">
        <v>1410</v>
      </c>
      <c r="J1536" s="10" t="s">
        <v>1411</v>
      </c>
      <c r="K1536" s="10" t="s">
        <v>1412</v>
      </c>
      <c r="L1536" s="10" t="s">
        <v>1413</v>
      </c>
      <c r="M1536" s="179" t="s">
        <v>1468</v>
      </c>
      <c r="N1536" s="180"/>
      <c r="O1536" s="10" t="s">
        <v>1415</v>
      </c>
    </row>
    <row r="1537" spans="6:17" ht="13.2">
      <c r="F1537" s="18" t="s">
        <v>1456</v>
      </c>
      <c r="G1537" s="18">
        <v>2</v>
      </c>
      <c r="H1537" s="10" t="s">
        <v>1416</v>
      </c>
      <c r="I1537" s="10">
        <f>2*46</f>
        <v>92</v>
      </c>
      <c r="J1537" s="43" t="e">
        <f t="array" aca="1" ref="J1537" ca="1">_xludf.XLOOKUP(F1537, analysis!A:A, analysis!I:I)</f>
        <v>#NAME?</v>
      </c>
      <c r="K1537" s="10" t="e">
        <f t="array" aca="1" ref="K1537" ca="1">_xludf.XLOOKUP(F1537, analysis!A:A, analysis!J:J)</f>
        <v>#NAME?</v>
      </c>
      <c r="L1537" s="10" t="e">
        <f t="shared" ref="L1537:L1548" ca="1" si="82">K1537*I1537*J1537/1000</f>
        <v>#NAME?</v>
      </c>
      <c r="M1537" s="10" t="s">
        <v>1417</v>
      </c>
      <c r="N1537" s="37"/>
      <c r="P1537" s="10" t="str">
        <f ca="1">IFERROR(__xludf.DUMMYFUNCTION("transpose(split(F1537,CHAR(10)))"),"red chilli pepper")</f>
        <v>red chilli pepper</v>
      </c>
      <c r="Q1537" s="10">
        <f ca="1">IFERROR(__xludf.DUMMYFUNCTION("transpose(split(G1537,CHAR(10)))"),2)</f>
        <v>2</v>
      </c>
    </row>
    <row r="1538" spans="6:17" ht="13.2">
      <c r="F1538" s="10" t="s">
        <v>641</v>
      </c>
      <c r="G1538" s="10" t="s">
        <v>1517</v>
      </c>
      <c r="H1538" s="10" t="s">
        <v>1444</v>
      </c>
      <c r="I1538" s="10">
        <v>200</v>
      </c>
      <c r="J1538" s="43" t="e">
        <f t="array" aca="1" ref="J1538" ca="1">_xludf.XLOOKUP(F1538, analysis!A:A, analysis!I:I)</f>
        <v>#NAME?</v>
      </c>
      <c r="K1538" s="10" t="e">
        <f t="array" aca="1" ref="K1538" ca="1">_xludf.XLOOKUP(F1538, analysis!A:A, analysis!J:J)</f>
        <v>#NAME?</v>
      </c>
      <c r="L1538" s="10" t="e">
        <f t="shared" ca="1" si="82"/>
        <v>#NAME?</v>
      </c>
      <c r="M1538" s="10" t="s">
        <v>1420</v>
      </c>
      <c r="N1538" s="37"/>
    </row>
    <row r="1539" spans="6:17" ht="13.2">
      <c r="F1539" s="10" t="s">
        <v>704</v>
      </c>
      <c r="G1539" s="10">
        <v>1</v>
      </c>
      <c r="H1539" s="10" t="s">
        <v>1416</v>
      </c>
      <c r="I1539" s="10">
        <v>150</v>
      </c>
      <c r="J1539" s="43" t="e">
        <f t="array" aca="1" ref="J1539" ca="1">_xludf.XLOOKUP(F1539, analysis!A:A, analysis!I:I)</f>
        <v>#NAME?</v>
      </c>
      <c r="K1539" s="10" t="e">
        <f t="array" aca="1" ref="K1539" ca="1">_xludf.XLOOKUP(F1539, analysis!A:A, analysis!J:J)</f>
        <v>#NAME?</v>
      </c>
      <c r="L1539" s="10" t="e">
        <f t="shared" ca="1" si="82"/>
        <v>#NAME?</v>
      </c>
      <c r="M1539" s="10" t="s">
        <v>1423</v>
      </c>
      <c r="N1539" s="37"/>
    </row>
    <row r="1540" spans="6:17" ht="13.2">
      <c r="F1540" s="10" t="s">
        <v>653</v>
      </c>
      <c r="G1540" s="10" t="s">
        <v>1508</v>
      </c>
      <c r="H1540" s="10" t="s">
        <v>1422</v>
      </c>
      <c r="I1540" s="10">
        <v>120</v>
      </c>
      <c r="J1540" s="43" t="e">
        <f t="array" aca="1" ref="J1540" ca="1">_xludf.XLOOKUP(F1540, analysis!A:A, analysis!I:I)</f>
        <v>#NAME?</v>
      </c>
      <c r="K1540" s="10" t="e">
        <f t="array" aca="1" ref="K1540" ca="1">_xludf.XLOOKUP(F1540, analysis!A:A, analysis!J:J)</f>
        <v>#NAME?</v>
      </c>
      <c r="L1540" s="10" t="e">
        <f t="shared" ca="1" si="82"/>
        <v>#NAME?</v>
      </c>
      <c r="M1540" s="10" t="s">
        <v>1425</v>
      </c>
      <c r="N1540" s="37">
        <f>(((I1540*4.2*80/0.63+(20/60)*5773920)*(10^-6)*50))+((I1547*1.81*80/0.63)*(10^-6)*50)</f>
        <v>110.90567619047619</v>
      </c>
    </row>
    <row r="1541" spans="6:17" ht="13.2">
      <c r="F1541" s="10" t="s">
        <v>1495</v>
      </c>
      <c r="G1541" s="10">
        <v>1</v>
      </c>
      <c r="H1541" s="10" t="s">
        <v>1416</v>
      </c>
      <c r="I1541" s="10">
        <v>84</v>
      </c>
      <c r="J1541" s="43" t="e">
        <f t="array" aca="1" ref="J1541" ca="1">_xludf.XLOOKUP(F1541, analysis!A:A, analysis!I:I)</f>
        <v>#NAME?</v>
      </c>
      <c r="K1541" s="10" t="e">
        <f t="array" aca="1" ref="K1541" ca="1">_xludf.XLOOKUP(F1541, analysis!A:A, analysis!J:J)</f>
        <v>#NAME?</v>
      </c>
      <c r="L1541" s="10" t="e">
        <f t="shared" ca="1" si="82"/>
        <v>#NAME?</v>
      </c>
      <c r="M1541" s="10" t="s">
        <v>1428</v>
      </c>
      <c r="N1541" s="37"/>
    </row>
    <row r="1542" spans="6:17" ht="13.2">
      <c r="F1542" s="10" t="s">
        <v>1718</v>
      </c>
      <c r="G1542" s="10">
        <v>1</v>
      </c>
      <c r="H1542" s="10" t="s">
        <v>1416</v>
      </c>
      <c r="I1542" s="10">
        <v>0.85</v>
      </c>
      <c r="J1542" s="43" t="e">
        <f t="array" aca="1" ref="J1542" ca="1">_xludf.XLOOKUP(F1542, analysis!A:A, analysis!I:I)</f>
        <v>#NAME?</v>
      </c>
      <c r="K1542" s="10" t="e">
        <f t="array" aca="1" ref="K1542" ca="1">_xludf.XLOOKUP(F1542, analysis!A:A, analysis!J:J)</f>
        <v>#NAME?</v>
      </c>
      <c r="L1542" s="10" t="e">
        <f t="shared" ca="1" si="82"/>
        <v>#NAME?</v>
      </c>
      <c r="M1542" s="10" t="s">
        <v>1429</v>
      </c>
      <c r="N1542" s="10">
        <f>((12^2*PI()*8*0.927*1.96*170/0.63)+(5/60)*5773920)*(10^-6)*50</f>
        <v>112.77697866123542</v>
      </c>
    </row>
    <row r="1543" spans="6:17" ht="13.2">
      <c r="F1543" s="10" t="s">
        <v>1719</v>
      </c>
      <c r="G1543" s="10" t="s">
        <v>1720</v>
      </c>
      <c r="H1543" s="10" t="s">
        <v>1444</v>
      </c>
      <c r="I1543" s="10">
        <v>240</v>
      </c>
      <c r="J1543" s="43" t="e">
        <f t="array" aca="1" ref="J1543" ca="1">_xludf.XLOOKUP(F1543, analysis!A:A, analysis!I:I)</f>
        <v>#NAME?</v>
      </c>
      <c r="K1543" s="10" t="e">
        <f t="array" aca="1" ref="K1543" ca="1">_xludf.XLOOKUP(F1543, analysis!A:A, analysis!J:J)</f>
        <v>#NAME?</v>
      </c>
      <c r="L1543" s="10" t="e">
        <f t="shared" ca="1" si="82"/>
        <v>#NAME?</v>
      </c>
      <c r="M1543" s="10" t="s">
        <v>1430</v>
      </c>
      <c r="N1543" s="37"/>
    </row>
    <row r="1544" spans="6:17" ht="13.2">
      <c r="F1544" s="10" t="s">
        <v>1526</v>
      </c>
      <c r="G1544" s="10" t="s">
        <v>744</v>
      </c>
      <c r="H1544" s="10" t="s">
        <v>1444</v>
      </c>
      <c r="I1544" s="10">
        <v>335</v>
      </c>
      <c r="J1544" s="43" t="e">
        <f t="array" aca="1" ref="J1544" ca="1">_xludf.XLOOKUP(F1544, analysis!A:A, analysis!I:I)</f>
        <v>#NAME?</v>
      </c>
      <c r="K1544" s="10" t="e">
        <f t="array" aca="1" ref="K1544" ca="1">_xludf.XLOOKUP(F1544, analysis!A:A, analysis!J:J)</f>
        <v>#NAME?</v>
      </c>
      <c r="L1544" s="10" t="e">
        <f t="shared" ca="1" si="82"/>
        <v>#NAME?</v>
      </c>
      <c r="M1544" s="10" t="s">
        <v>1432</v>
      </c>
      <c r="N1544" s="37"/>
    </row>
    <row r="1545" spans="6:17" ht="13.2">
      <c r="F1545" s="10" t="s">
        <v>646</v>
      </c>
      <c r="G1545" s="10" t="s">
        <v>1439</v>
      </c>
      <c r="H1545" s="10">
        <v>0</v>
      </c>
      <c r="I1545" s="10">
        <v>0</v>
      </c>
      <c r="J1545" s="43" t="e">
        <f t="array" aca="1" ref="J1545" ca="1">_xludf.XLOOKUP(F1545, analysis!A:A, analysis!I:I)</f>
        <v>#NAME?</v>
      </c>
      <c r="K1545" s="10" t="e">
        <f t="array" aca="1" ref="K1545" ca="1">_xludf.XLOOKUP(F1545, analysis!A:A, analysis!J:J)</f>
        <v>#NAME?</v>
      </c>
      <c r="L1545" s="10" t="e">
        <f t="shared" ca="1" si="82"/>
        <v>#NAME?</v>
      </c>
      <c r="M1545" s="10" t="s">
        <v>1433</v>
      </c>
      <c r="N1545" s="37"/>
    </row>
    <row r="1546" spans="6:17" ht="13.2">
      <c r="F1546" s="10" t="s">
        <v>1440</v>
      </c>
      <c r="G1546" s="10" t="s">
        <v>1439</v>
      </c>
      <c r="H1546" s="10">
        <v>0</v>
      </c>
      <c r="I1546" s="10">
        <v>0</v>
      </c>
      <c r="J1546" s="43" t="e">
        <f t="array" aca="1" ref="J1546" ca="1">_xludf.XLOOKUP(F1546, analysis!A:A, analysis!I:I)</f>
        <v>#NAME?</v>
      </c>
      <c r="K1546" s="10" t="e">
        <f t="array" aca="1" ref="K1546" ca="1">_xludf.XLOOKUP(F1546, analysis!A:A, analysis!J:J)</f>
        <v>#NAME?</v>
      </c>
      <c r="L1546" s="10" t="e">
        <f t="shared" ca="1" si="82"/>
        <v>#NAME?</v>
      </c>
      <c r="M1546" s="10" t="s">
        <v>1434</v>
      </c>
      <c r="N1546" s="37"/>
    </row>
    <row r="1547" spans="6:17" ht="13.2">
      <c r="F1547" s="10" t="s">
        <v>640</v>
      </c>
      <c r="G1547" s="10" t="s">
        <v>1721</v>
      </c>
      <c r="H1547" s="10" t="s">
        <v>1422</v>
      </c>
      <c r="I1547" s="10">
        <f>960*1.04</f>
        <v>998.40000000000009</v>
      </c>
      <c r="J1547" s="43" t="e">
        <f t="array" aca="1" ref="J1547" ca="1">_xludf.XLOOKUP(F1547, analysis!A:A, analysis!I:I)</f>
        <v>#NAME?</v>
      </c>
      <c r="K1547" s="10" t="e">
        <f t="array" aca="1" ref="K1547" ca="1">_xludf.XLOOKUP(F1547, analysis!A:A, analysis!J:J)</f>
        <v>#NAME?</v>
      </c>
      <c r="L1547" s="10" t="e">
        <f t="shared" ca="1" si="82"/>
        <v>#NAME?</v>
      </c>
      <c r="M1547" s="10" t="s">
        <v>1437</v>
      </c>
      <c r="N1547" s="37"/>
    </row>
    <row r="1548" spans="6:17" ht="13.2">
      <c r="F1548" s="10" t="s">
        <v>733</v>
      </c>
      <c r="G1548" s="10" t="s">
        <v>1439</v>
      </c>
      <c r="H1548" s="10">
        <v>0</v>
      </c>
      <c r="I1548" s="10">
        <v>0</v>
      </c>
      <c r="J1548" s="43" t="e">
        <f t="array" aca="1" ref="J1548" ca="1">_xludf.XLOOKUP(F1548, analysis!A:A, analysis!I:I)</f>
        <v>#NAME?</v>
      </c>
      <c r="K1548" s="10" t="e">
        <f t="array" aca="1" ref="K1548" ca="1">_xludf.XLOOKUP(F1548, analysis!A:A, analysis!J:J)</f>
        <v>#NAME?</v>
      </c>
      <c r="L1548" s="10" t="e">
        <f t="shared" ca="1" si="82"/>
        <v>#NAME?</v>
      </c>
      <c r="M1548" s="10" t="s">
        <v>1474</v>
      </c>
      <c r="N1548" s="37"/>
    </row>
    <row r="1549" spans="6:17" ht="13.2">
      <c r="K1549" s="20"/>
      <c r="L1549" s="37"/>
      <c r="M1549" s="10" t="s">
        <v>1625</v>
      </c>
      <c r="N1549" s="37"/>
    </row>
    <row r="1550" spans="6:17" ht="13.2">
      <c r="K1550" s="20"/>
      <c r="L1550" s="37"/>
      <c r="M1550" s="20"/>
      <c r="N1550" s="37"/>
    </row>
    <row r="1551" spans="6:17" ht="13.2">
      <c r="K1551" s="20" t="s">
        <v>1441</v>
      </c>
      <c r="L1551" s="37" t="e">
        <f ca="1">SUM(L1537:L1548)</f>
        <v>#NAME?</v>
      </c>
      <c r="M1551" s="20" t="s">
        <v>1442</v>
      </c>
      <c r="N1551" s="37">
        <f>SUM(N1537:N1549)</f>
        <v>223.68265485171162</v>
      </c>
    </row>
    <row r="1552" spans="6:17" ht="13.2">
      <c r="K1552" s="20"/>
      <c r="L1552" s="37"/>
      <c r="M1552" s="20"/>
      <c r="N1552" s="37"/>
    </row>
    <row r="1553" spans="6:17" ht="13.2">
      <c r="F1553" s="184" t="s">
        <v>1241</v>
      </c>
      <c r="G1553" s="180"/>
      <c r="H1553" s="180"/>
      <c r="I1553" s="180"/>
      <c r="J1553" s="180"/>
      <c r="K1553" s="180"/>
      <c r="L1553" s="180"/>
      <c r="M1553" s="180"/>
      <c r="N1553" s="180"/>
      <c r="O1553" s="180"/>
    </row>
    <row r="1554" spans="6:17" ht="13.2">
      <c r="F1554" s="10" t="s">
        <v>1408</v>
      </c>
      <c r="G1554" s="10" t="s">
        <v>543</v>
      </c>
      <c r="H1554" s="10" t="s">
        <v>1409</v>
      </c>
      <c r="I1554" s="10" t="s">
        <v>1410</v>
      </c>
      <c r="J1554" s="10" t="s">
        <v>1411</v>
      </c>
      <c r="K1554" s="10" t="s">
        <v>1412</v>
      </c>
      <c r="L1554" s="10" t="s">
        <v>1413</v>
      </c>
      <c r="M1554" s="179" t="s">
        <v>1468</v>
      </c>
      <c r="N1554" s="180"/>
      <c r="O1554" s="10" t="s">
        <v>1415</v>
      </c>
    </row>
    <row r="1555" spans="6:17" ht="13.2">
      <c r="F1555" s="18" t="s">
        <v>1698</v>
      </c>
      <c r="G1555" s="18" t="s">
        <v>1722</v>
      </c>
      <c r="H1555" s="10" t="s">
        <v>1444</v>
      </c>
      <c r="I1555" s="10">
        <v>280</v>
      </c>
      <c r="J1555" s="43" t="e">
        <f t="array" aca="1" ref="J1555" ca="1">_xludf.XLOOKUP(F1555, analysis!A:A, analysis!I:I)</f>
        <v>#NAME?</v>
      </c>
      <c r="K1555" s="10" t="e">
        <f t="array" aca="1" ref="K1555" ca="1">_xludf.XLOOKUP(F1555, analysis!A:A, analysis!J:J)</f>
        <v>#NAME?</v>
      </c>
      <c r="L1555" s="10" t="e">
        <f t="shared" ref="L1555:L1561" ca="1" si="83">K1555*I1555*J1555/1000</f>
        <v>#NAME?</v>
      </c>
      <c r="M1555" s="10" t="s">
        <v>1417</v>
      </c>
      <c r="N1555" s="37"/>
      <c r="P1555" s="10" t="str">
        <f ca="1">IFERROR(__xludf.DUMMYFUNCTION("transpose(split(F1555,CHAR(10)))"),"cassava starch")</f>
        <v>cassava starch</v>
      </c>
      <c r="Q1555" s="10" t="str">
        <f ca="1">IFERROR(__xludf.DUMMYFUNCTION("transpose(split(G1555,CHAR(10)))"),"280g")</f>
        <v>280g</v>
      </c>
    </row>
    <row r="1556" spans="6:17" ht="13.2">
      <c r="F1556" s="10" t="s">
        <v>646</v>
      </c>
      <c r="G1556" s="10" t="s">
        <v>1620</v>
      </c>
      <c r="H1556" s="10" t="s">
        <v>1444</v>
      </c>
      <c r="I1556" s="10">
        <v>7</v>
      </c>
      <c r="J1556" s="43" t="e">
        <f t="array" aca="1" ref="J1556" ca="1">_xludf.XLOOKUP(F1556, analysis!A:A, analysis!I:I)</f>
        <v>#NAME?</v>
      </c>
      <c r="K1556" s="10" t="e">
        <f t="array" aca="1" ref="K1556" ca="1">_xludf.XLOOKUP(F1556, analysis!A:A, analysis!J:J)</f>
        <v>#NAME?</v>
      </c>
      <c r="L1556" s="10" t="e">
        <f t="shared" ca="1" si="83"/>
        <v>#NAME?</v>
      </c>
      <c r="M1556" s="10" t="s">
        <v>1420</v>
      </c>
      <c r="N1556" s="37">
        <f>1.1*(5/60)*59.9</f>
        <v>5.4908333333333337</v>
      </c>
    </row>
    <row r="1557" spans="6:17" ht="13.2">
      <c r="F1557" s="10" t="s">
        <v>640</v>
      </c>
      <c r="G1557" s="10" t="s">
        <v>1508</v>
      </c>
      <c r="H1557" s="10" t="s">
        <v>1422</v>
      </c>
      <c r="I1557" s="10">
        <f>1.04*120</f>
        <v>124.80000000000001</v>
      </c>
      <c r="J1557" s="43" t="e">
        <f t="array" aca="1" ref="J1557" ca="1">_xludf.XLOOKUP(F1557, analysis!A:A, analysis!I:I)</f>
        <v>#NAME?</v>
      </c>
      <c r="K1557" s="10" t="e">
        <f t="array" aca="1" ref="K1557" ca="1">_xludf.XLOOKUP(F1557, analysis!A:A, analysis!J:J)</f>
        <v>#NAME?</v>
      </c>
      <c r="L1557" s="10" t="e">
        <f t="shared" ca="1" si="83"/>
        <v>#NAME?</v>
      </c>
      <c r="M1557" s="10" t="s">
        <v>1423</v>
      </c>
      <c r="N1557" s="37"/>
    </row>
    <row r="1558" spans="6:17" ht="13.2">
      <c r="F1558" s="10" t="s">
        <v>733</v>
      </c>
      <c r="G1558" s="10" t="s">
        <v>1508</v>
      </c>
      <c r="H1558" s="10" t="s">
        <v>1422</v>
      </c>
      <c r="I1558" s="10">
        <f>0.927*120</f>
        <v>111.24000000000001</v>
      </c>
      <c r="J1558" s="43" t="e">
        <f t="array" aca="1" ref="J1558" ca="1">_xludf.XLOOKUP(F1558, analysis!A:A, analysis!I:I)</f>
        <v>#NAME?</v>
      </c>
      <c r="K1558" s="10" t="e">
        <f t="array" aca="1" ref="K1558" ca="1">_xludf.XLOOKUP(F1558, analysis!A:A, analysis!J:J)</f>
        <v>#NAME?</v>
      </c>
      <c r="L1558" s="10" t="e">
        <f t="shared" ca="1" si="83"/>
        <v>#NAME?</v>
      </c>
      <c r="M1558" s="10" t="s">
        <v>1425</v>
      </c>
      <c r="N1558" s="37">
        <f>(((I1557*1.81*80/0.63)*(10^-6)*50))</f>
        <v>1.4342095238095238</v>
      </c>
    </row>
    <row r="1559" spans="6:17" ht="13.2">
      <c r="F1559" s="10" t="s">
        <v>642</v>
      </c>
      <c r="G1559" s="10">
        <v>1</v>
      </c>
      <c r="H1559" s="10" t="s">
        <v>1416</v>
      </c>
      <c r="I1559" s="10">
        <v>45</v>
      </c>
      <c r="J1559" s="43" t="e">
        <f t="array" aca="1" ref="J1559" ca="1">_xludf.XLOOKUP(F1559, analysis!A:A, analysis!I:I)</f>
        <v>#NAME?</v>
      </c>
      <c r="K1559" s="10" t="e">
        <f t="array" aca="1" ref="K1559" ca="1">_xludf.XLOOKUP(F1559, analysis!A:A, analysis!J:J)</f>
        <v>#NAME?</v>
      </c>
      <c r="L1559" s="10" t="e">
        <f t="shared" ca="1" si="83"/>
        <v>#NAME?</v>
      </c>
      <c r="M1559" s="10" t="s">
        <v>1428</v>
      </c>
      <c r="N1559" s="37"/>
    </row>
    <row r="1560" spans="6:17" ht="13.2">
      <c r="F1560" s="10" t="s">
        <v>1485</v>
      </c>
      <c r="G1560" s="10" t="s">
        <v>1601</v>
      </c>
      <c r="H1560" s="10" t="s">
        <v>1444</v>
      </c>
      <c r="I1560" s="10">
        <v>25</v>
      </c>
      <c r="J1560" s="43" t="e">
        <f t="array" aca="1" ref="J1560" ca="1">_xludf.XLOOKUP(F1560, analysis!A:A, analysis!I:I)</f>
        <v>#NAME?</v>
      </c>
      <c r="K1560" s="10" t="e">
        <f t="array" aca="1" ref="K1560" ca="1">_xludf.XLOOKUP(F1560, analysis!A:A, analysis!J:J)</f>
        <v>#NAME?</v>
      </c>
      <c r="L1560" s="10" t="e">
        <f t="shared" ca="1" si="83"/>
        <v>#NAME?</v>
      </c>
      <c r="M1560" s="10" t="s">
        <v>1429</v>
      </c>
      <c r="N1560" s="37"/>
    </row>
    <row r="1561" spans="6:17" ht="13.2">
      <c r="F1561" s="10" t="s">
        <v>653</v>
      </c>
      <c r="G1561" s="10" t="s">
        <v>1651</v>
      </c>
      <c r="H1561" s="10" t="s">
        <v>1422</v>
      </c>
      <c r="I1561" s="10">
        <v>160</v>
      </c>
      <c r="J1561" s="43" t="e">
        <f t="array" aca="1" ref="J1561" ca="1">_xludf.XLOOKUP(F1561, analysis!A:A, analysis!I:I)</f>
        <v>#NAME?</v>
      </c>
      <c r="K1561" s="10" t="e">
        <f t="array" aca="1" ref="K1561" ca="1">_xludf.XLOOKUP(F1561, analysis!A:A, analysis!J:J)</f>
        <v>#NAME?</v>
      </c>
      <c r="L1561" s="10" t="e">
        <f t="shared" ca="1" si="83"/>
        <v>#NAME?</v>
      </c>
      <c r="M1561" s="10" t="s">
        <v>1430</v>
      </c>
      <c r="N1561" s="37"/>
    </row>
    <row r="1562" spans="6:17" ht="13.2">
      <c r="K1562" s="20"/>
      <c r="L1562" s="37"/>
      <c r="M1562" s="10" t="s">
        <v>1432</v>
      </c>
      <c r="N1562" s="10">
        <f>((1.012*1.2923*10^-3*70000*160/0.63)/0.13+(19/60)*5773920)*(10^-6)*50</f>
        <v>100.36267418803419</v>
      </c>
    </row>
    <row r="1563" spans="6:17" ht="13.2">
      <c r="K1563" s="20"/>
      <c r="L1563" s="37"/>
      <c r="M1563" s="10" t="s">
        <v>1433</v>
      </c>
      <c r="N1563" s="37"/>
    </row>
    <row r="1564" spans="6:17" ht="13.2">
      <c r="K1564" s="20"/>
      <c r="L1564" s="37"/>
      <c r="M1564" s="10" t="s">
        <v>1434</v>
      </c>
      <c r="N1564" s="37"/>
    </row>
    <row r="1565" spans="6:17" ht="13.2">
      <c r="K1565" s="20"/>
      <c r="L1565" s="37"/>
      <c r="M1565" s="10" t="s">
        <v>1437</v>
      </c>
      <c r="N1565" s="37"/>
    </row>
    <row r="1566" spans="6:17" ht="13.2">
      <c r="K1566" s="20"/>
      <c r="L1566" s="37"/>
      <c r="M1566" s="10" t="s">
        <v>1474</v>
      </c>
      <c r="N1566" s="37"/>
    </row>
    <row r="1567" spans="6:17" ht="13.2">
      <c r="K1567" s="20"/>
      <c r="L1567" s="37"/>
      <c r="M1567" s="10" t="s">
        <v>1625</v>
      </c>
      <c r="N1567" s="37"/>
    </row>
    <row r="1568" spans="6:17" ht="13.2">
      <c r="K1568" s="20"/>
      <c r="L1568" s="37"/>
      <c r="M1568" s="20"/>
      <c r="N1568" s="37"/>
    </row>
    <row r="1569" spans="11:14" ht="13.2">
      <c r="K1569" s="20" t="s">
        <v>1441</v>
      </c>
      <c r="L1569" s="37" t="e">
        <f ca="1">SUM(L1555:L1561)</f>
        <v>#NAME?</v>
      </c>
      <c r="M1569" s="20" t="s">
        <v>1442</v>
      </c>
      <c r="N1569" s="37">
        <f>SUM(N1555:N1567)</f>
        <v>107.28771704517705</v>
      </c>
    </row>
    <row r="1570" spans="11:14" ht="13.2">
      <c r="K1570" s="20"/>
      <c r="L1570" s="37"/>
      <c r="M1570" s="20"/>
      <c r="N1570" s="37"/>
    </row>
    <row r="1571" spans="11:14" ht="13.2">
      <c r="K1571" s="20"/>
      <c r="L1571" s="37"/>
      <c r="M1571" s="20"/>
      <c r="N1571" s="37"/>
    </row>
    <row r="1572" spans="11:14" ht="13.2">
      <c r="K1572" s="20"/>
      <c r="L1572" s="37"/>
      <c r="M1572" s="20"/>
      <c r="N1572" s="37"/>
    </row>
    <row r="1573" spans="11:14" ht="13.2">
      <c r="K1573" s="20"/>
      <c r="L1573" s="37"/>
      <c r="M1573" s="20"/>
      <c r="N1573" s="37"/>
    </row>
    <row r="1574" spans="11:14" ht="13.2">
      <c r="K1574" s="20"/>
      <c r="L1574" s="37"/>
      <c r="M1574" s="20"/>
      <c r="N1574" s="37"/>
    </row>
    <row r="1575" spans="11:14" ht="13.2">
      <c r="K1575" s="20"/>
      <c r="L1575" s="37"/>
      <c r="M1575" s="20"/>
      <c r="N1575" s="37"/>
    </row>
    <row r="1576" spans="11:14" ht="13.2">
      <c r="K1576" s="20"/>
      <c r="L1576" s="37"/>
      <c r="M1576" s="20"/>
      <c r="N1576" s="37"/>
    </row>
    <row r="1577" spans="11:14" ht="13.2">
      <c r="K1577" s="20"/>
      <c r="L1577" s="37"/>
      <c r="M1577" s="20"/>
      <c r="N1577" s="37"/>
    </row>
    <row r="1578" spans="11:14" ht="13.2">
      <c r="K1578" s="20"/>
      <c r="L1578" s="37"/>
      <c r="M1578" s="20"/>
      <c r="N1578" s="37"/>
    </row>
    <row r="1579" spans="11:14" ht="13.2">
      <c r="K1579" s="20"/>
      <c r="L1579" s="37"/>
      <c r="M1579" s="20"/>
      <c r="N1579" s="37"/>
    </row>
    <row r="1580" spans="11:14" ht="13.2">
      <c r="K1580" s="20"/>
      <c r="L1580" s="37"/>
      <c r="M1580" s="20"/>
      <c r="N1580" s="37"/>
    </row>
    <row r="1581" spans="11:14" ht="13.2">
      <c r="K1581" s="20"/>
      <c r="L1581" s="37"/>
      <c r="M1581" s="20"/>
      <c r="N1581" s="37"/>
    </row>
    <row r="1582" spans="11:14" ht="13.2">
      <c r="K1582" s="20"/>
      <c r="L1582" s="37"/>
      <c r="M1582" s="20"/>
      <c r="N1582" s="37"/>
    </row>
    <row r="1583" spans="11:14" ht="13.2">
      <c r="K1583" s="20"/>
      <c r="L1583" s="37"/>
      <c r="M1583" s="20"/>
      <c r="N1583" s="37"/>
    </row>
    <row r="1584" spans="11:14" ht="13.2">
      <c r="K1584" s="20"/>
      <c r="L1584" s="37"/>
      <c r="M1584" s="20"/>
      <c r="N1584" s="37"/>
    </row>
    <row r="1585" spans="11:14" ht="13.2">
      <c r="K1585" s="20"/>
      <c r="L1585" s="37"/>
      <c r="M1585" s="20"/>
      <c r="N1585" s="37"/>
    </row>
    <row r="1586" spans="11:14" ht="13.2">
      <c r="K1586" s="20"/>
      <c r="L1586" s="37"/>
      <c r="M1586" s="20"/>
      <c r="N1586" s="37"/>
    </row>
    <row r="1587" spans="11:14" ht="13.2">
      <c r="K1587" s="20"/>
      <c r="L1587" s="37"/>
      <c r="M1587" s="20"/>
      <c r="N1587" s="37"/>
    </row>
    <row r="1588" spans="11:14" ht="13.2">
      <c r="K1588" s="20"/>
      <c r="L1588" s="37"/>
      <c r="M1588" s="20"/>
      <c r="N1588" s="37"/>
    </row>
    <row r="1589" spans="11:14" ht="13.2">
      <c r="K1589" s="20"/>
      <c r="L1589" s="37"/>
      <c r="M1589" s="20"/>
      <c r="N1589" s="37"/>
    </row>
    <row r="1590" spans="11:14" ht="13.2">
      <c r="K1590" s="20"/>
      <c r="L1590" s="37"/>
      <c r="M1590" s="20"/>
      <c r="N1590" s="37"/>
    </row>
    <row r="1591" spans="11:14" ht="13.2">
      <c r="K1591" s="20"/>
      <c r="L1591" s="37"/>
      <c r="M1591" s="20"/>
      <c r="N1591" s="37"/>
    </row>
    <row r="1592" spans="11:14" ht="13.2">
      <c r="K1592" s="20"/>
      <c r="L1592" s="37"/>
      <c r="M1592" s="20"/>
      <c r="N1592" s="37"/>
    </row>
    <row r="1593" spans="11:14" ht="13.2">
      <c r="K1593" s="20"/>
      <c r="L1593" s="37"/>
      <c r="M1593" s="20"/>
      <c r="N1593" s="37"/>
    </row>
    <row r="1594" spans="11:14" ht="13.2">
      <c r="K1594" s="20"/>
      <c r="L1594" s="37"/>
      <c r="M1594" s="20"/>
      <c r="N1594" s="37"/>
    </row>
    <row r="1595" spans="11:14" ht="13.2">
      <c r="K1595" s="20"/>
      <c r="L1595" s="37"/>
      <c r="M1595" s="20"/>
      <c r="N1595" s="37"/>
    </row>
    <row r="1596" spans="11:14" ht="13.2">
      <c r="K1596" s="20"/>
      <c r="L1596" s="37"/>
      <c r="M1596" s="20"/>
      <c r="N1596" s="37"/>
    </row>
    <row r="1597" spans="11:14" ht="13.2">
      <c r="K1597" s="20"/>
      <c r="L1597" s="37"/>
      <c r="M1597" s="20"/>
      <c r="N1597" s="37"/>
    </row>
    <row r="1598" spans="11:14" ht="13.2">
      <c r="K1598" s="20"/>
      <c r="L1598" s="37"/>
      <c r="M1598" s="20"/>
      <c r="N1598" s="37"/>
    </row>
    <row r="1599" spans="11:14" ht="13.2">
      <c r="K1599" s="20"/>
      <c r="L1599" s="37"/>
      <c r="M1599" s="20"/>
      <c r="N1599" s="37"/>
    </row>
    <row r="1600" spans="11:14" ht="13.2">
      <c r="K1600" s="20"/>
      <c r="L1600" s="37"/>
      <c r="M1600" s="20"/>
      <c r="N1600" s="37"/>
    </row>
    <row r="1601" spans="11:14" ht="13.2">
      <c r="K1601" s="20"/>
      <c r="L1601" s="37"/>
      <c r="M1601" s="20"/>
      <c r="N1601" s="37"/>
    </row>
    <row r="1602" spans="11:14" ht="13.2">
      <c r="K1602" s="20"/>
      <c r="L1602" s="37"/>
      <c r="M1602" s="20"/>
      <c r="N1602" s="37"/>
    </row>
    <row r="1603" spans="11:14" ht="13.2">
      <c r="K1603" s="20"/>
      <c r="L1603" s="37"/>
      <c r="M1603" s="20"/>
      <c r="N1603" s="37"/>
    </row>
    <row r="1604" spans="11:14" ht="13.2">
      <c r="K1604" s="20"/>
      <c r="L1604" s="37"/>
      <c r="M1604" s="20"/>
      <c r="N1604" s="37"/>
    </row>
    <row r="1605" spans="11:14" ht="13.2">
      <c r="K1605" s="20"/>
      <c r="L1605" s="37"/>
      <c r="M1605" s="20"/>
      <c r="N1605" s="37"/>
    </row>
    <row r="1606" spans="11:14" ht="13.2">
      <c r="K1606" s="20"/>
      <c r="L1606" s="37"/>
      <c r="M1606" s="20"/>
      <c r="N1606" s="37"/>
    </row>
    <row r="1607" spans="11:14" ht="13.2">
      <c r="K1607" s="20"/>
      <c r="L1607" s="37"/>
      <c r="M1607" s="20"/>
      <c r="N1607" s="37"/>
    </row>
    <row r="1608" spans="11:14" ht="13.2">
      <c r="K1608" s="20"/>
      <c r="L1608" s="37"/>
      <c r="M1608" s="20"/>
      <c r="N1608" s="37"/>
    </row>
    <row r="1609" spans="11:14" ht="13.2">
      <c r="K1609" s="20"/>
      <c r="L1609" s="37"/>
      <c r="M1609" s="20"/>
      <c r="N1609" s="37"/>
    </row>
    <row r="1610" spans="11:14" ht="13.2">
      <c r="K1610" s="20"/>
      <c r="L1610" s="37"/>
      <c r="M1610" s="20"/>
      <c r="N1610" s="37"/>
    </row>
    <row r="1611" spans="11:14" ht="13.2">
      <c r="K1611" s="20"/>
      <c r="L1611" s="37"/>
      <c r="M1611" s="20"/>
      <c r="N1611" s="37"/>
    </row>
    <row r="1612" spans="11:14" ht="13.2">
      <c r="K1612" s="20"/>
      <c r="L1612" s="37"/>
      <c r="M1612" s="20"/>
      <c r="N1612" s="37"/>
    </row>
    <row r="1613" spans="11:14" ht="13.2">
      <c r="K1613" s="20"/>
      <c r="L1613" s="37"/>
      <c r="M1613" s="20"/>
      <c r="N1613" s="37"/>
    </row>
    <row r="1614" spans="11:14" ht="13.2">
      <c r="K1614" s="20"/>
      <c r="L1614" s="37"/>
      <c r="M1614" s="20"/>
      <c r="N1614" s="37"/>
    </row>
    <row r="1615" spans="11:14" ht="13.2">
      <c r="K1615" s="20"/>
      <c r="L1615" s="37"/>
      <c r="M1615" s="20"/>
      <c r="N1615" s="37"/>
    </row>
    <row r="1616" spans="11:14" ht="13.2">
      <c r="K1616" s="20"/>
      <c r="L1616" s="37"/>
      <c r="M1616" s="20"/>
      <c r="N1616" s="37"/>
    </row>
    <row r="1617" spans="11:14" ht="13.2">
      <c r="K1617" s="20"/>
      <c r="L1617" s="37"/>
      <c r="M1617" s="20"/>
      <c r="N1617" s="37"/>
    </row>
    <row r="1618" spans="11:14" ht="13.2">
      <c r="K1618" s="20"/>
      <c r="L1618" s="37"/>
      <c r="M1618" s="20"/>
      <c r="N1618" s="37"/>
    </row>
    <row r="1619" spans="11:14" ht="13.2">
      <c r="K1619" s="20"/>
      <c r="L1619" s="37"/>
      <c r="M1619" s="20"/>
      <c r="N1619" s="37"/>
    </row>
    <row r="1620" spans="11:14" ht="13.2">
      <c r="K1620" s="20"/>
      <c r="L1620" s="37"/>
      <c r="M1620" s="20"/>
      <c r="N1620" s="37"/>
    </row>
    <row r="1621" spans="11:14" ht="13.2">
      <c r="K1621" s="20"/>
      <c r="L1621" s="37"/>
      <c r="M1621" s="20"/>
      <c r="N1621" s="37"/>
    </row>
    <row r="1622" spans="11:14" ht="13.2">
      <c r="K1622" s="20"/>
      <c r="L1622" s="37"/>
      <c r="M1622" s="20"/>
      <c r="N1622" s="37"/>
    </row>
    <row r="1623" spans="11:14" ht="13.2">
      <c r="K1623" s="20"/>
      <c r="L1623" s="37"/>
      <c r="M1623" s="20"/>
      <c r="N1623" s="37"/>
    </row>
    <row r="1624" spans="11:14" ht="13.2">
      <c r="K1624" s="20"/>
      <c r="L1624" s="37"/>
      <c r="M1624" s="20"/>
      <c r="N1624" s="37"/>
    </row>
    <row r="1625" spans="11:14" ht="13.2">
      <c r="K1625" s="20"/>
      <c r="L1625" s="37"/>
      <c r="M1625" s="20"/>
      <c r="N1625" s="37"/>
    </row>
    <row r="1626" spans="11:14" ht="13.2">
      <c r="K1626" s="20"/>
      <c r="L1626" s="37"/>
      <c r="M1626" s="20"/>
      <c r="N1626" s="37"/>
    </row>
    <row r="1627" spans="11:14" ht="13.2">
      <c r="K1627" s="20"/>
      <c r="L1627" s="37"/>
      <c r="M1627" s="20"/>
      <c r="N1627" s="37"/>
    </row>
    <row r="1628" spans="11:14" ht="13.2">
      <c r="K1628" s="20"/>
      <c r="L1628" s="37"/>
      <c r="M1628" s="20"/>
      <c r="N1628" s="37"/>
    </row>
    <row r="1629" spans="11:14" ht="13.2">
      <c r="K1629" s="20"/>
      <c r="L1629" s="37"/>
      <c r="M1629" s="20"/>
      <c r="N1629" s="37"/>
    </row>
    <row r="1630" spans="11:14" ht="13.2">
      <c r="K1630" s="20"/>
      <c r="L1630" s="37"/>
      <c r="M1630" s="20"/>
      <c r="N1630" s="37"/>
    </row>
    <row r="1631" spans="11:14" ht="13.2">
      <c r="K1631" s="20"/>
      <c r="L1631" s="37"/>
      <c r="M1631" s="20"/>
      <c r="N1631" s="37"/>
    </row>
    <row r="1632" spans="11:14" ht="13.2">
      <c r="K1632" s="20"/>
      <c r="L1632" s="37"/>
      <c r="M1632" s="20"/>
      <c r="N1632" s="37"/>
    </row>
    <row r="1633" spans="11:14" ht="13.2">
      <c r="K1633" s="20"/>
      <c r="L1633" s="37"/>
      <c r="M1633" s="20"/>
      <c r="N1633" s="37"/>
    </row>
    <row r="1634" spans="11:14" ht="13.2">
      <c r="K1634" s="20"/>
      <c r="L1634" s="37"/>
      <c r="M1634" s="20"/>
      <c r="N1634" s="37"/>
    </row>
    <row r="1635" spans="11:14" ht="13.2">
      <c r="K1635" s="20"/>
      <c r="L1635" s="37"/>
      <c r="M1635" s="20"/>
      <c r="N1635" s="37"/>
    </row>
    <row r="1636" spans="11:14" ht="13.2">
      <c r="K1636" s="20"/>
      <c r="L1636" s="37"/>
      <c r="M1636" s="20"/>
      <c r="N1636" s="37"/>
    </row>
    <row r="1637" spans="11:14" ht="13.2">
      <c r="K1637" s="20"/>
      <c r="L1637" s="37"/>
      <c r="M1637" s="20"/>
      <c r="N1637" s="37"/>
    </row>
    <row r="1638" spans="11:14" ht="13.2">
      <c r="K1638" s="20"/>
      <c r="L1638" s="37"/>
      <c r="M1638" s="20"/>
      <c r="N1638" s="37"/>
    </row>
    <row r="1639" spans="11:14" ht="13.2">
      <c r="K1639" s="20"/>
      <c r="L1639" s="37"/>
      <c r="M1639" s="20"/>
      <c r="N1639" s="37"/>
    </row>
    <row r="1640" spans="11:14" ht="13.2">
      <c r="K1640" s="20"/>
      <c r="L1640" s="37"/>
      <c r="M1640" s="20"/>
      <c r="N1640" s="37"/>
    </row>
    <row r="1641" spans="11:14" ht="13.2">
      <c r="K1641" s="20"/>
      <c r="L1641" s="37"/>
      <c r="M1641" s="20"/>
      <c r="N1641" s="37"/>
    </row>
    <row r="1642" spans="11:14" ht="13.2">
      <c r="K1642" s="20"/>
      <c r="L1642" s="37"/>
      <c r="M1642" s="20"/>
      <c r="N1642" s="37"/>
    </row>
    <row r="1643" spans="11:14" ht="13.2">
      <c r="K1643" s="20"/>
      <c r="L1643" s="37"/>
      <c r="M1643" s="20"/>
      <c r="N1643" s="37"/>
    </row>
    <row r="1644" spans="11:14" ht="13.2">
      <c r="K1644" s="20"/>
      <c r="L1644" s="37"/>
      <c r="M1644" s="20"/>
      <c r="N1644" s="37"/>
    </row>
    <row r="1645" spans="11:14" ht="13.2">
      <c r="K1645" s="20"/>
      <c r="L1645" s="37"/>
      <c r="M1645" s="20"/>
      <c r="N1645" s="37"/>
    </row>
    <row r="1646" spans="11:14" ht="13.2">
      <c r="K1646" s="20"/>
      <c r="L1646" s="37"/>
      <c r="M1646" s="20"/>
      <c r="N1646" s="37"/>
    </row>
    <row r="1647" spans="11:14" ht="13.2">
      <c r="K1647" s="20"/>
      <c r="L1647" s="37"/>
      <c r="M1647" s="20"/>
      <c r="N1647" s="37"/>
    </row>
    <row r="1648" spans="11:14" ht="13.2">
      <c r="K1648" s="20"/>
      <c r="L1648" s="37"/>
      <c r="M1648" s="20"/>
      <c r="N1648" s="37"/>
    </row>
    <row r="1649" spans="11:14" ht="13.2">
      <c r="K1649" s="20"/>
      <c r="L1649" s="37"/>
      <c r="M1649" s="20"/>
      <c r="N1649" s="37"/>
    </row>
    <row r="1650" spans="11:14" ht="13.2">
      <c r="K1650" s="20"/>
      <c r="L1650" s="37"/>
      <c r="M1650" s="20"/>
      <c r="N1650" s="37"/>
    </row>
    <row r="1651" spans="11:14" ht="13.2">
      <c r="K1651" s="20"/>
      <c r="L1651" s="37"/>
      <c r="M1651" s="20"/>
      <c r="N1651" s="37"/>
    </row>
    <row r="1652" spans="11:14" ht="13.2">
      <c r="K1652" s="20"/>
      <c r="L1652" s="37"/>
      <c r="M1652" s="20"/>
      <c r="N1652" s="37"/>
    </row>
    <row r="1653" spans="11:14" ht="13.2">
      <c r="K1653" s="20"/>
      <c r="L1653" s="37"/>
      <c r="M1653" s="20"/>
      <c r="N1653" s="37"/>
    </row>
    <row r="1654" spans="11:14" ht="13.2">
      <c r="K1654" s="20"/>
      <c r="L1654" s="37"/>
      <c r="M1654" s="20"/>
      <c r="N1654" s="37"/>
    </row>
    <row r="1655" spans="11:14" ht="13.2">
      <c r="K1655" s="20"/>
      <c r="L1655" s="37"/>
      <c r="M1655" s="20"/>
      <c r="N1655" s="37"/>
    </row>
    <row r="1656" spans="11:14" ht="13.2">
      <c r="K1656" s="20"/>
      <c r="L1656" s="37"/>
      <c r="M1656" s="20"/>
      <c r="N1656" s="37"/>
    </row>
    <row r="1657" spans="11:14" ht="13.2">
      <c r="K1657" s="20"/>
      <c r="L1657" s="37"/>
      <c r="M1657" s="20"/>
      <c r="N1657" s="37"/>
    </row>
    <row r="1658" spans="11:14" ht="13.2">
      <c r="K1658" s="20"/>
      <c r="L1658" s="37"/>
      <c r="M1658" s="20"/>
      <c r="N1658" s="37"/>
    </row>
    <row r="1659" spans="11:14" ht="13.2">
      <c r="K1659" s="20"/>
      <c r="L1659" s="37"/>
      <c r="M1659" s="20"/>
      <c r="N1659" s="37"/>
    </row>
    <row r="1660" spans="11:14" ht="13.2">
      <c r="K1660" s="20"/>
      <c r="L1660" s="37"/>
      <c r="M1660" s="20"/>
      <c r="N1660" s="37"/>
    </row>
    <row r="1661" spans="11:14" ht="13.2">
      <c r="K1661" s="20"/>
      <c r="L1661" s="37"/>
      <c r="M1661" s="20"/>
      <c r="N1661" s="37"/>
    </row>
    <row r="1662" spans="11:14" ht="13.2">
      <c r="K1662" s="20"/>
      <c r="L1662" s="37"/>
      <c r="M1662" s="20"/>
      <c r="N1662" s="37"/>
    </row>
    <row r="1663" spans="11:14" ht="13.2">
      <c r="K1663" s="20"/>
      <c r="L1663" s="37"/>
      <c r="M1663" s="20"/>
      <c r="N1663" s="37"/>
    </row>
    <row r="1664" spans="11:14" ht="13.2">
      <c r="K1664" s="20"/>
      <c r="L1664" s="37"/>
      <c r="M1664" s="20"/>
      <c r="N1664" s="37"/>
    </row>
    <row r="1665" spans="11:14" ht="13.2">
      <c r="K1665" s="20"/>
      <c r="L1665" s="37"/>
      <c r="M1665" s="20"/>
      <c r="N1665" s="37"/>
    </row>
    <row r="1666" spans="11:14" ht="13.2">
      <c r="K1666" s="20"/>
      <c r="L1666" s="37"/>
      <c r="M1666" s="20"/>
      <c r="N1666" s="37"/>
    </row>
    <row r="1667" spans="11:14" ht="13.2">
      <c r="K1667" s="20"/>
      <c r="L1667" s="37"/>
      <c r="M1667" s="20"/>
      <c r="N1667" s="37"/>
    </row>
    <row r="1668" spans="11:14" ht="13.2">
      <c r="K1668" s="20"/>
      <c r="L1668" s="37"/>
      <c r="M1668" s="20"/>
      <c r="N1668" s="37"/>
    </row>
    <row r="1669" spans="11:14" ht="13.2">
      <c r="K1669" s="20"/>
      <c r="L1669" s="37"/>
      <c r="M1669" s="20"/>
      <c r="N1669" s="37"/>
    </row>
    <row r="1670" spans="11:14" ht="13.2">
      <c r="K1670" s="20"/>
      <c r="L1670" s="37"/>
      <c r="M1670" s="20"/>
      <c r="N1670" s="37"/>
    </row>
    <row r="1671" spans="11:14" ht="13.2">
      <c r="K1671" s="20"/>
      <c r="L1671" s="37"/>
      <c r="M1671" s="20"/>
      <c r="N1671" s="37"/>
    </row>
    <row r="1672" spans="11:14" ht="13.2">
      <c r="K1672" s="20"/>
      <c r="L1672" s="37"/>
      <c r="M1672" s="20"/>
      <c r="N1672" s="37"/>
    </row>
    <row r="1673" spans="11:14" ht="13.2">
      <c r="K1673" s="20"/>
      <c r="L1673" s="37"/>
      <c r="M1673" s="20"/>
      <c r="N1673" s="37"/>
    </row>
    <row r="1674" spans="11:14" ht="13.2">
      <c r="K1674" s="20"/>
      <c r="L1674" s="37"/>
      <c r="M1674" s="20"/>
      <c r="N1674" s="37"/>
    </row>
    <row r="1675" spans="11:14" ht="13.2">
      <c r="K1675" s="20"/>
      <c r="L1675" s="37"/>
      <c r="M1675" s="20"/>
      <c r="N1675" s="37"/>
    </row>
    <row r="1676" spans="11:14" ht="13.2">
      <c r="K1676" s="20"/>
      <c r="L1676" s="37"/>
      <c r="M1676" s="20"/>
      <c r="N1676" s="37"/>
    </row>
    <row r="1677" spans="11:14" ht="13.2">
      <c r="K1677" s="20"/>
      <c r="L1677" s="37"/>
      <c r="M1677" s="20"/>
      <c r="N1677" s="37"/>
    </row>
    <row r="1678" spans="11:14" ht="13.2">
      <c r="K1678" s="20"/>
      <c r="L1678" s="37"/>
      <c r="M1678" s="20"/>
      <c r="N1678" s="37"/>
    </row>
    <row r="1679" spans="11:14" ht="13.2">
      <c r="K1679" s="20"/>
      <c r="L1679" s="37"/>
      <c r="M1679" s="20"/>
      <c r="N1679" s="37"/>
    </row>
    <row r="1680" spans="11:14" ht="13.2">
      <c r="K1680" s="20"/>
      <c r="L1680" s="37"/>
      <c r="M1680" s="20"/>
      <c r="N1680" s="37"/>
    </row>
    <row r="1681" spans="11:14" ht="13.2">
      <c r="K1681" s="20"/>
      <c r="L1681" s="37"/>
      <c r="M1681" s="20"/>
      <c r="N1681" s="37"/>
    </row>
    <row r="1682" spans="11:14" ht="13.2">
      <c r="K1682" s="20"/>
      <c r="L1682" s="37"/>
      <c r="M1682" s="20"/>
      <c r="N1682" s="37"/>
    </row>
    <row r="1683" spans="11:14" ht="13.2">
      <c r="K1683" s="20"/>
      <c r="L1683" s="37"/>
      <c r="M1683" s="20"/>
      <c r="N1683" s="37"/>
    </row>
    <row r="1684" spans="11:14" ht="13.2">
      <c r="K1684" s="20"/>
      <c r="L1684" s="37"/>
      <c r="M1684" s="20"/>
      <c r="N1684" s="37"/>
    </row>
    <row r="1685" spans="11:14" ht="13.2">
      <c r="K1685" s="20"/>
      <c r="L1685" s="37"/>
      <c r="M1685" s="20"/>
      <c r="N1685" s="37"/>
    </row>
    <row r="1686" spans="11:14" ht="13.2">
      <c r="K1686" s="20"/>
      <c r="L1686" s="37"/>
      <c r="M1686" s="20"/>
      <c r="N1686" s="37"/>
    </row>
    <row r="1687" spans="11:14" ht="13.2">
      <c r="K1687" s="20"/>
      <c r="L1687" s="37"/>
      <c r="M1687" s="20"/>
      <c r="N1687" s="37"/>
    </row>
    <row r="1688" spans="11:14" ht="13.2">
      <c r="K1688" s="20"/>
      <c r="L1688" s="37"/>
      <c r="M1688" s="20"/>
      <c r="N1688" s="37"/>
    </row>
    <row r="1689" spans="11:14" ht="13.2">
      <c r="K1689" s="20"/>
      <c r="L1689" s="37"/>
      <c r="M1689" s="20"/>
      <c r="N1689" s="37"/>
    </row>
    <row r="1690" spans="11:14" ht="13.2">
      <c r="K1690" s="20"/>
      <c r="L1690" s="37"/>
      <c r="M1690" s="20"/>
      <c r="N1690" s="37"/>
    </row>
    <row r="1691" spans="11:14" ht="13.2">
      <c r="K1691" s="20"/>
      <c r="L1691" s="37"/>
      <c r="M1691" s="20"/>
      <c r="N1691" s="37"/>
    </row>
    <row r="1692" spans="11:14" ht="13.2">
      <c r="K1692" s="20"/>
      <c r="L1692" s="37"/>
      <c r="M1692" s="20"/>
      <c r="N1692" s="37"/>
    </row>
    <row r="1693" spans="11:14" ht="13.2">
      <c r="K1693" s="20"/>
      <c r="L1693" s="37"/>
      <c r="M1693" s="20"/>
      <c r="N1693" s="37"/>
    </row>
    <row r="1694" spans="11:14" ht="13.2">
      <c r="K1694" s="20"/>
      <c r="L1694" s="37"/>
      <c r="M1694" s="20"/>
      <c r="N1694" s="37"/>
    </row>
    <row r="1695" spans="11:14" ht="13.2">
      <c r="K1695" s="20"/>
      <c r="L1695" s="37"/>
      <c r="M1695" s="20"/>
      <c r="N1695" s="37"/>
    </row>
    <row r="1696" spans="11:14" ht="13.2">
      <c r="K1696" s="20"/>
      <c r="L1696" s="37"/>
      <c r="M1696" s="20"/>
      <c r="N1696" s="37"/>
    </row>
    <row r="1697" spans="11:14" ht="13.2">
      <c r="K1697" s="20"/>
      <c r="L1697" s="37"/>
      <c r="M1697" s="20"/>
      <c r="N1697" s="37"/>
    </row>
    <row r="1698" spans="11:14" ht="13.2">
      <c r="K1698" s="20"/>
      <c r="L1698" s="37"/>
      <c r="M1698" s="20"/>
      <c r="N1698" s="37"/>
    </row>
    <row r="1699" spans="11:14" ht="13.2">
      <c r="K1699" s="20"/>
      <c r="L1699" s="37"/>
      <c r="M1699" s="20"/>
      <c r="N1699" s="37"/>
    </row>
    <row r="1700" spans="11:14" ht="13.2">
      <c r="K1700" s="20"/>
      <c r="L1700" s="37"/>
      <c r="M1700" s="20"/>
      <c r="N1700" s="37"/>
    </row>
    <row r="1701" spans="11:14" ht="13.2">
      <c r="K1701" s="20"/>
      <c r="L1701" s="37"/>
      <c r="M1701" s="20"/>
      <c r="N1701" s="37"/>
    </row>
    <row r="1702" spans="11:14" ht="13.2">
      <c r="K1702" s="20"/>
      <c r="L1702" s="37"/>
      <c r="M1702" s="20"/>
      <c r="N1702" s="37"/>
    </row>
    <row r="1703" spans="11:14" ht="13.2">
      <c r="K1703" s="20"/>
      <c r="L1703" s="37"/>
      <c r="M1703" s="20"/>
      <c r="N1703" s="37"/>
    </row>
    <row r="1704" spans="11:14" ht="13.2">
      <c r="K1704" s="20"/>
      <c r="L1704" s="37"/>
      <c r="M1704" s="20"/>
      <c r="N1704" s="37"/>
    </row>
    <row r="1705" spans="11:14" ht="13.2">
      <c r="K1705" s="20"/>
      <c r="L1705" s="37"/>
      <c r="M1705" s="20"/>
      <c r="N1705" s="37"/>
    </row>
    <row r="1706" spans="11:14" ht="13.2">
      <c r="K1706" s="20"/>
      <c r="L1706" s="37"/>
      <c r="M1706" s="20"/>
      <c r="N1706" s="37"/>
    </row>
    <row r="1707" spans="11:14" ht="13.2">
      <c r="K1707" s="20"/>
      <c r="L1707" s="37"/>
      <c r="M1707" s="20"/>
      <c r="N1707" s="37"/>
    </row>
    <row r="1708" spans="11:14" ht="13.2">
      <c r="K1708" s="20"/>
      <c r="L1708" s="37"/>
      <c r="M1708" s="20"/>
      <c r="N1708" s="37"/>
    </row>
    <row r="1709" spans="11:14" ht="13.2">
      <c r="K1709" s="20"/>
      <c r="L1709" s="37"/>
      <c r="M1709" s="20"/>
      <c r="N1709" s="37"/>
    </row>
    <row r="1710" spans="11:14" ht="13.2">
      <c r="K1710" s="20"/>
      <c r="L1710" s="37"/>
      <c r="M1710" s="20"/>
      <c r="N1710" s="37"/>
    </row>
    <row r="1711" spans="11:14" ht="13.2">
      <c r="K1711" s="20"/>
      <c r="L1711" s="37"/>
      <c r="M1711" s="20"/>
      <c r="N1711" s="37"/>
    </row>
    <row r="1712" spans="11:14" ht="13.2">
      <c r="K1712" s="20"/>
      <c r="L1712" s="37"/>
      <c r="M1712" s="20"/>
      <c r="N1712" s="37"/>
    </row>
    <row r="1713" spans="11:14" ht="13.2">
      <c r="K1713" s="20"/>
      <c r="L1713" s="37"/>
      <c r="M1713" s="20"/>
      <c r="N1713" s="37"/>
    </row>
    <row r="1714" spans="11:14" ht="13.2">
      <c r="K1714" s="20"/>
      <c r="L1714" s="37"/>
      <c r="M1714" s="20"/>
      <c r="N1714" s="37"/>
    </row>
    <row r="1715" spans="11:14" ht="13.2">
      <c r="K1715" s="20"/>
      <c r="L1715" s="37"/>
      <c r="M1715" s="20"/>
      <c r="N1715" s="37"/>
    </row>
    <row r="1716" spans="11:14" ht="13.2">
      <c r="K1716" s="20"/>
      <c r="L1716" s="37"/>
      <c r="M1716" s="20"/>
      <c r="N1716" s="37"/>
    </row>
    <row r="1717" spans="11:14" ht="13.2">
      <c r="K1717" s="20"/>
      <c r="L1717" s="37"/>
      <c r="M1717" s="20"/>
      <c r="N1717" s="37"/>
    </row>
    <row r="1718" spans="11:14" ht="13.2">
      <c r="K1718" s="20"/>
      <c r="L1718" s="37"/>
      <c r="M1718" s="20"/>
      <c r="N1718" s="37"/>
    </row>
    <row r="1719" spans="11:14" ht="13.2">
      <c r="K1719" s="20"/>
      <c r="L1719" s="37"/>
      <c r="M1719" s="20"/>
      <c r="N1719" s="37"/>
    </row>
    <row r="1720" spans="11:14" ht="13.2">
      <c r="K1720" s="20"/>
      <c r="L1720" s="37"/>
      <c r="M1720" s="20"/>
      <c r="N1720" s="37"/>
    </row>
    <row r="1721" spans="11:14" ht="13.2">
      <c r="K1721" s="20"/>
      <c r="L1721" s="37"/>
      <c r="M1721" s="20"/>
      <c r="N1721" s="37"/>
    </row>
    <row r="1722" spans="11:14" ht="13.2">
      <c r="K1722" s="20"/>
      <c r="L1722" s="37"/>
      <c r="M1722" s="20"/>
      <c r="N1722" s="37"/>
    </row>
    <row r="1723" spans="11:14" ht="13.2">
      <c r="K1723" s="20"/>
      <c r="L1723" s="37"/>
      <c r="M1723" s="20"/>
      <c r="N1723" s="37"/>
    </row>
    <row r="1724" spans="11:14" ht="13.2">
      <c r="K1724" s="20"/>
      <c r="L1724" s="37"/>
      <c r="M1724" s="20"/>
      <c r="N1724" s="37"/>
    </row>
    <row r="1725" spans="11:14" ht="13.2">
      <c r="K1725" s="20"/>
      <c r="L1725" s="37"/>
      <c r="M1725" s="20"/>
      <c r="N1725" s="37"/>
    </row>
    <row r="1726" spans="11:14" ht="13.2">
      <c r="K1726" s="20"/>
      <c r="L1726" s="37"/>
      <c r="M1726" s="20"/>
      <c r="N1726" s="37"/>
    </row>
    <row r="1727" spans="11:14" ht="13.2">
      <c r="K1727" s="20"/>
      <c r="L1727" s="37"/>
      <c r="M1727" s="20"/>
      <c r="N1727" s="37"/>
    </row>
    <row r="1728" spans="11:14" ht="13.2">
      <c r="K1728" s="20"/>
      <c r="L1728" s="37"/>
      <c r="M1728" s="20"/>
      <c r="N1728" s="37"/>
    </row>
    <row r="1729" spans="11:14" ht="13.2">
      <c r="K1729" s="20"/>
      <c r="L1729" s="37"/>
      <c r="M1729" s="20"/>
      <c r="N1729" s="37"/>
    </row>
    <row r="1730" spans="11:14" ht="13.2">
      <c r="K1730" s="20"/>
      <c r="L1730" s="37"/>
      <c r="M1730" s="20"/>
      <c r="N1730" s="37"/>
    </row>
    <row r="1731" spans="11:14" ht="13.2">
      <c r="K1731" s="20"/>
      <c r="L1731" s="37"/>
      <c r="M1731" s="20"/>
      <c r="N1731" s="37"/>
    </row>
    <row r="1732" spans="11:14" ht="13.2">
      <c r="K1732" s="20"/>
      <c r="L1732" s="37"/>
      <c r="M1732" s="20"/>
      <c r="N1732" s="37"/>
    </row>
    <row r="1733" spans="11:14" ht="13.2">
      <c r="K1733" s="20"/>
      <c r="L1733" s="37"/>
      <c r="M1733" s="20"/>
      <c r="N1733" s="37"/>
    </row>
    <row r="1734" spans="11:14" ht="13.2">
      <c r="K1734" s="20"/>
      <c r="L1734" s="37"/>
      <c r="M1734" s="20"/>
      <c r="N1734" s="37"/>
    </row>
    <row r="1735" spans="11:14" ht="13.2">
      <c r="K1735" s="20"/>
      <c r="L1735" s="37"/>
      <c r="M1735" s="20"/>
      <c r="N1735" s="37"/>
    </row>
    <row r="1736" spans="11:14" ht="13.2">
      <c r="K1736" s="20"/>
      <c r="L1736" s="37"/>
      <c r="M1736" s="20"/>
      <c r="N1736" s="37"/>
    </row>
    <row r="1737" spans="11:14" ht="13.2">
      <c r="K1737" s="20"/>
      <c r="L1737" s="37"/>
      <c r="M1737" s="20"/>
      <c r="N1737" s="37"/>
    </row>
    <row r="1738" spans="11:14" ht="13.2">
      <c r="K1738" s="20"/>
      <c r="L1738" s="37"/>
      <c r="M1738" s="20"/>
      <c r="N1738" s="37"/>
    </row>
    <row r="1739" spans="11:14" ht="13.2">
      <c r="K1739" s="20"/>
      <c r="L1739" s="37"/>
      <c r="M1739" s="20"/>
      <c r="N1739" s="37"/>
    </row>
    <row r="1740" spans="11:14" ht="13.2">
      <c r="K1740" s="20"/>
      <c r="L1740" s="37"/>
      <c r="M1740" s="20"/>
      <c r="N1740" s="37"/>
    </row>
    <row r="1741" spans="11:14" ht="13.2">
      <c r="K1741" s="20"/>
      <c r="L1741" s="37"/>
      <c r="M1741" s="20"/>
      <c r="N1741" s="37"/>
    </row>
    <row r="1742" spans="11:14" ht="13.2">
      <c r="K1742" s="20"/>
      <c r="L1742" s="37"/>
      <c r="M1742" s="20"/>
      <c r="N1742" s="37"/>
    </row>
    <row r="1743" spans="11:14" ht="13.2">
      <c r="K1743" s="20"/>
      <c r="L1743" s="37"/>
      <c r="M1743" s="20"/>
      <c r="N1743" s="37"/>
    </row>
    <row r="1744" spans="11:14" ht="13.2">
      <c r="K1744" s="20"/>
      <c r="L1744" s="37"/>
      <c r="M1744" s="20"/>
      <c r="N1744" s="37"/>
    </row>
    <row r="1745" spans="11:14" ht="13.2">
      <c r="K1745" s="20"/>
      <c r="L1745" s="37"/>
      <c r="M1745" s="20"/>
      <c r="N1745" s="37"/>
    </row>
    <row r="1746" spans="11:14" ht="13.2">
      <c r="K1746" s="20"/>
      <c r="L1746" s="37"/>
      <c r="M1746" s="20"/>
      <c r="N1746" s="37"/>
    </row>
    <row r="1747" spans="11:14" ht="13.2">
      <c r="K1747" s="20"/>
      <c r="L1747" s="37"/>
      <c r="M1747" s="20"/>
      <c r="N1747" s="37"/>
    </row>
    <row r="1748" spans="11:14" ht="13.2">
      <c r="K1748" s="20"/>
      <c r="L1748" s="37"/>
      <c r="M1748" s="20"/>
      <c r="N1748" s="37"/>
    </row>
    <row r="1749" spans="11:14" ht="13.2">
      <c r="K1749" s="20"/>
      <c r="L1749" s="37"/>
      <c r="M1749" s="20"/>
      <c r="N1749" s="37"/>
    </row>
    <row r="1750" spans="11:14" ht="13.2">
      <c r="K1750" s="20"/>
      <c r="L1750" s="37"/>
      <c r="M1750" s="20"/>
      <c r="N1750" s="37"/>
    </row>
    <row r="1751" spans="11:14" ht="13.2">
      <c r="K1751" s="20"/>
      <c r="L1751" s="37"/>
      <c r="M1751" s="20"/>
      <c r="N1751" s="37"/>
    </row>
    <row r="1752" spans="11:14" ht="13.2">
      <c r="K1752" s="20"/>
      <c r="L1752" s="37"/>
      <c r="M1752" s="20"/>
      <c r="N1752" s="37"/>
    </row>
    <row r="1753" spans="11:14" ht="13.2">
      <c r="K1753" s="20"/>
      <c r="L1753" s="37"/>
      <c r="M1753" s="20"/>
      <c r="N1753" s="37"/>
    </row>
    <row r="1754" spans="11:14" ht="13.2">
      <c r="K1754" s="20"/>
      <c r="L1754" s="37"/>
      <c r="M1754" s="20"/>
      <c r="N1754" s="37"/>
    </row>
    <row r="1755" spans="11:14" ht="13.2">
      <c r="K1755" s="20"/>
      <c r="L1755" s="37"/>
      <c r="M1755" s="20"/>
      <c r="N1755" s="37"/>
    </row>
    <row r="1756" spans="11:14" ht="13.2">
      <c r="K1756" s="20"/>
      <c r="L1756" s="37"/>
      <c r="M1756" s="20"/>
      <c r="N1756" s="37"/>
    </row>
    <row r="1757" spans="11:14" ht="13.2">
      <c r="K1757" s="20"/>
      <c r="L1757" s="37"/>
      <c r="M1757" s="20"/>
      <c r="N1757" s="37"/>
    </row>
    <row r="1758" spans="11:14" ht="13.2">
      <c r="K1758" s="20"/>
      <c r="L1758" s="37"/>
      <c r="M1758" s="20"/>
      <c r="N1758" s="37"/>
    </row>
    <row r="1759" spans="11:14" ht="13.2">
      <c r="K1759" s="20"/>
      <c r="L1759" s="37"/>
      <c r="M1759" s="20"/>
      <c r="N1759" s="37"/>
    </row>
    <row r="1760" spans="11:14" ht="13.2">
      <c r="K1760" s="20"/>
      <c r="L1760" s="37"/>
      <c r="M1760" s="20"/>
      <c r="N1760" s="37"/>
    </row>
    <row r="1761" spans="11:14" ht="13.2">
      <c r="K1761" s="20"/>
      <c r="L1761" s="37"/>
      <c r="M1761" s="20"/>
      <c r="N1761" s="37"/>
    </row>
    <row r="1762" spans="11:14" ht="13.2">
      <c r="K1762" s="20"/>
      <c r="L1762" s="37"/>
      <c r="M1762" s="20"/>
      <c r="N1762" s="37"/>
    </row>
    <row r="1763" spans="11:14" ht="13.2">
      <c r="K1763" s="20"/>
      <c r="L1763" s="37"/>
      <c r="M1763" s="20"/>
      <c r="N1763" s="37"/>
    </row>
    <row r="1764" spans="11:14" ht="13.2">
      <c r="K1764" s="20"/>
      <c r="L1764" s="37"/>
      <c r="M1764" s="20"/>
      <c r="N1764" s="37"/>
    </row>
    <row r="1765" spans="11:14" ht="13.2">
      <c r="K1765" s="20"/>
      <c r="L1765" s="37"/>
      <c r="M1765" s="20"/>
      <c r="N1765" s="37"/>
    </row>
    <row r="1766" spans="11:14" ht="13.2">
      <c r="K1766" s="20"/>
      <c r="L1766" s="37"/>
      <c r="M1766" s="20"/>
      <c r="N1766" s="37"/>
    </row>
    <row r="1767" spans="11:14" ht="13.2">
      <c r="K1767" s="20"/>
      <c r="L1767" s="37"/>
      <c r="M1767" s="20"/>
      <c r="N1767" s="37"/>
    </row>
    <row r="1768" spans="11:14" ht="13.2">
      <c r="K1768" s="20"/>
      <c r="L1768" s="37"/>
      <c r="M1768" s="20"/>
      <c r="N1768" s="37"/>
    </row>
    <row r="1769" spans="11:14" ht="13.2">
      <c r="K1769" s="20"/>
      <c r="L1769" s="37"/>
      <c r="M1769" s="20"/>
      <c r="N1769" s="37"/>
    </row>
    <row r="1770" spans="11:14" ht="13.2">
      <c r="K1770" s="20"/>
      <c r="L1770" s="37"/>
      <c r="M1770" s="20"/>
      <c r="N1770" s="37"/>
    </row>
    <row r="1771" spans="11:14" ht="13.2">
      <c r="K1771" s="20"/>
      <c r="L1771" s="37"/>
      <c r="M1771" s="20"/>
      <c r="N1771" s="37"/>
    </row>
    <row r="1772" spans="11:14" ht="13.2">
      <c r="K1772" s="20"/>
      <c r="L1772" s="37"/>
      <c r="M1772" s="20"/>
      <c r="N1772" s="37"/>
    </row>
    <row r="1773" spans="11:14" ht="13.2">
      <c r="K1773" s="20"/>
      <c r="L1773" s="37"/>
      <c r="M1773" s="20"/>
      <c r="N1773" s="37"/>
    </row>
    <row r="1774" spans="11:14" ht="13.2">
      <c r="K1774" s="20"/>
      <c r="L1774" s="37"/>
      <c r="M1774" s="20"/>
      <c r="N1774" s="37"/>
    </row>
    <row r="1775" spans="11:14" ht="13.2">
      <c r="K1775" s="20"/>
      <c r="L1775" s="37"/>
      <c r="M1775" s="20"/>
      <c r="N1775" s="37"/>
    </row>
    <row r="1776" spans="11:14" ht="13.2">
      <c r="K1776" s="20"/>
      <c r="L1776" s="37"/>
      <c r="M1776" s="20"/>
      <c r="N1776" s="37"/>
    </row>
    <row r="1777" spans="11:14" ht="13.2">
      <c r="K1777" s="20"/>
      <c r="L1777" s="37"/>
      <c r="M1777" s="20"/>
      <c r="N1777" s="37"/>
    </row>
    <row r="1778" spans="11:14" ht="13.2">
      <c r="K1778" s="20"/>
      <c r="L1778" s="37"/>
      <c r="M1778" s="20"/>
      <c r="N1778" s="37"/>
    </row>
    <row r="1779" spans="11:14" ht="13.2">
      <c r="K1779" s="20"/>
      <c r="L1779" s="37"/>
      <c r="M1779" s="20"/>
      <c r="N1779" s="37"/>
    </row>
    <row r="1780" spans="11:14" ht="13.2">
      <c r="K1780" s="20"/>
      <c r="L1780" s="37"/>
      <c r="M1780" s="20"/>
      <c r="N1780" s="37"/>
    </row>
    <row r="1781" spans="11:14" ht="13.2">
      <c r="K1781" s="20"/>
      <c r="L1781" s="37"/>
      <c r="M1781" s="20"/>
      <c r="N1781" s="37"/>
    </row>
    <row r="1782" spans="11:14" ht="13.2">
      <c r="K1782" s="20"/>
      <c r="L1782" s="37"/>
      <c r="M1782" s="20"/>
      <c r="N1782" s="37"/>
    </row>
    <row r="1783" spans="11:14" ht="13.2">
      <c r="K1783" s="20"/>
      <c r="L1783" s="37"/>
      <c r="M1783" s="20"/>
      <c r="N1783" s="37"/>
    </row>
    <row r="1784" spans="11:14" ht="13.2">
      <c r="K1784" s="20"/>
      <c r="L1784" s="37"/>
      <c r="M1784" s="20"/>
      <c r="N1784" s="37"/>
    </row>
    <row r="1785" spans="11:14" ht="13.2">
      <c r="K1785" s="20"/>
      <c r="L1785" s="37"/>
      <c r="M1785" s="20"/>
      <c r="N1785" s="37"/>
    </row>
    <row r="1786" spans="11:14" ht="13.2">
      <c r="K1786" s="20"/>
      <c r="L1786" s="37"/>
      <c r="M1786" s="20"/>
      <c r="N1786" s="37"/>
    </row>
    <row r="1787" spans="11:14" ht="13.2">
      <c r="K1787" s="20"/>
      <c r="L1787" s="37"/>
      <c r="M1787" s="20"/>
      <c r="N1787" s="37"/>
    </row>
    <row r="1788" spans="11:14" ht="13.2">
      <c r="K1788" s="20"/>
      <c r="L1788" s="37"/>
      <c r="M1788" s="20"/>
      <c r="N1788" s="37"/>
    </row>
    <row r="1789" spans="11:14" ht="13.2">
      <c r="K1789" s="20"/>
      <c r="L1789" s="37"/>
      <c r="M1789" s="20"/>
      <c r="N1789" s="37"/>
    </row>
    <row r="1790" spans="11:14" ht="13.2">
      <c r="K1790" s="20"/>
      <c r="L1790" s="37"/>
      <c r="M1790" s="20"/>
      <c r="N1790" s="37"/>
    </row>
    <row r="1791" spans="11:14" ht="13.2">
      <c r="K1791" s="20"/>
      <c r="L1791" s="37"/>
      <c r="M1791" s="20"/>
      <c r="N1791" s="37"/>
    </row>
    <row r="1792" spans="11:14" ht="13.2">
      <c r="K1792" s="20"/>
      <c r="L1792" s="37"/>
      <c r="M1792" s="20"/>
      <c r="N1792" s="37"/>
    </row>
    <row r="1793" spans="11:14" ht="13.2">
      <c r="K1793" s="20"/>
      <c r="L1793" s="37"/>
      <c r="M1793" s="20"/>
      <c r="N1793" s="37"/>
    </row>
    <row r="1794" spans="11:14" ht="13.2">
      <c r="K1794" s="20"/>
      <c r="L1794" s="37"/>
      <c r="M1794" s="20"/>
      <c r="N1794" s="37"/>
    </row>
    <row r="1795" spans="11:14" ht="13.2">
      <c r="K1795" s="20"/>
      <c r="L1795" s="37"/>
      <c r="M1795" s="20"/>
      <c r="N1795" s="37"/>
    </row>
    <row r="1796" spans="11:14" ht="13.2">
      <c r="K1796" s="20"/>
      <c r="L1796" s="37"/>
      <c r="M1796" s="20"/>
      <c r="N1796" s="37"/>
    </row>
    <row r="1797" spans="11:14" ht="13.2">
      <c r="K1797" s="20"/>
      <c r="L1797" s="37"/>
      <c r="M1797" s="20"/>
      <c r="N1797" s="37"/>
    </row>
    <row r="1798" spans="11:14" ht="13.2">
      <c r="K1798" s="20"/>
      <c r="L1798" s="37"/>
      <c r="M1798" s="20"/>
      <c r="N1798" s="37"/>
    </row>
    <row r="1799" spans="11:14" ht="13.2">
      <c r="K1799" s="20"/>
      <c r="L1799" s="37"/>
      <c r="M1799" s="20"/>
      <c r="N1799" s="37"/>
    </row>
    <row r="1800" spans="11:14" ht="13.2">
      <c r="K1800" s="20"/>
      <c r="L1800" s="37"/>
      <c r="M1800" s="20"/>
      <c r="N1800" s="37"/>
    </row>
    <row r="1801" spans="11:14" ht="13.2">
      <c r="K1801" s="20"/>
      <c r="L1801" s="37"/>
      <c r="M1801" s="20"/>
      <c r="N1801" s="37"/>
    </row>
    <row r="1802" spans="11:14" ht="13.2">
      <c r="K1802" s="20"/>
      <c r="L1802" s="37"/>
      <c r="M1802" s="20"/>
      <c r="N1802" s="37"/>
    </row>
    <row r="1803" spans="11:14" ht="13.2">
      <c r="K1803" s="20"/>
      <c r="L1803" s="37"/>
      <c r="M1803" s="20"/>
      <c r="N1803" s="37"/>
    </row>
    <row r="1804" spans="11:14" ht="13.2">
      <c r="K1804" s="20"/>
      <c r="L1804" s="37"/>
      <c r="M1804" s="20"/>
      <c r="N1804" s="37"/>
    </row>
    <row r="1805" spans="11:14" ht="13.2">
      <c r="K1805" s="20"/>
      <c r="L1805" s="37"/>
      <c r="M1805" s="20"/>
      <c r="N1805" s="37"/>
    </row>
    <row r="1806" spans="11:14" ht="13.2">
      <c r="K1806" s="20"/>
      <c r="L1806" s="37"/>
      <c r="M1806" s="20"/>
      <c r="N1806" s="37"/>
    </row>
    <row r="1807" spans="11:14" ht="13.2">
      <c r="K1807" s="20"/>
      <c r="L1807" s="37"/>
      <c r="M1807" s="20"/>
      <c r="N1807" s="37"/>
    </row>
    <row r="1808" spans="11:14" ht="13.2">
      <c r="K1808" s="20"/>
      <c r="L1808" s="37"/>
      <c r="M1808" s="20"/>
      <c r="N1808" s="37"/>
    </row>
    <row r="1809" spans="11:14" ht="13.2">
      <c r="K1809" s="20"/>
      <c r="L1809" s="37"/>
      <c r="M1809" s="20"/>
      <c r="N1809" s="37"/>
    </row>
    <row r="1810" spans="11:14" ht="13.2">
      <c r="K1810" s="20"/>
      <c r="L1810" s="37"/>
      <c r="M1810" s="20"/>
      <c r="N1810" s="37"/>
    </row>
    <row r="1811" spans="11:14" ht="13.2">
      <c r="K1811" s="20"/>
      <c r="L1811" s="37"/>
      <c r="M1811" s="20"/>
      <c r="N1811" s="37"/>
    </row>
    <row r="1812" spans="11:14" ht="13.2">
      <c r="K1812" s="20"/>
      <c r="L1812" s="37"/>
      <c r="M1812" s="20"/>
      <c r="N1812" s="37"/>
    </row>
    <row r="1813" spans="11:14" ht="13.2">
      <c r="K1813" s="20"/>
      <c r="L1813" s="37"/>
      <c r="M1813" s="20"/>
      <c r="N1813" s="37"/>
    </row>
    <row r="1814" spans="11:14" ht="13.2">
      <c r="K1814" s="20"/>
      <c r="L1814" s="37"/>
      <c r="M1814" s="20"/>
      <c r="N1814" s="37"/>
    </row>
    <row r="1815" spans="11:14" ht="13.2">
      <c r="K1815" s="20"/>
      <c r="L1815" s="37"/>
      <c r="M1815" s="20"/>
      <c r="N1815" s="37"/>
    </row>
    <row r="1816" spans="11:14" ht="13.2">
      <c r="K1816" s="20"/>
      <c r="L1816" s="37"/>
      <c r="M1816" s="20"/>
      <c r="N1816" s="37"/>
    </row>
    <row r="1817" spans="11:14" ht="13.2">
      <c r="K1817" s="20"/>
      <c r="L1817" s="37"/>
      <c r="M1817" s="20"/>
      <c r="N1817" s="37"/>
    </row>
    <row r="1818" spans="11:14" ht="13.2">
      <c r="K1818" s="20"/>
      <c r="L1818" s="37"/>
      <c r="M1818" s="20"/>
      <c r="N1818" s="37"/>
    </row>
    <row r="1819" spans="11:14" ht="13.2">
      <c r="K1819" s="20"/>
      <c r="L1819" s="37"/>
      <c r="M1819" s="20"/>
      <c r="N1819" s="37"/>
    </row>
    <row r="1820" spans="11:14" ht="13.2">
      <c r="K1820" s="20"/>
      <c r="L1820" s="37"/>
      <c r="M1820" s="20"/>
      <c r="N1820" s="37"/>
    </row>
    <row r="1821" spans="11:14" ht="13.2">
      <c r="K1821" s="20"/>
      <c r="L1821" s="37"/>
      <c r="M1821" s="20"/>
      <c r="N1821" s="37"/>
    </row>
    <row r="1822" spans="11:14" ht="13.2">
      <c r="K1822" s="20"/>
      <c r="L1822" s="37"/>
      <c r="M1822" s="20"/>
      <c r="N1822" s="37"/>
    </row>
    <row r="1823" spans="11:14" ht="13.2">
      <c r="K1823" s="20"/>
      <c r="L1823" s="37"/>
      <c r="M1823" s="20"/>
      <c r="N1823" s="37"/>
    </row>
    <row r="1824" spans="11:14" ht="13.2">
      <c r="K1824" s="20"/>
      <c r="L1824" s="37"/>
      <c r="M1824" s="20"/>
      <c r="N1824" s="37"/>
    </row>
    <row r="1825" spans="11:14" ht="13.2">
      <c r="K1825" s="20"/>
      <c r="L1825" s="37"/>
      <c r="M1825" s="20"/>
      <c r="N1825" s="37"/>
    </row>
    <row r="1826" spans="11:14" ht="13.2">
      <c r="K1826" s="20"/>
      <c r="L1826" s="37"/>
      <c r="M1826" s="20"/>
      <c r="N1826" s="37"/>
    </row>
    <row r="1827" spans="11:14" ht="13.2">
      <c r="K1827" s="20"/>
      <c r="L1827" s="37"/>
      <c r="M1827" s="20"/>
      <c r="N1827" s="37"/>
    </row>
    <row r="1828" spans="11:14" ht="13.2">
      <c r="K1828" s="20"/>
      <c r="L1828" s="37"/>
      <c r="M1828" s="20"/>
      <c r="N1828" s="37"/>
    </row>
    <row r="1829" spans="11:14" ht="13.2">
      <c r="K1829" s="20"/>
      <c r="L1829" s="37"/>
      <c r="M1829" s="20"/>
      <c r="N1829" s="37"/>
    </row>
    <row r="1830" spans="11:14" ht="13.2">
      <c r="K1830" s="20"/>
      <c r="L1830" s="37"/>
      <c r="M1830" s="20"/>
      <c r="N1830" s="37"/>
    </row>
    <row r="1831" spans="11:14" ht="13.2">
      <c r="K1831" s="20"/>
      <c r="L1831" s="37"/>
      <c r="M1831" s="20"/>
      <c r="N1831" s="37"/>
    </row>
    <row r="1832" spans="11:14" ht="13.2">
      <c r="K1832" s="20"/>
      <c r="L1832" s="37"/>
      <c r="M1832" s="20"/>
      <c r="N1832" s="37"/>
    </row>
    <row r="1833" spans="11:14" ht="13.2">
      <c r="K1833" s="20"/>
      <c r="L1833" s="37"/>
      <c r="M1833" s="20"/>
      <c r="N1833" s="37"/>
    </row>
    <row r="1834" spans="11:14" ht="13.2">
      <c r="K1834" s="20"/>
      <c r="L1834" s="37"/>
      <c r="M1834" s="20"/>
      <c r="N1834" s="37"/>
    </row>
    <row r="1835" spans="11:14" ht="13.2">
      <c r="K1835" s="20"/>
      <c r="L1835" s="37"/>
      <c r="M1835" s="20"/>
      <c r="N1835" s="37"/>
    </row>
    <row r="1836" spans="11:14" ht="13.2">
      <c r="K1836" s="20"/>
      <c r="L1836" s="37"/>
      <c r="M1836" s="20"/>
      <c r="N1836" s="37"/>
    </row>
    <row r="1837" spans="11:14" ht="13.2">
      <c r="K1837" s="20"/>
      <c r="L1837" s="37"/>
      <c r="M1837" s="20"/>
      <c r="N1837" s="37"/>
    </row>
    <row r="1838" spans="11:14" ht="13.2">
      <c r="K1838" s="20"/>
      <c r="L1838" s="37"/>
      <c r="M1838" s="20"/>
      <c r="N1838" s="37"/>
    </row>
    <row r="1839" spans="11:14" ht="13.2">
      <c r="K1839" s="20"/>
      <c r="L1839" s="37"/>
      <c r="M1839" s="20"/>
      <c r="N1839" s="37"/>
    </row>
    <row r="1840" spans="11:14" ht="13.2">
      <c r="K1840" s="20"/>
      <c r="L1840" s="37"/>
      <c r="M1840" s="20"/>
      <c r="N1840" s="37"/>
    </row>
    <row r="1841" spans="11:14" ht="13.2">
      <c r="K1841" s="20"/>
      <c r="L1841" s="37"/>
      <c r="M1841" s="20"/>
      <c r="N1841" s="37"/>
    </row>
    <row r="1842" spans="11:14" ht="13.2">
      <c r="K1842" s="20"/>
      <c r="L1842" s="37"/>
      <c r="M1842" s="20"/>
      <c r="N1842" s="37"/>
    </row>
    <row r="1843" spans="11:14" ht="13.2">
      <c r="K1843" s="20"/>
      <c r="L1843" s="37"/>
      <c r="M1843" s="20"/>
      <c r="N1843" s="37"/>
    </row>
    <row r="1844" spans="11:14" ht="13.2">
      <c r="K1844" s="20"/>
      <c r="L1844" s="37"/>
      <c r="M1844" s="20"/>
      <c r="N1844" s="37"/>
    </row>
    <row r="1845" spans="11:14" ht="13.2">
      <c r="K1845" s="20"/>
      <c r="L1845" s="37"/>
      <c r="M1845" s="20"/>
      <c r="N1845" s="37"/>
    </row>
    <row r="1846" spans="11:14" ht="13.2">
      <c r="K1846" s="20"/>
      <c r="L1846" s="37"/>
      <c r="M1846" s="20"/>
      <c r="N1846" s="37"/>
    </row>
    <row r="1847" spans="11:14" ht="13.2">
      <c r="K1847" s="20"/>
      <c r="L1847" s="37"/>
      <c r="M1847" s="20"/>
      <c r="N1847" s="37"/>
    </row>
    <row r="1848" spans="11:14" ht="13.2">
      <c r="K1848" s="20"/>
      <c r="L1848" s="37"/>
      <c r="M1848" s="20"/>
      <c r="N1848" s="37"/>
    </row>
    <row r="1849" spans="11:14" ht="13.2">
      <c r="K1849" s="20"/>
      <c r="L1849" s="37"/>
      <c r="M1849" s="20"/>
      <c r="N1849" s="37"/>
    </row>
    <row r="1850" spans="11:14" ht="13.2">
      <c r="K1850" s="20"/>
      <c r="L1850" s="37"/>
      <c r="M1850" s="20"/>
      <c r="N1850" s="37"/>
    </row>
    <row r="1851" spans="11:14" ht="13.2">
      <c r="K1851" s="20"/>
      <c r="L1851" s="37"/>
      <c r="M1851" s="20"/>
      <c r="N1851" s="37"/>
    </row>
    <row r="1852" spans="11:14" ht="13.2">
      <c r="K1852" s="20"/>
      <c r="L1852" s="37"/>
      <c r="M1852" s="20"/>
      <c r="N1852" s="37"/>
    </row>
    <row r="1853" spans="11:14" ht="13.2">
      <c r="K1853" s="20"/>
      <c r="L1853" s="37"/>
      <c r="M1853" s="20"/>
      <c r="N1853" s="37"/>
    </row>
    <row r="1854" spans="11:14" ht="13.2">
      <c r="K1854" s="20"/>
      <c r="L1854" s="37"/>
      <c r="M1854" s="20"/>
      <c r="N1854" s="37"/>
    </row>
    <row r="1855" spans="11:14" ht="13.2">
      <c r="K1855" s="20"/>
      <c r="L1855" s="37"/>
      <c r="M1855" s="20"/>
      <c r="N1855" s="37"/>
    </row>
    <row r="1856" spans="11:14" ht="13.2">
      <c r="K1856" s="20"/>
      <c r="L1856" s="37"/>
      <c r="M1856" s="20"/>
      <c r="N1856" s="37"/>
    </row>
    <row r="1857" spans="11:14" ht="13.2">
      <c r="K1857" s="20"/>
      <c r="L1857" s="37"/>
      <c r="M1857" s="20"/>
      <c r="N1857" s="37"/>
    </row>
    <row r="1858" spans="11:14" ht="13.2">
      <c r="K1858" s="20"/>
      <c r="L1858" s="37"/>
      <c r="M1858" s="20"/>
      <c r="N1858" s="37"/>
    </row>
    <row r="1859" spans="11:14" ht="13.2">
      <c r="K1859" s="20"/>
      <c r="L1859" s="37"/>
      <c r="M1859" s="20"/>
      <c r="N1859" s="37"/>
    </row>
    <row r="1860" spans="11:14" ht="13.2">
      <c r="K1860" s="20"/>
      <c r="L1860" s="37"/>
      <c r="M1860" s="20"/>
      <c r="N1860" s="37"/>
    </row>
    <row r="1861" spans="11:14" ht="13.2">
      <c r="K1861" s="20"/>
      <c r="L1861" s="37"/>
      <c r="M1861" s="20"/>
      <c r="N1861" s="37"/>
    </row>
    <row r="1862" spans="11:14" ht="13.2">
      <c r="K1862" s="20"/>
      <c r="L1862" s="37"/>
      <c r="M1862" s="20"/>
      <c r="N1862" s="37"/>
    </row>
    <row r="1863" spans="11:14" ht="13.2">
      <c r="K1863" s="20"/>
      <c r="L1863" s="37"/>
      <c r="M1863" s="20"/>
      <c r="N1863" s="37"/>
    </row>
    <row r="1864" spans="11:14" ht="13.2">
      <c r="K1864" s="20"/>
      <c r="L1864" s="37"/>
      <c r="M1864" s="20"/>
      <c r="N1864" s="37"/>
    </row>
    <row r="1865" spans="11:14" ht="13.2">
      <c r="K1865" s="20"/>
      <c r="L1865" s="37"/>
      <c r="M1865" s="20"/>
      <c r="N1865" s="37"/>
    </row>
    <row r="1866" spans="11:14" ht="13.2">
      <c r="K1866" s="20"/>
      <c r="L1866" s="37"/>
      <c r="M1866" s="20"/>
      <c r="N1866" s="37"/>
    </row>
    <row r="1867" spans="11:14" ht="13.2">
      <c r="K1867" s="20"/>
      <c r="L1867" s="37"/>
      <c r="M1867" s="20"/>
      <c r="N1867" s="37"/>
    </row>
    <row r="1868" spans="11:14" ht="13.2">
      <c r="K1868" s="20"/>
      <c r="L1868" s="37"/>
      <c r="M1868" s="20"/>
      <c r="N1868" s="37"/>
    </row>
    <row r="1869" spans="11:14" ht="13.2">
      <c r="K1869" s="20"/>
      <c r="L1869" s="37"/>
      <c r="M1869" s="20"/>
      <c r="N1869" s="37"/>
    </row>
    <row r="1870" spans="11:14" ht="13.2">
      <c r="K1870" s="20"/>
      <c r="L1870" s="37"/>
      <c r="M1870" s="20"/>
      <c r="N1870" s="37"/>
    </row>
    <row r="1871" spans="11:14" ht="13.2">
      <c r="K1871" s="20"/>
      <c r="L1871" s="37"/>
      <c r="M1871" s="20"/>
      <c r="N1871" s="37"/>
    </row>
    <row r="1872" spans="11:14" ht="13.2">
      <c r="K1872" s="20"/>
      <c r="L1872" s="37"/>
      <c r="M1872" s="20"/>
      <c r="N1872" s="37"/>
    </row>
    <row r="1873" spans="11:14" ht="13.2">
      <c r="K1873" s="20"/>
      <c r="L1873" s="37"/>
      <c r="M1873" s="20"/>
      <c r="N1873" s="37"/>
    </row>
    <row r="1874" spans="11:14" ht="13.2">
      <c r="K1874" s="20"/>
      <c r="L1874" s="37"/>
      <c r="M1874" s="20"/>
      <c r="N1874" s="37"/>
    </row>
    <row r="1875" spans="11:14" ht="13.2">
      <c r="K1875" s="20"/>
      <c r="L1875" s="37"/>
      <c r="M1875" s="20"/>
      <c r="N1875" s="37"/>
    </row>
    <row r="1876" spans="11:14" ht="13.2">
      <c r="K1876" s="20"/>
      <c r="L1876" s="37"/>
      <c r="M1876" s="20"/>
      <c r="N1876" s="37"/>
    </row>
    <row r="1877" spans="11:14" ht="13.2">
      <c r="K1877" s="20"/>
      <c r="L1877" s="37"/>
      <c r="M1877" s="20"/>
      <c r="N1877" s="37"/>
    </row>
    <row r="1878" spans="11:14" ht="13.2">
      <c r="K1878" s="20"/>
      <c r="L1878" s="37"/>
      <c r="M1878" s="20"/>
      <c r="N1878" s="37"/>
    </row>
    <row r="1879" spans="11:14" ht="13.2">
      <c r="K1879" s="20"/>
      <c r="L1879" s="37"/>
      <c r="M1879" s="20"/>
      <c r="N1879" s="37"/>
    </row>
    <row r="1880" spans="11:14" ht="13.2">
      <c r="K1880" s="20"/>
      <c r="L1880" s="37"/>
      <c r="M1880" s="20"/>
      <c r="N1880" s="37"/>
    </row>
    <row r="1881" spans="11:14" ht="13.2">
      <c r="K1881" s="20"/>
      <c r="L1881" s="37"/>
      <c r="M1881" s="20"/>
      <c r="N1881" s="37"/>
    </row>
    <row r="1882" spans="11:14" ht="13.2">
      <c r="K1882" s="20"/>
      <c r="L1882" s="37"/>
      <c r="M1882" s="20"/>
      <c r="N1882" s="37"/>
    </row>
    <row r="1883" spans="11:14" ht="13.2">
      <c r="K1883" s="20"/>
      <c r="L1883" s="37"/>
      <c r="M1883" s="20"/>
      <c r="N1883" s="37"/>
    </row>
    <row r="1884" spans="11:14" ht="13.2">
      <c r="K1884" s="20"/>
      <c r="L1884" s="37"/>
      <c r="M1884" s="20"/>
      <c r="N1884" s="37"/>
    </row>
    <row r="1885" spans="11:14" ht="13.2">
      <c r="K1885" s="20"/>
      <c r="L1885" s="37"/>
      <c r="M1885" s="20"/>
      <c r="N1885" s="37"/>
    </row>
    <row r="1886" spans="11:14" ht="13.2">
      <c r="K1886" s="20"/>
      <c r="L1886" s="37"/>
      <c r="M1886" s="20"/>
      <c r="N1886" s="37"/>
    </row>
    <row r="1887" spans="11:14" ht="13.2">
      <c r="K1887" s="20"/>
      <c r="L1887" s="37"/>
      <c r="M1887" s="20"/>
      <c r="N1887" s="37"/>
    </row>
    <row r="1888" spans="11:14" ht="13.2">
      <c r="K1888" s="20"/>
      <c r="L1888" s="37"/>
      <c r="M1888" s="20"/>
      <c r="N1888" s="37"/>
    </row>
    <row r="1889" spans="11:14" ht="13.2">
      <c r="K1889" s="20"/>
      <c r="L1889" s="37"/>
      <c r="M1889" s="20"/>
      <c r="N1889" s="37"/>
    </row>
    <row r="1890" spans="11:14" ht="13.2">
      <c r="K1890" s="20"/>
      <c r="L1890" s="37"/>
      <c r="M1890" s="20"/>
      <c r="N1890" s="37"/>
    </row>
    <row r="1891" spans="11:14" ht="13.2">
      <c r="K1891" s="20"/>
      <c r="L1891" s="37"/>
      <c r="M1891" s="20"/>
      <c r="N1891" s="37"/>
    </row>
    <row r="1892" spans="11:14" ht="13.2">
      <c r="K1892" s="20"/>
      <c r="L1892" s="37"/>
      <c r="M1892" s="20"/>
      <c r="N1892" s="37"/>
    </row>
    <row r="1893" spans="11:14" ht="13.2">
      <c r="K1893" s="20"/>
      <c r="L1893" s="37"/>
      <c r="M1893" s="20"/>
      <c r="N1893" s="37"/>
    </row>
    <row r="1894" spans="11:14" ht="13.2">
      <c r="K1894" s="20"/>
      <c r="L1894" s="37"/>
      <c r="M1894" s="20"/>
      <c r="N1894" s="37"/>
    </row>
    <row r="1895" spans="11:14" ht="13.2">
      <c r="K1895" s="20"/>
      <c r="L1895" s="37"/>
      <c r="M1895" s="20"/>
      <c r="N1895" s="37"/>
    </row>
    <row r="1896" spans="11:14" ht="13.2">
      <c r="K1896" s="20"/>
      <c r="L1896" s="37"/>
      <c r="M1896" s="20"/>
      <c r="N1896" s="37"/>
    </row>
    <row r="1897" spans="11:14" ht="13.2">
      <c r="K1897" s="20"/>
      <c r="L1897" s="37"/>
      <c r="M1897" s="20"/>
      <c r="N1897" s="37"/>
    </row>
    <row r="1898" spans="11:14" ht="13.2">
      <c r="K1898" s="20"/>
      <c r="L1898" s="37"/>
      <c r="M1898" s="20"/>
      <c r="N1898" s="37"/>
    </row>
    <row r="1899" spans="11:14" ht="13.2">
      <c r="K1899" s="20"/>
      <c r="L1899" s="37"/>
      <c r="M1899" s="20"/>
      <c r="N1899" s="37"/>
    </row>
    <row r="1900" spans="11:14" ht="13.2">
      <c r="K1900" s="20"/>
      <c r="L1900" s="37"/>
      <c r="M1900" s="20"/>
      <c r="N1900" s="37"/>
    </row>
    <row r="1901" spans="11:14" ht="13.2">
      <c r="K1901" s="20"/>
      <c r="L1901" s="37"/>
      <c r="M1901" s="20"/>
      <c r="N1901" s="37"/>
    </row>
    <row r="1902" spans="11:14" ht="13.2">
      <c r="K1902" s="20"/>
      <c r="L1902" s="37"/>
      <c r="M1902" s="20"/>
      <c r="N1902" s="37"/>
    </row>
    <row r="1903" spans="11:14" ht="13.2">
      <c r="K1903" s="20"/>
      <c r="L1903" s="37"/>
      <c r="M1903" s="20"/>
      <c r="N1903" s="37"/>
    </row>
    <row r="1904" spans="11:14" ht="13.2">
      <c r="K1904" s="20"/>
      <c r="L1904" s="37"/>
      <c r="M1904" s="20"/>
      <c r="N1904" s="37"/>
    </row>
    <row r="1905" spans="11:14" ht="13.2">
      <c r="K1905" s="20"/>
      <c r="L1905" s="37"/>
      <c r="M1905" s="20"/>
      <c r="N1905" s="37"/>
    </row>
    <row r="1906" spans="11:14" ht="13.2">
      <c r="K1906" s="20"/>
      <c r="L1906" s="37"/>
      <c r="M1906" s="20"/>
      <c r="N1906" s="37"/>
    </row>
    <row r="1907" spans="11:14" ht="13.2">
      <c r="K1907" s="20"/>
      <c r="L1907" s="37"/>
      <c r="M1907" s="20"/>
      <c r="N1907" s="37"/>
    </row>
    <row r="1908" spans="11:14" ht="13.2">
      <c r="K1908" s="20"/>
      <c r="L1908" s="37"/>
      <c r="M1908" s="20"/>
      <c r="N1908" s="37"/>
    </row>
    <row r="1909" spans="11:14" ht="13.2">
      <c r="K1909" s="20"/>
      <c r="L1909" s="37"/>
      <c r="M1909" s="20"/>
      <c r="N1909" s="37"/>
    </row>
    <row r="1910" spans="11:14" ht="13.2">
      <c r="K1910" s="20"/>
      <c r="L1910" s="37"/>
      <c r="M1910" s="20"/>
      <c r="N1910" s="37"/>
    </row>
    <row r="1911" spans="11:14" ht="13.2">
      <c r="K1911" s="20"/>
      <c r="L1911" s="37"/>
      <c r="M1911" s="20"/>
      <c r="N1911" s="37"/>
    </row>
    <row r="1912" spans="11:14" ht="13.2">
      <c r="K1912" s="20"/>
      <c r="L1912" s="37"/>
      <c r="M1912" s="20"/>
      <c r="N1912" s="37"/>
    </row>
    <row r="1913" spans="11:14" ht="13.2">
      <c r="K1913" s="20"/>
      <c r="L1913" s="37"/>
      <c r="M1913" s="20"/>
      <c r="N1913" s="37"/>
    </row>
    <row r="1914" spans="11:14" ht="13.2">
      <c r="K1914" s="20"/>
      <c r="L1914" s="37"/>
      <c r="M1914" s="20"/>
      <c r="N1914" s="37"/>
    </row>
    <row r="1915" spans="11:14" ht="13.2">
      <c r="K1915" s="20"/>
      <c r="L1915" s="37"/>
      <c r="M1915" s="20"/>
      <c r="N1915" s="37"/>
    </row>
    <row r="1916" spans="11:14" ht="13.2">
      <c r="K1916" s="20"/>
      <c r="L1916" s="37"/>
      <c r="M1916" s="20"/>
      <c r="N1916" s="37"/>
    </row>
    <row r="1917" spans="11:14" ht="13.2">
      <c r="K1917" s="20"/>
      <c r="L1917" s="37"/>
      <c r="M1917" s="20"/>
      <c r="N1917" s="37"/>
    </row>
    <row r="1918" spans="11:14" ht="13.2">
      <c r="K1918" s="20"/>
      <c r="L1918" s="37"/>
      <c r="M1918" s="20"/>
      <c r="N1918" s="37"/>
    </row>
    <row r="1919" spans="11:14" ht="13.2">
      <c r="K1919" s="20"/>
      <c r="L1919" s="37"/>
      <c r="M1919" s="20"/>
      <c r="N1919" s="37"/>
    </row>
    <row r="1920" spans="11:14" ht="13.2">
      <c r="K1920" s="20"/>
      <c r="L1920" s="37"/>
      <c r="M1920" s="20"/>
      <c r="N1920" s="37"/>
    </row>
    <row r="1921" spans="11:14" ht="13.2">
      <c r="K1921" s="20"/>
      <c r="L1921" s="37"/>
      <c r="M1921" s="20"/>
      <c r="N1921" s="37"/>
    </row>
    <row r="1922" spans="11:14" ht="13.2">
      <c r="K1922" s="20"/>
      <c r="L1922" s="37"/>
      <c r="M1922" s="20"/>
      <c r="N1922" s="37"/>
    </row>
    <row r="1923" spans="11:14" ht="13.2">
      <c r="K1923" s="20"/>
      <c r="L1923" s="37"/>
      <c r="M1923" s="20"/>
      <c r="N1923" s="37"/>
    </row>
    <row r="1924" spans="11:14" ht="13.2">
      <c r="K1924" s="20"/>
      <c r="L1924" s="37"/>
      <c r="M1924" s="20"/>
      <c r="N1924" s="37"/>
    </row>
    <row r="1925" spans="11:14" ht="13.2">
      <c r="K1925" s="20"/>
      <c r="L1925" s="37"/>
      <c r="M1925" s="20"/>
      <c r="N1925" s="37"/>
    </row>
    <row r="1926" spans="11:14" ht="13.2">
      <c r="K1926" s="20"/>
      <c r="L1926" s="37"/>
      <c r="M1926" s="20"/>
      <c r="N1926" s="37"/>
    </row>
    <row r="1927" spans="11:14" ht="13.2">
      <c r="K1927" s="20"/>
      <c r="L1927" s="37"/>
      <c r="M1927" s="20"/>
      <c r="N1927" s="37"/>
    </row>
    <row r="1928" spans="11:14" ht="13.2">
      <c r="K1928" s="20"/>
      <c r="L1928" s="37"/>
      <c r="M1928" s="20"/>
      <c r="N1928" s="37"/>
    </row>
    <row r="1929" spans="11:14" ht="13.2">
      <c r="K1929" s="20"/>
      <c r="L1929" s="37"/>
      <c r="M1929" s="20"/>
      <c r="N1929" s="37"/>
    </row>
    <row r="1930" spans="11:14" ht="13.2">
      <c r="K1930" s="20"/>
      <c r="L1930" s="37"/>
      <c r="M1930" s="20"/>
      <c r="N1930" s="37"/>
    </row>
    <row r="1931" spans="11:14" ht="13.2">
      <c r="K1931" s="20"/>
      <c r="L1931" s="37"/>
      <c r="M1931" s="20"/>
      <c r="N1931" s="37"/>
    </row>
    <row r="1932" spans="11:14" ht="13.2">
      <c r="K1932" s="20"/>
      <c r="L1932" s="37"/>
      <c r="M1932" s="20"/>
      <c r="N1932" s="37"/>
    </row>
    <row r="1933" spans="11:14" ht="13.2">
      <c r="K1933" s="20"/>
      <c r="L1933" s="37"/>
      <c r="M1933" s="20"/>
      <c r="N1933" s="37"/>
    </row>
    <row r="1934" spans="11:14" ht="13.2">
      <c r="K1934" s="20"/>
      <c r="L1934" s="37"/>
      <c r="M1934" s="20"/>
      <c r="N1934" s="37"/>
    </row>
    <row r="1935" spans="11:14" ht="13.2">
      <c r="K1935" s="20"/>
      <c r="L1935" s="37"/>
      <c r="M1935" s="20"/>
      <c r="N1935" s="37"/>
    </row>
    <row r="1936" spans="11:14" ht="13.2">
      <c r="K1936" s="20"/>
      <c r="L1936" s="37"/>
      <c r="M1936" s="20"/>
      <c r="N1936" s="37"/>
    </row>
    <row r="1937" spans="11:14" ht="13.2">
      <c r="K1937" s="20"/>
      <c r="L1937" s="37"/>
      <c r="M1937" s="20"/>
      <c r="N1937" s="37"/>
    </row>
    <row r="1938" spans="11:14" ht="13.2">
      <c r="K1938" s="20"/>
      <c r="L1938" s="37"/>
      <c r="M1938" s="20"/>
      <c r="N1938" s="37"/>
    </row>
    <row r="1939" spans="11:14" ht="13.2">
      <c r="K1939" s="20"/>
      <c r="L1939" s="37"/>
      <c r="M1939" s="20"/>
      <c r="N1939" s="37"/>
    </row>
    <row r="1940" spans="11:14" ht="13.2">
      <c r="K1940" s="20"/>
      <c r="L1940" s="37"/>
      <c r="M1940" s="20"/>
      <c r="N1940" s="37"/>
    </row>
    <row r="1941" spans="11:14" ht="13.2">
      <c r="K1941" s="20"/>
      <c r="L1941" s="37"/>
      <c r="M1941" s="20"/>
      <c r="N1941" s="37"/>
    </row>
    <row r="1942" spans="11:14" ht="13.2">
      <c r="K1942" s="20"/>
      <c r="L1942" s="37"/>
      <c r="M1942" s="20"/>
      <c r="N1942" s="37"/>
    </row>
    <row r="1943" spans="11:14" ht="13.2">
      <c r="K1943" s="20"/>
      <c r="L1943" s="37"/>
      <c r="M1943" s="20"/>
      <c r="N1943" s="37"/>
    </row>
    <row r="1944" spans="11:14" ht="13.2">
      <c r="K1944" s="20"/>
      <c r="L1944" s="37"/>
      <c r="M1944" s="20"/>
      <c r="N1944" s="37"/>
    </row>
    <row r="1945" spans="11:14" ht="13.2">
      <c r="K1945" s="20"/>
      <c r="L1945" s="37"/>
      <c r="M1945" s="20"/>
      <c r="N1945" s="37"/>
    </row>
    <row r="1946" spans="11:14" ht="13.2">
      <c r="K1946" s="20"/>
      <c r="L1946" s="37"/>
      <c r="M1946" s="20"/>
      <c r="N1946" s="37"/>
    </row>
    <row r="1947" spans="11:14" ht="13.2">
      <c r="K1947" s="20"/>
      <c r="L1947" s="37"/>
      <c r="M1947" s="20"/>
      <c r="N1947" s="37"/>
    </row>
    <row r="1948" spans="11:14" ht="13.2">
      <c r="K1948" s="20"/>
      <c r="L1948" s="37"/>
      <c r="M1948" s="20"/>
      <c r="N1948" s="37"/>
    </row>
    <row r="1949" spans="11:14" ht="13.2">
      <c r="K1949" s="20"/>
      <c r="L1949" s="37"/>
      <c r="M1949" s="20"/>
      <c r="N1949" s="37"/>
    </row>
    <row r="1950" spans="11:14" ht="13.2">
      <c r="K1950" s="20"/>
      <c r="L1950" s="37"/>
      <c r="M1950" s="20"/>
      <c r="N1950" s="37"/>
    </row>
    <row r="1951" spans="11:14" ht="13.2">
      <c r="K1951" s="20"/>
      <c r="L1951" s="37"/>
      <c r="M1951" s="20"/>
      <c r="N1951" s="37"/>
    </row>
    <row r="1952" spans="11:14" ht="13.2">
      <c r="K1952" s="20"/>
      <c r="L1952" s="37"/>
      <c r="M1952" s="20"/>
      <c r="N1952" s="37"/>
    </row>
    <row r="1953" spans="11:14" ht="13.2">
      <c r="K1953" s="20"/>
      <c r="L1953" s="37"/>
      <c r="M1953" s="20"/>
      <c r="N1953" s="37"/>
    </row>
    <row r="1954" spans="11:14" ht="13.2">
      <c r="K1954" s="20"/>
      <c r="L1954" s="37"/>
      <c r="M1954" s="20"/>
      <c r="N1954" s="37"/>
    </row>
    <row r="1955" spans="11:14" ht="13.2">
      <c r="K1955" s="20"/>
      <c r="L1955" s="37"/>
      <c r="M1955" s="20"/>
      <c r="N1955" s="37"/>
    </row>
    <row r="1956" spans="11:14" ht="13.2">
      <c r="K1956" s="20"/>
      <c r="L1956" s="37"/>
      <c r="M1956" s="20"/>
      <c r="N1956" s="37"/>
    </row>
    <row r="1957" spans="11:14" ht="13.2">
      <c r="K1957" s="20"/>
      <c r="L1957" s="37"/>
      <c r="M1957" s="20"/>
      <c r="N1957" s="37"/>
    </row>
    <row r="1958" spans="11:14" ht="13.2">
      <c r="K1958" s="20"/>
      <c r="L1958" s="37"/>
      <c r="M1958" s="20"/>
      <c r="N1958" s="37"/>
    </row>
    <row r="1959" spans="11:14" ht="13.2">
      <c r="K1959" s="20"/>
      <c r="L1959" s="37"/>
      <c r="M1959" s="20"/>
      <c r="N1959" s="37"/>
    </row>
    <row r="1960" spans="11:14" ht="13.2">
      <c r="K1960" s="20"/>
      <c r="L1960" s="37"/>
      <c r="M1960" s="20"/>
      <c r="N1960" s="37"/>
    </row>
    <row r="1961" spans="11:14" ht="13.2">
      <c r="K1961" s="20"/>
      <c r="L1961" s="37"/>
      <c r="M1961" s="20"/>
      <c r="N1961" s="37"/>
    </row>
    <row r="1962" spans="11:14" ht="13.2">
      <c r="K1962" s="20"/>
      <c r="L1962" s="37"/>
      <c r="M1962" s="20"/>
      <c r="N1962" s="37"/>
    </row>
    <row r="1963" spans="11:14" ht="13.2">
      <c r="K1963" s="20"/>
      <c r="L1963" s="37"/>
      <c r="M1963" s="20"/>
      <c r="N1963" s="37"/>
    </row>
    <row r="1964" spans="11:14" ht="13.2">
      <c r="K1964" s="20"/>
      <c r="L1964" s="37"/>
      <c r="M1964" s="20"/>
      <c r="N1964" s="37"/>
    </row>
    <row r="1965" spans="11:14" ht="13.2">
      <c r="K1965" s="20"/>
      <c r="L1965" s="37"/>
      <c r="M1965" s="20"/>
      <c r="N1965" s="37"/>
    </row>
    <row r="1966" spans="11:14" ht="13.2">
      <c r="K1966" s="20"/>
      <c r="L1966" s="37"/>
      <c r="M1966" s="20"/>
      <c r="N1966" s="37"/>
    </row>
    <row r="1967" spans="11:14" ht="13.2">
      <c r="K1967" s="20"/>
      <c r="L1967" s="37"/>
      <c r="M1967" s="20"/>
      <c r="N1967" s="37"/>
    </row>
    <row r="1968" spans="11:14" ht="13.2">
      <c r="K1968" s="20"/>
      <c r="L1968" s="37"/>
      <c r="M1968" s="20"/>
      <c r="N1968" s="37"/>
    </row>
    <row r="1969" spans="11:14" ht="13.2">
      <c r="K1969" s="20"/>
      <c r="L1969" s="37"/>
      <c r="M1969" s="20"/>
      <c r="N1969" s="37"/>
    </row>
    <row r="1970" spans="11:14" ht="13.2">
      <c r="K1970" s="20"/>
      <c r="L1970" s="37"/>
      <c r="M1970" s="20"/>
      <c r="N1970" s="37"/>
    </row>
    <row r="1971" spans="11:14" ht="13.2">
      <c r="K1971" s="20"/>
      <c r="L1971" s="37"/>
      <c r="M1971" s="20"/>
      <c r="N1971" s="37"/>
    </row>
    <row r="1972" spans="11:14" ht="13.2">
      <c r="K1972" s="20"/>
      <c r="L1972" s="37"/>
      <c r="M1972" s="20"/>
      <c r="N1972" s="37"/>
    </row>
    <row r="1973" spans="11:14" ht="13.2">
      <c r="K1973" s="20"/>
      <c r="L1973" s="37"/>
      <c r="M1973" s="20"/>
      <c r="N1973" s="37"/>
    </row>
    <row r="1974" spans="11:14" ht="13.2">
      <c r="K1974" s="20"/>
      <c r="L1974" s="37"/>
      <c r="M1974" s="20"/>
      <c r="N1974" s="37"/>
    </row>
    <row r="1975" spans="11:14" ht="13.2">
      <c r="K1975" s="20"/>
      <c r="L1975" s="37"/>
      <c r="M1975" s="20"/>
      <c r="N1975" s="37"/>
    </row>
    <row r="1976" spans="11:14" ht="13.2">
      <c r="K1976" s="20"/>
      <c r="L1976" s="37"/>
      <c r="M1976" s="20"/>
      <c r="N1976" s="37"/>
    </row>
    <row r="1977" spans="11:14" ht="13.2">
      <c r="K1977" s="20"/>
      <c r="L1977" s="37"/>
      <c r="M1977" s="20"/>
      <c r="N1977" s="37"/>
    </row>
    <row r="1978" spans="11:14" ht="13.2">
      <c r="K1978" s="20"/>
      <c r="L1978" s="37"/>
      <c r="M1978" s="20"/>
      <c r="N1978" s="37"/>
    </row>
    <row r="1979" spans="11:14" ht="13.2">
      <c r="K1979" s="20"/>
      <c r="L1979" s="37"/>
      <c r="M1979" s="20"/>
      <c r="N1979" s="37"/>
    </row>
    <row r="1980" spans="11:14" ht="13.2">
      <c r="K1980" s="20"/>
      <c r="L1980" s="37"/>
      <c r="M1980" s="20"/>
      <c r="N1980" s="37"/>
    </row>
    <row r="1981" spans="11:14" ht="13.2">
      <c r="K1981" s="20"/>
      <c r="L1981" s="37"/>
      <c r="M1981" s="20"/>
      <c r="N1981" s="37"/>
    </row>
    <row r="1982" spans="11:14" ht="13.2">
      <c r="K1982" s="20"/>
      <c r="L1982" s="37"/>
      <c r="M1982" s="20"/>
      <c r="N1982" s="37"/>
    </row>
    <row r="1983" spans="11:14" ht="13.2">
      <c r="K1983" s="20"/>
      <c r="L1983" s="37"/>
      <c r="M1983" s="20"/>
      <c r="N1983" s="37"/>
    </row>
    <row r="1984" spans="11:14" ht="13.2">
      <c r="K1984" s="20"/>
      <c r="L1984" s="37"/>
      <c r="M1984" s="20"/>
      <c r="N1984" s="37"/>
    </row>
    <row r="1985" spans="11:14" ht="13.2">
      <c r="K1985" s="20"/>
      <c r="L1985" s="37"/>
      <c r="M1985" s="20"/>
      <c r="N1985" s="37"/>
    </row>
    <row r="1986" spans="11:14" ht="13.2">
      <c r="K1986" s="20"/>
      <c r="L1986" s="37"/>
      <c r="M1986" s="20"/>
      <c r="N1986" s="37"/>
    </row>
    <row r="1987" spans="11:14" ht="13.2">
      <c r="K1987" s="20"/>
      <c r="L1987" s="37"/>
      <c r="M1987" s="20"/>
      <c r="N1987" s="37"/>
    </row>
    <row r="1988" spans="11:14" ht="13.2">
      <c r="K1988" s="20"/>
      <c r="L1988" s="37"/>
      <c r="M1988" s="20"/>
      <c r="N1988" s="37"/>
    </row>
    <row r="1989" spans="11:14" ht="13.2">
      <c r="K1989" s="20"/>
      <c r="L1989" s="37"/>
      <c r="M1989" s="20"/>
      <c r="N1989" s="37"/>
    </row>
    <row r="1990" spans="11:14" ht="13.2">
      <c r="K1990" s="20"/>
      <c r="L1990" s="37"/>
      <c r="M1990" s="20"/>
      <c r="N1990" s="37"/>
    </row>
    <row r="1991" spans="11:14" ht="13.2">
      <c r="K1991" s="20"/>
      <c r="L1991" s="37"/>
      <c r="M1991" s="20"/>
      <c r="N1991" s="37"/>
    </row>
    <row r="1992" spans="11:14" ht="13.2">
      <c r="K1992" s="20"/>
      <c r="L1992" s="37"/>
      <c r="M1992" s="20"/>
      <c r="N1992" s="37"/>
    </row>
    <row r="1993" spans="11:14" ht="13.2">
      <c r="K1993" s="20"/>
      <c r="L1993" s="37"/>
      <c r="M1993" s="20"/>
      <c r="N1993" s="37"/>
    </row>
    <row r="1994" spans="11:14" ht="13.2">
      <c r="K1994" s="20"/>
      <c r="L1994" s="37"/>
      <c r="M1994" s="20"/>
      <c r="N1994" s="37"/>
    </row>
    <row r="1995" spans="11:14" ht="13.2">
      <c r="K1995" s="20"/>
      <c r="L1995" s="37"/>
      <c r="M1995" s="20"/>
      <c r="N1995" s="37"/>
    </row>
    <row r="1996" spans="11:14" ht="13.2">
      <c r="K1996" s="20"/>
      <c r="L1996" s="37"/>
      <c r="M1996" s="20"/>
      <c r="N1996" s="37"/>
    </row>
    <row r="1997" spans="11:14" ht="13.2">
      <c r="K1997" s="20"/>
      <c r="L1997" s="37"/>
      <c r="M1997" s="20"/>
      <c r="N1997" s="37"/>
    </row>
    <row r="1998" spans="11:14" ht="13.2">
      <c r="K1998" s="20"/>
      <c r="L1998" s="37"/>
      <c r="M1998" s="20"/>
      <c r="N1998" s="37"/>
    </row>
    <row r="1999" spans="11:14" ht="13.2">
      <c r="K1999" s="20"/>
      <c r="L1999" s="37"/>
      <c r="M1999" s="20"/>
      <c r="N1999" s="37"/>
    </row>
    <row r="2000" spans="11:14" ht="13.2">
      <c r="K2000" s="20"/>
      <c r="L2000" s="37"/>
      <c r="M2000" s="20"/>
      <c r="N2000" s="37"/>
    </row>
    <row r="2001" spans="11:14" ht="13.2">
      <c r="K2001" s="20"/>
      <c r="L2001" s="37"/>
      <c r="M2001" s="20"/>
      <c r="N2001" s="37"/>
    </row>
  </sheetData>
  <mergeCells count="166">
    <mergeCell ref="F1427:O1427"/>
    <mergeCell ref="M1428:N1428"/>
    <mergeCell ref="F1445:O1445"/>
    <mergeCell ref="M1446:N1446"/>
    <mergeCell ref="M1338:N1338"/>
    <mergeCell ref="F1355:O1355"/>
    <mergeCell ref="M1356:N1356"/>
    <mergeCell ref="F1373:O1373"/>
    <mergeCell ref="M1374:N1374"/>
    <mergeCell ref="F1391:O1391"/>
    <mergeCell ref="M1392:N1392"/>
    <mergeCell ref="F1409:O1409"/>
    <mergeCell ref="M1410:N1410"/>
    <mergeCell ref="F1266:O1266"/>
    <mergeCell ref="M1267:N1267"/>
    <mergeCell ref="F1284:O1284"/>
    <mergeCell ref="M1285:N1285"/>
    <mergeCell ref="F1302:O1302"/>
    <mergeCell ref="M1303:N1303"/>
    <mergeCell ref="F1319:O1319"/>
    <mergeCell ref="M1320:N1320"/>
    <mergeCell ref="F1337:O1337"/>
    <mergeCell ref="M1177:N1177"/>
    <mergeCell ref="F1194:O1194"/>
    <mergeCell ref="M1195:N1195"/>
    <mergeCell ref="F1212:O1212"/>
    <mergeCell ref="M1213:N1213"/>
    <mergeCell ref="F1230:O1230"/>
    <mergeCell ref="M1231:N1231"/>
    <mergeCell ref="F1248:O1248"/>
    <mergeCell ref="M1249:N1249"/>
    <mergeCell ref="F1105:O1105"/>
    <mergeCell ref="M1106:N1106"/>
    <mergeCell ref="F1122:O1122"/>
    <mergeCell ref="M1123:N1123"/>
    <mergeCell ref="F1140:O1140"/>
    <mergeCell ref="M1141:N1141"/>
    <mergeCell ref="F1158:O1158"/>
    <mergeCell ref="M1159:N1159"/>
    <mergeCell ref="F1176:O1176"/>
    <mergeCell ref="M1004:N1004"/>
    <mergeCell ref="F1024:O1024"/>
    <mergeCell ref="M1025:N1025"/>
    <mergeCell ref="F1042:O1042"/>
    <mergeCell ref="M1043:N1043"/>
    <mergeCell ref="F1063:O1063"/>
    <mergeCell ref="M1064:N1064"/>
    <mergeCell ref="F1083:O1083"/>
    <mergeCell ref="M1084:N1084"/>
    <mergeCell ref="F924:O924"/>
    <mergeCell ref="M925:N925"/>
    <mergeCell ref="F944:O944"/>
    <mergeCell ref="M945:N945"/>
    <mergeCell ref="F965:O965"/>
    <mergeCell ref="M966:N966"/>
    <mergeCell ref="F983:O983"/>
    <mergeCell ref="M984:N984"/>
    <mergeCell ref="F1003:O1003"/>
    <mergeCell ref="M828:N828"/>
    <mergeCell ref="F852:O852"/>
    <mergeCell ref="M853:N853"/>
    <mergeCell ref="F870:O870"/>
    <mergeCell ref="M871:N871"/>
    <mergeCell ref="F887:O887"/>
    <mergeCell ref="M888:N888"/>
    <mergeCell ref="F906:O906"/>
    <mergeCell ref="M907:N907"/>
    <mergeCell ref="M1554:N1554"/>
    <mergeCell ref="F1463:O1463"/>
    <mergeCell ref="M1464:N1464"/>
    <mergeCell ref="F1481:O1481"/>
    <mergeCell ref="M1482:N1482"/>
    <mergeCell ref="F1499:O1499"/>
    <mergeCell ref="M1500:N1500"/>
    <mergeCell ref="F1517:O1517"/>
    <mergeCell ref="F526:O526"/>
    <mergeCell ref="M527:N527"/>
    <mergeCell ref="F543:O543"/>
    <mergeCell ref="M544:N544"/>
    <mergeCell ref="F567:O567"/>
    <mergeCell ref="M568:N568"/>
    <mergeCell ref="F591:O591"/>
    <mergeCell ref="M592:N592"/>
    <mergeCell ref="F608:O608"/>
    <mergeCell ref="M609:N609"/>
    <mergeCell ref="F625:O625"/>
    <mergeCell ref="M626:N626"/>
    <mergeCell ref="F647:O647"/>
    <mergeCell ref="M648:N648"/>
    <mergeCell ref="F667:O667"/>
    <mergeCell ref="M668:N668"/>
    <mergeCell ref="M331:N331"/>
    <mergeCell ref="F348:O348"/>
    <mergeCell ref="M349:N349"/>
    <mergeCell ref="F366:O366"/>
    <mergeCell ref="M367:N367"/>
    <mergeCell ref="M1518:N1518"/>
    <mergeCell ref="F1535:O1535"/>
    <mergeCell ref="M1536:N1536"/>
    <mergeCell ref="F1553:O1553"/>
    <mergeCell ref="F685:O685"/>
    <mergeCell ref="M686:N686"/>
    <mergeCell ref="F706:O706"/>
    <mergeCell ref="M707:N707"/>
    <mergeCell ref="F727:O727"/>
    <mergeCell ref="M728:N728"/>
    <mergeCell ref="F746:O746"/>
    <mergeCell ref="M747:N747"/>
    <mergeCell ref="F764:O764"/>
    <mergeCell ref="M765:N765"/>
    <mergeCell ref="F782:O782"/>
    <mergeCell ref="M783:N783"/>
    <mergeCell ref="F809:O809"/>
    <mergeCell ref="M810:N810"/>
    <mergeCell ref="F827:O827"/>
    <mergeCell ref="F251:O251"/>
    <mergeCell ref="M252:N252"/>
    <mergeCell ref="F275:O275"/>
    <mergeCell ref="M276:N276"/>
    <mergeCell ref="F293:O293"/>
    <mergeCell ref="M294:N294"/>
    <mergeCell ref="F310:O310"/>
    <mergeCell ref="M311:N311"/>
    <mergeCell ref="F330:O330"/>
    <mergeCell ref="M157:N157"/>
    <mergeCell ref="F175:O175"/>
    <mergeCell ref="M176:N176"/>
    <mergeCell ref="F192:O192"/>
    <mergeCell ref="M193:N193"/>
    <mergeCell ref="F212:O212"/>
    <mergeCell ref="M213:N213"/>
    <mergeCell ref="F234:O234"/>
    <mergeCell ref="M235:N235"/>
    <mergeCell ref="M477:N477"/>
    <mergeCell ref="F493:O493"/>
    <mergeCell ref="M494:N494"/>
    <mergeCell ref="F510:O510"/>
    <mergeCell ref="M511:N511"/>
    <mergeCell ref="F1:O1"/>
    <mergeCell ref="M2:N2"/>
    <mergeCell ref="F18:N18"/>
    <mergeCell ref="M19:N19"/>
    <mergeCell ref="F33:O33"/>
    <mergeCell ref="M34:N34"/>
    <mergeCell ref="F49:N49"/>
    <mergeCell ref="M50:N50"/>
    <mergeCell ref="F64:O64"/>
    <mergeCell ref="M65:N65"/>
    <mergeCell ref="F79:O79"/>
    <mergeCell ref="M80:N80"/>
    <mergeCell ref="F94:N94"/>
    <mergeCell ref="M95:N95"/>
    <mergeCell ref="F114:O114"/>
    <mergeCell ref="M115:N115"/>
    <mergeCell ref="F136:O136"/>
    <mergeCell ref="M137:N137"/>
    <mergeCell ref="F156:O156"/>
    <mergeCell ref="F383:O383"/>
    <mergeCell ref="M384:N384"/>
    <mergeCell ref="F399:O399"/>
    <mergeCell ref="M400:N400"/>
    <mergeCell ref="F417:O417"/>
    <mergeCell ref="M418:N418"/>
    <mergeCell ref="F440:O440"/>
    <mergeCell ref="M441:N441"/>
    <mergeCell ref="F476:O476"/>
  </mergeCells>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O975"/>
  <sheetViews>
    <sheetView workbookViewId="0">
      <selection activeCell="P5" sqref="P5"/>
    </sheetView>
  </sheetViews>
  <sheetFormatPr defaultColWidth="12.6640625" defaultRowHeight="15.75" customHeight="1"/>
  <cols>
    <col min="11" max="11" width="12" customWidth="1"/>
    <col min="15" max="15" width="11.44140625" customWidth="1"/>
  </cols>
  <sheetData>
    <row r="1" spans="1:15" ht="26.4">
      <c r="A1" s="46" t="s">
        <v>638</v>
      </c>
      <c r="B1" s="46" t="s">
        <v>1723</v>
      </c>
      <c r="C1" s="46" t="s">
        <v>1724</v>
      </c>
      <c r="D1" s="46" t="s">
        <v>701</v>
      </c>
      <c r="E1" s="47" t="s">
        <v>1725</v>
      </c>
      <c r="F1" s="47" t="s">
        <v>1726</v>
      </c>
      <c r="G1" s="47" t="s">
        <v>1727</v>
      </c>
      <c r="H1" s="46" t="s">
        <v>1728</v>
      </c>
      <c r="I1" s="48" t="s">
        <v>1411</v>
      </c>
      <c r="J1" s="49" t="s">
        <v>1729</v>
      </c>
      <c r="K1" s="49" t="s">
        <v>1730</v>
      </c>
      <c r="L1" s="49" t="s">
        <v>1731</v>
      </c>
      <c r="M1" s="47" t="s">
        <v>1732</v>
      </c>
      <c r="N1" s="49" t="s">
        <v>1733</v>
      </c>
      <c r="O1" s="47" t="s">
        <v>1734</v>
      </c>
    </row>
    <row r="2" spans="1:15" ht="15.75" customHeight="1">
      <c r="A2" s="50" t="s">
        <v>653</v>
      </c>
      <c r="B2" s="51">
        <v>28</v>
      </c>
      <c r="C2" s="52" t="s">
        <v>1735</v>
      </c>
      <c r="D2" s="51" t="s">
        <v>1736</v>
      </c>
      <c r="E2" s="53">
        <v>1</v>
      </c>
      <c r="F2" s="53" t="s">
        <v>1737</v>
      </c>
      <c r="G2" s="53" t="s">
        <v>1737</v>
      </c>
      <c r="H2" s="50">
        <v>14445</v>
      </c>
      <c r="I2" s="53">
        <v>1</v>
      </c>
      <c r="J2" s="54">
        <v>260</v>
      </c>
      <c r="K2" s="54">
        <v>450</v>
      </c>
      <c r="L2" s="54">
        <v>2</v>
      </c>
      <c r="M2" s="53">
        <f t="shared" ref="M2:M154" si="0">H2*J2/1000</f>
        <v>3755.7</v>
      </c>
      <c r="N2" s="53">
        <f t="shared" ref="N2:N154" si="1">H2*K2/1000</f>
        <v>6500.25</v>
      </c>
      <c r="O2" s="53">
        <f t="shared" ref="O2:O154" si="2">H2*L2/1000</f>
        <v>28.89</v>
      </c>
    </row>
    <row r="3" spans="1:15" ht="15.75" customHeight="1">
      <c r="A3" s="50" t="s">
        <v>658</v>
      </c>
      <c r="B3" s="51">
        <v>24</v>
      </c>
      <c r="C3" s="52" t="s">
        <v>1738</v>
      </c>
      <c r="D3" s="51" t="s">
        <v>1739</v>
      </c>
      <c r="E3" s="53" t="s">
        <v>1737</v>
      </c>
      <c r="F3" s="53">
        <v>100</v>
      </c>
      <c r="G3" s="55" t="s">
        <v>1740</v>
      </c>
      <c r="H3" s="50">
        <f>46*100+1991</f>
        <v>6591</v>
      </c>
      <c r="I3" s="56">
        <v>0.83399999141693104</v>
      </c>
      <c r="J3" s="54">
        <v>752</v>
      </c>
      <c r="K3" s="54">
        <v>80</v>
      </c>
      <c r="L3" s="54">
        <v>0.8</v>
      </c>
      <c r="M3" s="53">
        <f t="shared" si="0"/>
        <v>4956.4319999999998</v>
      </c>
      <c r="N3" s="53">
        <f t="shared" si="1"/>
        <v>527.28</v>
      </c>
      <c r="O3" s="53">
        <f t="shared" si="2"/>
        <v>5.2728000000000002</v>
      </c>
    </row>
    <row r="4" spans="1:15" ht="15.75" customHeight="1">
      <c r="A4" s="50" t="s">
        <v>640</v>
      </c>
      <c r="B4" s="51">
        <v>13</v>
      </c>
      <c r="C4" s="52" t="s">
        <v>1741</v>
      </c>
      <c r="D4" s="51" t="s">
        <v>1742</v>
      </c>
      <c r="E4" s="53">
        <v>1.04</v>
      </c>
      <c r="F4" s="53" t="s">
        <v>1737</v>
      </c>
      <c r="G4" s="55" t="s">
        <v>1743</v>
      </c>
      <c r="H4" s="50">
        <f>4625*1.04</f>
        <v>4810</v>
      </c>
      <c r="I4" s="53">
        <v>1</v>
      </c>
      <c r="J4" s="54">
        <v>3321</v>
      </c>
      <c r="K4" s="54">
        <v>4474</v>
      </c>
      <c r="L4" s="54">
        <v>26.5</v>
      </c>
      <c r="M4" s="53">
        <f t="shared" si="0"/>
        <v>15974.01</v>
      </c>
      <c r="N4" s="53">
        <f t="shared" si="1"/>
        <v>21519.94</v>
      </c>
      <c r="O4" s="53">
        <f t="shared" si="2"/>
        <v>127.465</v>
      </c>
    </row>
    <row r="5" spans="1:15" ht="15.75" customHeight="1">
      <c r="A5" s="50" t="s">
        <v>733</v>
      </c>
      <c r="B5" s="51">
        <v>49</v>
      </c>
      <c r="C5" s="52" t="s">
        <v>1744</v>
      </c>
      <c r="D5" s="51" t="s">
        <v>1745</v>
      </c>
      <c r="E5" s="53">
        <v>0.92700000000000005</v>
      </c>
      <c r="F5" s="53" t="s">
        <v>1737</v>
      </c>
      <c r="G5" s="55" t="s">
        <v>1743</v>
      </c>
      <c r="H5" s="50">
        <f>(5225+5)*E5</f>
        <v>4848.21</v>
      </c>
      <c r="I5" s="53">
        <v>1</v>
      </c>
      <c r="J5" s="54">
        <v>5295</v>
      </c>
      <c r="K5" s="54">
        <v>503</v>
      </c>
      <c r="L5" s="54">
        <v>41</v>
      </c>
      <c r="M5" s="53">
        <f t="shared" si="0"/>
        <v>25671.271949999998</v>
      </c>
      <c r="N5" s="53">
        <f t="shared" si="1"/>
        <v>2438.6496299999999</v>
      </c>
      <c r="O5" s="53">
        <f t="shared" si="2"/>
        <v>198.77661000000001</v>
      </c>
    </row>
    <row r="6" spans="1:15" ht="15.75" customHeight="1">
      <c r="A6" s="50" t="s">
        <v>1661</v>
      </c>
      <c r="B6" s="51">
        <v>5</v>
      </c>
      <c r="C6" s="52" t="s">
        <v>1746</v>
      </c>
      <c r="D6" s="51" t="s">
        <v>1747</v>
      </c>
      <c r="E6" s="53">
        <f>907*2+1000+1000+450-907</f>
        <v>3357</v>
      </c>
      <c r="F6" s="53">
        <v>120</v>
      </c>
      <c r="G6" s="55" t="s">
        <v>1740</v>
      </c>
      <c r="H6" s="50">
        <f>120*8+3357</f>
        <v>4317</v>
      </c>
      <c r="I6" s="56">
        <v>0.92000001668929998</v>
      </c>
      <c r="J6" s="54">
        <v>2858</v>
      </c>
      <c r="K6" s="54">
        <v>0</v>
      </c>
      <c r="L6" s="54">
        <v>209</v>
      </c>
      <c r="M6" s="53">
        <f t="shared" si="0"/>
        <v>12337.986000000001</v>
      </c>
      <c r="N6" s="53">
        <f t="shared" si="1"/>
        <v>0</v>
      </c>
      <c r="O6" s="53">
        <f t="shared" si="2"/>
        <v>902.25300000000004</v>
      </c>
    </row>
    <row r="7" spans="1:15" ht="15.75" customHeight="1">
      <c r="A7" s="50" t="s">
        <v>675</v>
      </c>
      <c r="B7" s="51">
        <v>6</v>
      </c>
      <c r="C7" s="52" t="s">
        <v>1748</v>
      </c>
      <c r="D7" s="57">
        <v>228613</v>
      </c>
      <c r="E7" s="53" t="s">
        <v>1737</v>
      </c>
      <c r="F7" s="53">
        <v>140</v>
      </c>
      <c r="G7" s="55" t="s">
        <v>1740</v>
      </c>
      <c r="H7" s="50">
        <f>12*140+2525</f>
        <v>4205</v>
      </c>
      <c r="I7" s="56">
        <v>0.778999984264373</v>
      </c>
      <c r="J7" s="54">
        <v>205</v>
      </c>
      <c r="K7" s="54">
        <v>539</v>
      </c>
      <c r="L7" s="54">
        <v>2.4</v>
      </c>
      <c r="M7" s="53">
        <f t="shared" si="0"/>
        <v>862.02499999999998</v>
      </c>
      <c r="N7" s="53">
        <f t="shared" si="1"/>
        <v>2266.4949999999999</v>
      </c>
      <c r="O7" s="53">
        <f t="shared" si="2"/>
        <v>10.092000000000001</v>
      </c>
    </row>
    <row r="8" spans="1:15" ht="15.75" customHeight="1">
      <c r="A8" s="50" t="s">
        <v>651</v>
      </c>
      <c r="B8" s="51">
        <v>55</v>
      </c>
      <c r="C8" s="52" t="s">
        <v>1749</v>
      </c>
      <c r="D8" s="51">
        <f>1+1+2+2+1+2+1+1+2+1+1/2+1/2+1/4+1+1+1+1+1+1+1+1+1+1+1+1+1+1+2+1+1+1+1+1+1+1+1/2+1+1+1/4+1/2+2+1+1+1+1+1+1+1+2+1+1+1+1+2</f>
        <v>58.5</v>
      </c>
      <c r="E8" s="53" t="s">
        <v>1737</v>
      </c>
      <c r="F8" s="53">
        <v>70</v>
      </c>
      <c r="G8" s="55" t="s">
        <v>1740</v>
      </c>
      <c r="H8" s="50">
        <f>70*D8</f>
        <v>4095</v>
      </c>
      <c r="I8" s="56">
        <v>0.89999997615814198</v>
      </c>
      <c r="J8" s="54">
        <v>209</v>
      </c>
      <c r="K8" s="54">
        <v>465</v>
      </c>
      <c r="L8" s="54">
        <v>1.2</v>
      </c>
      <c r="M8" s="53">
        <f t="shared" si="0"/>
        <v>855.85500000000002</v>
      </c>
      <c r="N8" s="53">
        <f t="shared" si="1"/>
        <v>1904.175</v>
      </c>
      <c r="O8" s="53">
        <f t="shared" si="2"/>
        <v>4.9139999999999997</v>
      </c>
    </row>
    <row r="9" spans="1:15" ht="15.75" customHeight="1">
      <c r="A9" s="50" t="s">
        <v>1463</v>
      </c>
      <c r="B9" s="51">
        <v>21</v>
      </c>
      <c r="C9" s="52" t="s">
        <v>1750</v>
      </c>
      <c r="D9" s="51" t="s">
        <v>1751</v>
      </c>
      <c r="E9" s="53">
        <f>(0.48+0.58+0.67+0.521)/4</f>
        <v>0.56274999999999997</v>
      </c>
      <c r="F9" s="53" t="s">
        <v>1737</v>
      </c>
      <c r="G9" s="55" t="s">
        <v>1743</v>
      </c>
      <c r="H9" s="50">
        <f>30*E9+3982</f>
        <v>3998.8825000000002</v>
      </c>
      <c r="I9" s="53">
        <v>1</v>
      </c>
      <c r="J9" s="54">
        <v>443</v>
      </c>
      <c r="K9" s="54">
        <v>1518</v>
      </c>
      <c r="L9" s="54">
        <v>9</v>
      </c>
      <c r="M9" s="53">
        <f t="shared" si="0"/>
        <v>1771.5049475000001</v>
      </c>
      <c r="N9" s="53">
        <f t="shared" si="1"/>
        <v>6070.3036350000011</v>
      </c>
      <c r="O9" s="53">
        <f t="shared" si="2"/>
        <v>35.989942500000005</v>
      </c>
    </row>
    <row r="10" spans="1:15" ht="15.75" customHeight="1">
      <c r="A10" s="50" t="s">
        <v>1459</v>
      </c>
      <c r="B10" s="51">
        <v>3</v>
      </c>
      <c r="C10" s="52" t="s">
        <v>1752</v>
      </c>
      <c r="D10" s="51" t="s">
        <v>1753</v>
      </c>
      <c r="E10" s="53" t="s">
        <v>1737</v>
      </c>
      <c r="F10" s="53" t="s">
        <v>1737</v>
      </c>
      <c r="G10" s="53" t="s">
        <v>1737</v>
      </c>
      <c r="H10" s="50">
        <v>3757</v>
      </c>
      <c r="I10" s="58">
        <v>0.76800000667571999</v>
      </c>
      <c r="J10" s="54">
        <v>26938</v>
      </c>
      <c r="K10" s="54">
        <v>18136</v>
      </c>
      <c r="L10" s="54">
        <v>112.3</v>
      </c>
      <c r="M10" s="53">
        <f t="shared" si="0"/>
        <v>101206.06600000001</v>
      </c>
      <c r="N10" s="53">
        <f t="shared" si="1"/>
        <v>68136.952000000005</v>
      </c>
      <c r="O10" s="53">
        <f t="shared" si="2"/>
        <v>421.91109999999998</v>
      </c>
    </row>
    <row r="11" spans="1:15" ht="15.75" customHeight="1">
      <c r="A11" s="59" t="s">
        <v>667</v>
      </c>
      <c r="B11" s="60">
        <v>6</v>
      </c>
      <c r="C11" s="61" t="s">
        <v>1754</v>
      </c>
      <c r="D11" s="60">
        <v>2630</v>
      </c>
      <c r="E11" s="62">
        <v>1</v>
      </c>
      <c r="F11" s="63" t="s">
        <v>1737</v>
      </c>
      <c r="G11" s="63" t="s">
        <v>1737</v>
      </c>
      <c r="H11" s="60">
        <v>3330</v>
      </c>
      <c r="I11" s="62">
        <v>1</v>
      </c>
      <c r="J11" s="64"/>
      <c r="K11" s="64"/>
      <c r="L11" s="64"/>
      <c r="M11" s="53">
        <f t="shared" si="0"/>
        <v>0</v>
      </c>
      <c r="N11" s="53">
        <f t="shared" si="1"/>
        <v>0</v>
      </c>
      <c r="O11" s="53">
        <f t="shared" si="2"/>
        <v>0</v>
      </c>
    </row>
    <row r="12" spans="1:15" ht="15.75" customHeight="1">
      <c r="A12" s="53" t="s">
        <v>1636</v>
      </c>
      <c r="B12" s="53">
        <v>5</v>
      </c>
      <c r="C12" s="53" t="s">
        <v>1755</v>
      </c>
      <c r="D12" s="53">
        <f>700+907+907+226+454</f>
        <v>3194</v>
      </c>
      <c r="E12" s="53"/>
      <c r="F12" s="53"/>
      <c r="G12" s="53"/>
      <c r="H12" s="53">
        <v>3194</v>
      </c>
      <c r="I12" s="56">
        <v>0.855000019073486</v>
      </c>
      <c r="J12" s="54">
        <v>3321</v>
      </c>
      <c r="K12" s="54">
        <v>4474</v>
      </c>
      <c r="L12" s="54">
        <v>26.5</v>
      </c>
      <c r="M12" s="53">
        <f t="shared" si="0"/>
        <v>10607.273999999999</v>
      </c>
      <c r="N12" s="53">
        <f t="shared" si="1"/>
        <v>14289.956</v>
      </c>
      <c r="O12" s="53">
        <f t="shared" si="2"/>
        <v>84.641000000000005</v>
      </c>
    </row>
    <row r="13" spans="1:15" ht="15.75" customHeight="1">
      <c r="A13" s="50" t="s">
        <v>1454</v>
      </c>
      <c r="B13" s="51">
        <v>9</v>
      </c>
      <c r="C13" s="52" t="s">
        <v>1756</v>
      </c>
      <c r="D13" s="51" t="s">
        <v>1757</v>
      </c>
      <c r="E13" s="53" t="s">
        <v>1737</v>
      </c>
      <c r="F13" s="53">
        <v>60</v>
      </c>
      <c r="G13" s="55" t="s">
        <v>1740</v>
      </c>
      <c r="H13" s="50">
        <f>2932+4*60</f>
        <v>3172</v>
      </c>
      <c r="I13" s="53">
        <v>1</v>
      </c>
      <c r="J13" s="54">
        <v>14500</v>
      </c>
      <c r="K13" s="54">
        <v>12800</v>
      </c>
      <c r="L13" s="54">
        <v>52</v>
      </c>
      <c r="M13" s="53">
        <f t="shared" si="0"/>
        <v>45994</v>
      </c>
      <c r="N13" s="53">
        <f t="shared" si="1"/>
        <v>40601.599999999999</v>
      </c>
      <c r="O13" s="53">
        <f t="shared" si="2"/>
        <v>164.94399999999999</v>
      </c>
    </row>
    <row r="14" spans="1:15" ht="15.75" customHeight="1">
      <c r="A14" s="59" t="s">
        <v>709</v>
      </c>
      <c r="B14" s="60">
        <v>9</v>
      </c>
      <c r="C14" s="61" t="s">
        <v>1758</v>
      </c>
      <c r="D14" s="60" t="s">
        <v>1759</v>
      </c>
      <c r="E14" s="62" t="s">
        <v>1737</v>
      </c>
      <c r="F14" s="62">
        <f>(0.053+6+12.4+26.5)/4</f>
        <v>11.238250000000001</v>
      </c>
      <c r="G14" s="65" t="s">
        <v>1760</v>
      </c>
      <c r="H14" s="60">
        <f>11.23825*12+2776</f>
        <v>2910.8589999999999</v>
      </c>
      <c r="I14" s="56">
        <v>0.72000002861022905</v>
      </c>
      <c r="J14" s="54">
        <v>4452</v>
      </c>
      <c r="K14" s="54">
        <v>0</v>
      </c>
      <c r="L14" s="54">
        <v>227.3</v>
      </c>
      <c r="M14" s="53">
        <f t="shared" si="0"/>
        <v>12959.144268</v>
      </c>
      <c r="N14" s="53">
        <f t="shared" si="1"/>
        <v>0</v>
      </c>
      <c r="O14" s="53">
        <f t="shared" si="2"/>
        <v>661.63825069999996</v>
      </c>
    </row>
    <row r="15" spans="1:15" ht="15.75" customHeight="1">
      <c r="A15" s="50" t="s">
        <v>663</v>
      </c>
      <c r="B15" s="51">
        <v>7</v>
      </c>
      <c r="C15" s="52" t="s">
        <v>1761</v>
      </c>
      <c r="D15" s="51" t="s">
        <v>1762</v>
      </c>
      <c r="E15" s="53">
        <v>1.02</v>
      </c>
      <c r="F15" s="53" t="s">
        <v>1737</v>
      </c>
      <c r="G15" s="55" t="s">
        <v>1763</v>
      </c>
      <c r="H15" s="50">
        <f>2583*E15</f>
        <v>2634.66</v>
      </c>
      <c r="I15" s="53">
        <v>1</v>
      </c>
      <c r="J15" s="54">
        <v>1560</v>
      </c>
      <c r="K15" s="54">
        <v>628</v>
      </c>
      <c r="L15" s="54">
        <v>33.5</v>
      </c>
      <c r="M15" s="53">
        <f t="shared" si="0"/>
        <v>4110.0695999999998</v>
      </c>
      <c r="N15" s="53">
        <f t="shared" si="1"/>
        <v>1654.56648</v>
      </c>
      <c r="O15" s="53">
        <f t="shared" si="2"/>
        <v>88.261110000000002</v>
      </c>
    </row>
    <row r="16" spans="1:15" ht="15.75" customHeight="1">
      <c r="A16" s="50" t="s">
        <v>1469</v>
      </c>
      <c r="B16" s="51">
        <v>2</v>
      </c>
      <c r="C16" s="52" t="s">
        <v>1764</v>
      </c>
      <c r="D16" s="51" t="s">
        <v>1765</v>
      </c>
      <c r="E16" s="53" t="s">
        <v>1737</v>
      </c>
      <c r="F16" s="53" t="s">
        <v>1737</v>
      </c>
      <c r="G16" s="53" t="s">
        <v>1737</v>
      </c>
      <c r="H16" s="50">
        <v>2600</v>
      </c>
      <c r="I16" s="56">
        <v>0.82300001382827703</v>
      </c>
      <c r="J16" s="54">
        <v>26938</v>
      </c>
      <c r="K16" s="54">
        <v>18136</v>
      </c>
      <c r="L16" s="54">
        <v>112.3</v>
      </c>
      <c r="M16" s="53">
        <f t="shared" si="0"/>
        <v>70038.8</v>
      </c>
      <c r="N16" s="53">
        <f t="shared" si="1"/>
        <v>47153.599999999999</v>
      </c>
      <c r="O16" s="53">
        <f t="shared" si="2"/>
        <v>291.98</v>
      </c>
    </row>
    <row r="17" spans="1:15" ht="15.75" customHeight="1">
      <c r="A17" s="50" t="s">
        <v>1473</v>
      </c>
      <c r="B17" s="51">
        <v>8</v>
      </c>
      <c r="C17" s="52" t="s">
        <v>1766</v>
      </c>
      <c r="D17" s="51">
        <f>1680+660+120</f>
        <v>2460</v>
      </c>
      <c r="E17" s="53">
        <v>1</v>
      </c>
      <c r="F17" s="53" t="s">
        <v>1737</v>
      </c>
      <c r="G17" s="53" t="s">
        <v>1737</v>
      </c>
      <c r="H17" s="50">
        <v>2460</v>
      </c>
      <c r="I17" s="53">
        <v>1</v>
      </c>
      <c r="J17" s="54">
        <v>1796</v>
      </c>
      <c r="K17" s="54">
        <v>1270</v>
      </c>
      <c r="L17" s="54">
        <v>9.4</v>
      </c>
      <c r="M17" s="53">
        <f t="shared" si="0"/>
        <v>4418.16</v>
      </c>
      <c r="N17" s="53">
        <f t="shared" si="1"/>
        <v>3124.2</v>
      </c>
      <c r="O17" s="53">
        <f t="shared" si="2"/>
        <v>23.123999999999999</v>
      </c>
    </row>
    <row r="18" spans="1:15" ht="14.4">
      <c r="A18" s="50" t="s">
        <v>1426</v>
      </c>
      <c r="B18" s="51">
        <v>2</v>
      </c>
      <c r="C18" s="52" t="s">
        <v>1767</v>
      </c>
      <c r="D18" s="51" t="s">
        <v>1768</v>
      </c>
      <c r="E18" s="53" t="s">
        <v>1737</v>
      </c>
      <c r="F18" s="53" t="s">
        <v>1737</v>
      </c>
      <c r="G18" s="53" t="s">
        <v>1737</v>
      </c>
      <c r="H18" s="50">
        <v>2407</v>
      </c>
      <c r="I18" s="56">
        <v>0.76800000667571999</v>
      </c>
      <c r="J18" s="54">
        <v>26938</v>
      </c>
      <c r="K18" s="54">
        <v>18136</v>
      </c>
      <c r="L18" s="54">
        <v>112.3</v>
      </c>
      <c r="M18" s="53">
        <f t="shared" si="0"/>
        <v>64839.766000000003</v>
      </c>
      <c r="N18" s="53">
        <f t="shared" si="1"/>
        <v>43653.351999999999</v>
      </c>
      <c r="O18" s="53">
        <f t="shared" si="2"/>
        <v>270.30609999999996</v>
      </c>
    </row>
    <row r="19" spans="1:15" ht="14.4">
      <c r="A19" s="50" t="s">
        <v>1573</v>
      </c>
      <c r="B19" s="51">
        <v>1</v>
      </c>
      <c r="C19" s="52" t="s">
        <v>1574</v>
      </c>
      <c r="D19" s="51" t="s">
        <v>1769</v>
      </c>
      <c r="E19" s="53" t="s">
        <v>1737</v>
      </c>
      <c r="F19" s="53" t="s">
        <v>1737</v>
      </c>
      <c r="G19" s="53" t="s">
        <v>1737</v>
      </c>
      <c r="H19" s="50">
        <v>2350</v>
      </c>
      <c r="I19" s="56">
        <v>0.86400002241134599</v>
      </c>
      <c r="J19" s="54">
        <v>2925</v>
      </c>
      <c r="K19" s="54">
        <v>1389</v>
      </c>
      <c r="L19" s="54">
        <v>79.7</v>
      </c>
      <c r="M19" s="53">
        <f t="shared" si="0"/>
        <v>6873.75</v>
      </c>
      <c r="N19" s="53">
        <f t="shared" si="1"/>
        <v>3264.15</v>
      </c>
      <c r="O19" s="53">
        <f t="shared" si="2"/>
        <v>187.29499999999999</v>
      </c>
    </row>
    <row r="20" spans="1:15" ht="28.8">
      <c r="A20" s="50" t="s">
        <v>1530</v>
      </c>
      <c r="B20" s="51">
        <v>4</v>
      </c>
      <c r="C20" s="52" t="s">
        <v>1770</v>
      </c>
      <c r="D20" s="51">
        <v>2229</v>
      </c>
      <c r="E20" s="53" t="s">
        <v>1737</v>
      </c>
      <c r="F20" s="53" t="s">
        <v>1737</v>
      </c>
      <c r="G20" s="53" t="s">
        <v>1737</v>
      </c>
      <c r="H20" s="50">
        <v>2229</v>
      </c>
      <c r="I20" s="56">
        <v>0.73199999332427901</v>
      </c>
      <c r="J20" s="54">
        <v>77</v>
      </c>
      <c r="K20" s="54">
        <v>451</v>
      </c>
      <c r="L20" s="54">
        <v>3.1</v>
      </c>
      <c r="M20" s="53">
        <f t="shared" si="0"/>
        <v>171.63300000000001</v>
      </c>
      <c r="N20" s="53">
        <f t="shared" si="1"/>
        <v>1005.279</v>
      </c>
      <c r="O20" s="53">
        <f t="shared" si="2"/>
        <v>6.9099000000000004</v>
      </c>
    </row>
    <row r="21" spans="1:15" ht="43.2">
      <c r="A21" s="50" t="s">
        <v>1450</v>
      </c>
      <c r="B21" s="51">
        <v>6</v>
      </c>
      <c r="C21" s="52" t="s">
        <v>1771</v>
      </c>
      <c r="D21" s="51" t="s">
        <v>1772</v>
      </c>
      <c r="E21" s="53" t="s">
        <v>1737</v>
      </c>
      <c r="F21" s="53" t="s">
        <v>1737</v>
      </c>
      <c r="G21" s="53" t="s">
        <v>1737</v>
      </c>
      <c r="H21" s="50">
        <v>2189</v>
      </c>
      <c r="I21" s="56">
        <v>0.76800000667571999</v>
      </c>
      <c r="J21" s="54">
        <v>1642</v>
      </c>
      <c r="K21" s="54">
        <v>2233</v>
      </c>
      <c r="L21" s="54">
        <v>11.4</v>
      </c>
      <c r="M21" s="53">
        <f t="shared" si="0"/>
        <v>3594.3380000000002</v>
      </c>
      <c r="N21" s="53">
        <f t="shared" si="1"/>
        <v>4888.0370000000003</v>
      </c>
      <c r="O21" s="53">
        <f t="shared" si="2"/>
        <v>24.954600000000003</v>
      </c>
    </row>
    <row r="22" spans="1:15" ht="28.8">
      <c r="A22" s="59" t="s">
        <v>1443</v>
      </c>
      <c r="B22" s="60">
        <v>4</v>
      </c>
      <c r="C22" s="61" t="s">
        <v>1773</v>
      </c>
      <c r="D22" s="60" t="s">
        <v>1774</v>
      </c>
      <c r="E22" s="63" t="s">
        <v>1737</v>
      </c>
      <c r="F22" s="63" t="s">
        <v>1737</v>
      </c>
      <c r="G22" s="63" t="s">
        <v>1737</v>
      </c>
      <c r="H22" s="60">
        <v>2161</v>
      </c>
      <c r="I22" s="53">
        <v>0.82299999999999995</v>
      </c>
      <c r="J22" s="54">
        <v>943</v>
      </c>
      <c r="K22" s="54">
        <v>2072</v>
      </c>
      <c r="L22" s="54">
        <v>7.2</v>
      </c>
      <c r="M22" s="53">
        <f t="shared" si="0"/>
        <v>2037.8230000000001</v>
      </c>
      <c r="N22" s="53">
        <f t="shared" si="1"/>
        <v>4477.5919999999996</v>
      </c>
      <c r="O22" s="53">
        <f t="shared" si="2"/>
        <v>15.559200000000001</v>
      </c>
    </row>
    <row r="23" spans="1:15" ht="302.39999999999998">
      <c r="A23" s="50" t="s">
        <v>1421</v>
      </c>
      <c r="B23" s="51">
        <v>43</v>
      </c>
      <c r="C23" s="52" t="s">
        <v>1775</v>
      </c>
      <c r="D23" s="51" t="s">
        <v>1776</v>
      </c>
      <c r="E23" s="53">
        <f>(0.919+0.909)/2</f>
        <v>0.91400000000000003</v>
      </c>
      <c r="F23" s="53" t="s">
        <v>1737</v>
      </c>
      <c r="G23" s="55" t="s">
        <v>1777</v>
      </c>
      <c r="H23" s="50">
        <f>(2210)*E23+6*5*E23</f>
        <v>2047.3600000000001</v>
      </c>
      <c r="I23" s="53">
        <v>1</v>
      </c>
      <c r="J23" s="54">
        <v>1245</v>
      </c>
      <c r="K23" s="54">
        <v>453</v>
      </c>
      <c r="L23" s="54">
        <v>4.5</v>
      </c>
      <c r="M23" s="53">
        <f t="shared" si="0"/>
        <v>2548.9632000000001</v>
      </c>
      <c r="N23" s="53">
        <f t="shared" si="1"/>
        <v>927.45408000000009</v>
      </c>
      <c r="O23" s="53">
        <f t="shared" si="2"/>
        <v>9.21312</v>
      </c>
    </row>
    <row r="24" spans="1:15" ht="57.6">
      <c r="A24" s="50" t="s">
        <v>1585</v>
      </c>
      <c r="B24" s="51">
        <v>6</v>
      </c>
      <c r="C24" s="52" t="s">
        <v>1778</v>
      </c>
      <c r="D24" s="51" t="s">
        <v>1779</v>
      </c>
      <c r="E24" s="53" t="s">
        <v>1737</v>
      </c>
      <c r="F24" s="53" t="s">
        <v>1737</v>
      </c>
      <c r="G24" s="53" t="s">
        <v>1737</v>
      </c>
      <c r="H24" s="50">
        <f>2040-280</f>
        <v>1760</v>
      </c>
      <c r="I24" s="53">
        <v>1</v>
      </c>
      <c r="J24" s="54">
        <v>594</v>
      </c>
      <c r="K24" s="54">
        <v>1654</v>
      </c>
      <c r="L24" s="54">
        <v>8.4</v>
      </c>
      <c r="M24" s="53">
        <f t="shared" si="0"/>
        <v>1045.44</v>
      </c>
      <c r="N24" s="53">
        <f t="shared" si="1"/>
        <v>2911.04</v>
      </c>
      <c r="O24" s="53">
        <f t="shared" si="2"/>
        <v>14.784000000000001</v>
      </c>
    </row>
    <row r="25" spans="1:15" ht="14.4">
      <c r="A25" s="59" t="s">
        <v>1716</v>
      </c>
      <c r="B25" s="60">
        <v>2</v>
      </c>
      <c r="C25" s="61" t="s">
        <v>1780</v>
      </c>
      <c r="D25" s="60" t="s">
        <v>1781</v>
      </c>
      <c r="E25" s="63" t="s">
        <v>1737</v>
      </c>
      <c r="F25" s="63" t="s">
        <v>1737</v>
      </c>
      <c r="G25" s="63" t="s">
        <v>1737</v>
      </c>
      <c r="H25" s="60">
        <v>1907</v>
      </c>
      <c r="I25" s="58">
        <v>0.68000000715255704</v>
      </c>
      <c r="J25" s="66">
        <v>335</v>
      </c>
      <c r="K25" s="66">
        <v>799</v>
      </c>
      <c r="L25" s="66">
        <v>1.5</v>
      </c>
      <c r="M25" s="53">
        <f t="shared" si="0"/>
        <v>638.84500000000003</v>
      </c>
      <c r="N25" s="53">
        <f t="shared" si="1"/>
        <v>1523.693</v>
      </c>
      <c r="O25" s="53">
        <f t="shared" si="2"/>
        <v>2.8605</v>
      </c>
    </row>
    <row r="26" spans="1:15" ht="28.8">
      <c r="A26" s="50" t="s">
        <v>1663</v>
      </c>
      <c r="B26" s="51">
        <v>4</v>
      </c>
      <c r="C26" s="52" t="s">
        <v>1782</v>
      </c>
      <c r="D26" s="51">
        <v>1858</v>
      </c>
      <c r="E26" s="53" t="s">
        <v>1737</v>
      </c>
      <c r="F26" s="53" t="s">
        <v>1737</v>
      </c>
      <c r="G26" s="53" t="s">
        <v>1737</v>
      </c>
      <c r="H26" s="50">
        <v>1858</v>
      </c>
      <c r="I26" s="56">
        <v>0.90600001811981201</v>
      </c>
      <c r="J26" s="54">
        <v>6883</v>
      </c>
      <c r="K26" s="54">
        <v>0</v>
      </c>
      <c r="L26" s="54">
        <v>209</v>
      </c>
      <c r="M26" s="53">
        <f t="shared" si="0"/>
        <v>12788.614</v>
      </c>
      <c r="N26" s="53">
        <f t="shared" si="1"/>
        <v>0</v>
      </c>
      <c r="O26" s="53">
        <f t="shared" si="2"/>
        <v>388.322</v>
      </c>
    </row>
    <row r="27" spans="1:15" ht="43.2">
      <c r="A27" s="50" t="s">
        <v>1516</v>
      </c>
      <c r="B27" s="51">
        <v>5</v>
      </c>
      <c r="C27" s="52" t="s">
        <v>1783</v>
      </c>
      <c r="D27" s="51">
        <v>1725</v>
      </c>
      <c r="E27" s="53" t="s">
        <v>1737</v>
      </c>
      <c r="F27" s="53" t="s">
        <v>1737</v>
      </c>
      <c r="G27" s="53" t="s">
        <v>1737</v>
      </c>
      <c r="H27" s="50">
        <v>1725</v>
      </c>
      <c r="I27" s="53">
        <v>1</v>
      </c>
      <c r="J27" s="54">
        <v>2506</v>
      </c>
      <c r="K27" s="54">
        <v>1277</v>
      </c>
      <c r="L27" s="54">
        <v>10</v>
      </c>
      <c r="M27" s="53">
        <f t="shared" si="0"/>
        <v>4322.8500000000004</v>
      </c>
      <c r="N27" s="53">
        <f t="shared" si="1"/>
        <v>2202.8249999999998</v>
      </c>
      <c r="O27" s="53">
        <f t="shared" si="2"/>
        <v>17.25</v>
      </c>
    </row>
    <row r="28" spans="1:15" ht="14.4">
      <c r="A28" s="53" t="s">
        <v>1653</v>
      </c>
      <c r="B28" s="53">
        <v>1</v>
      </c>
      <c r="C28" s="53" t="s">
        <v>1654</v>
      </c>
      <c r="D28" s="53" t="s">
        <v>1784</v>
      </c>
      <c r="E28" s="53"/>
      <c r="F28" s="53"/>
      <c r="G28" s="53"/>
      <c r="H28" s="53">
        <v>1650</v>
      </c>
      <c r="I28" s="56">
        <v>0.855000019073486</v>
      </c>
      <c r="J28" s="54">
        <v>2421</v>
      </c>
      <c r="K28" s="54">
        <v>1730</v>
      </c>
      <c r="L28" s="54">
        <v>10.5</v>
      </c>
      <c r="M28" s="53">
        <f t="shared" si="0"/>
        <v>3994.65</v>
      </c>
      <c r="N28" s="53">
        <f t="shared" si="1"/>
        <v>2854.5</v>
      </c>
      <c r="O28" s="53">
        <f t="shared" si="2"/>
        <v>17.324999999999999</v>
      </c>
    </row>
    <row r="29" spans="1:15" ht="14.4">
      <c r="A29" s="53" t="s">
        <v>1626</v>
      </c>
      <c r="B29" s="53">
        <v>1</v>
      </c>
      <c r="C29" s="53">
        <v>1.6</v>
      </c>
      <c r="D29" s="53" t="s">
        <v>1785</v>
      </c>
      <c r="E29" s="53" t="s">
        <v>1737</v>
      </c>
      <c r="F29" s="53" t="s">
        <v>1737</v>
      </c>
      <c r="G29" s="53" t="s">
        <v>1737</v>
      </c>
      <c r="H29" s="53">
        <v>1600</v>
      </c>
      <c r="I29" s="56">
        <v>0.855000019073486</v>
      </c>
      <c r="J29" s="54">
        <v>3321</v>
      </c>
      <c r="K29" s="54">
        <v>4474</v>
      </c>
      <c r="L29" s="54">
        <v>26.5</v>
      </c>
      <c r="M29" s="53">
        <f t="shared" si="0"/>
        <v>5313.6</v>
      </c>
      <c r="N29" s="53">
        <f t="shared" si="1"/>
        <v>7158.4</v>
      </c>
      <c r="O29" s="53">
        <f t="shared" si="2"/>
        <v>42.4</v>
      </c>
    </row>
    <row r="30" spans="1:15" ht="14.4">
      <c r="A30" s="50" t="s">
        <v>1715</v>
      </c>
      <c r="B30" s="51">
        <v>2</v>
      </c>
      <c r="C30" s="67">
        <v>46242</v>
      </c>
      <c r="D30" s="51">
        <v>16</v>
      </c>
      <c r="E30" s="53" t="s">
        <v>1737</v>
      </c>
      <c r="F30" s="53">
        <v>100</v>
      </c>
      <c r="G30" s="55" t="s">
        <v>1740</v>
      </c>
      <c r="H30" s="50">
        <f>16*100</f>
        <v>1600</v>
      </c>
      <c r="I30" s="56">
        <v>0.69999998807907104</v>
      </c>
      <c r="J30" s="68"/>
      <c r="K30" s="68"/>
      <c r="L30" s="68"/>
      <c r="M30" s="53">
        <f t="shared" si="0"/>
        <v>0</v>
      </c>
      <c r="N30" s="53">
        <f t="shared" si="1"/>
        <v>0</v>
      </c>
      <c r="O30" s="53">
        <f t="shared" si="2"/>
        <v>0</v>
      </c>
    </row>
    <row r="31" spans="1:15" ht="172.8">
      <c r="A31" s="50" t="s">
        <v>652</v>
      </c>
      <c r="B31" s="51">
        <v>29</v>
      </c>
      <c r="C31" s="52" t="s">
        <v>1786</v>
      </c>
      <c r="D31" s="51" t="s">
        <v>1787</v>
      </c>
      <c r="E31" s="53">
        <v>0.91100000000000003</v>
      </c>
      <c r="F31" s="53" t="s">
        <v>1737</v>
      </c>
      <c r="G31" s="55" t="s">
        <v>1743</v>
      </c>
      <c r="H31" s="50">
        <f>1452+90*0.911</f>
        <v>1533.99</v>
      </c>
      <c r="I31" s="53">
        <v>1</v>
      </c>
      <c r="J31" s="54">
        <v>794</v>
      </c>
      <c r="K31" s="54">
        <v>1519</v>
      </c>
      <c r="L31" s="54">
        <v>57.5</v>
      </c>
      <c r="M31" s="53">
        <f t="shared" si="0"/>
        <v>1217.9880600000001</v>
      </c>
      <c r="N31" s="53">
        <f t="shared" si="1"/>
        <v>2330.1308100000001</v>
      </c>
      <c r="O31" s="53">
        <f t="shared" si="2"/>
        <v>88.204425000000001</v>
      </c>
    </row>
    <row r="32" spans="1:15" ht="57.6">
      <c r="A32" s="69" t="s">
        <v>1588</v>
      </c>
      <c r="B32" s="70">
        <v>6</v>
      </c>
      <c r="C32" s="71" t="s">
        <v>1788</v>
      </c>
      <c r="D32" s="71" t="s">
        <v>1789</v>
      </c>
      <c r="E32" s="72" t="s">
        <v>1737</v>
      </c>
      <c r="F32" s="73" t="s">
        <v>1790</v>
      </c>
      <c r="G32" s="74" t="s">
        <v>1740</v>
      </c>
      <c r="H32" s="70">
        <f>20*20+2*42+680+350</f>
        <v>1514</v>
      </c>
      <c r="I32" s="56">
        <v>0.71499997377395597</v>
      </c>
      <c r="J32" s="54">
        <v>349</v>
      </c>
      <c r="K32" s="54">
        <v>799</v>
      </c>
      <c r="L32" s="54">
        <v>1.4</v>
      </c>
      <c r="M32" s="53">
        <f t="shared" si="0"/>
        <v>528.38599999999997</v>
      </c>
      <c r="N32" s="53">
        <f t="shared" si="1"/>
        <v>1209.6859999999999</v>
      </c>
      <c r="O32" s="53">
        <f t="shared" si="2"/>
        <v>2.1195999999999997</v>
      </c>
    </row>
    <row r="33" spans="1:15" ht="14.4">
      <c r="A33" s="50" t="s">
        <v>1664</v>
      </c>
      <c r="B33" s="51">
        <v>2</v>
      </c>
      <c r="C33" s="52" t="s">
        <v>1791</v>
      </c>
      <c r="D33" s="51" t="s">
        <v>1792</v>
      </c>
      <c r="E33" s="53" t="s">
        <v>1737</v>
      </c>
      <c r="F33" s="53" t="s">
        <v>1737</v>
      </c>
      <c r="G33" s="53" t="s">
        <v>1737</v>
      </c>
      <c r="H33" s="50">
        <v>1400</v>
      </c>
      <c r="I33" s="53">
        <v>1</v>
      </c>
      <c r="J33" s="54"/>
      <c r="K33" s="54"/>
      <c r="L33" s="54"/>
      <c r="M33" s="53">
        <f t="shared" si="0"/>
        <v>0</v>
      </c>
      <c r="N33" s="53">
        <f t="shared" si="1"/>
        <v>0</v>
      </c>
      <c r="O33" s="53">
        <f t="shared" si="2"/>
        <v>0</v>
      </c>
    </row>
    <row r="34" spans="1:15" ht="43.2">
      <c r="A34" s="50" t="s">
        <v>1535</v>
      </c>
      <c r="B34" s="51">
        <v>6</v>
      </c>
      <c r="C34" s="52" t="s">
        <v>1793</v>
      </c>
      <c r="D34" s="51">
        <v>1353</v>
      </c>
      <c r="E34" s="53" t="s">
        <v>1737</v>
      </c>
      <c r="F34" s="53" t="s">
        <v>1737</v>
      </c>
      <c r="G34" s="53" t="s">
        <v>1737</v>
      </c>
      <c r="H34" s="50">
        <v>1353</v>
      </c>
      <c r="I34" s="53">
        <v>1</v>
      </c>
      <c r="J34" s="54">
        <v>330</v>
      </c>
      <c r="K34" s="54">
        <v>1842</v>
      </c>
      <c r="L34" s="54">
        <v>49.5</v>
      </c>
      <c r="M34" s="53">
        <f t="shared" si="0"/>
        <v>446.49</v>
      </c>
      <c r="N34" s="53">
        <f t="shared" si="1"/>
        <v>2492.2260000000001</v>
      </c>
      <c r="O34" s="53">
        <f t="shared" si="2"/>
        <v>66.973500000000001</v>
      </c>
    </row>
    <row r="35" spans="1:15" ht="14.4">
      <c r="A35" s="50" t="s">
        <v>581</v>
      </c>
      <c r="B35" s="51">
        <v>5</v>
      </c>
      <c r="C35" s="52" t="s">
        <v>1794</v>
      </c>
      <c r="D35" s="51">
        <v>18</v>
      </c>
      <c r="E35" s="53" t="s">
        <v>1737</v>
      </c>
      <c r="F35" s="53">
        <v>75</v>
      </c>
      <c r="G35" s="55" t="s">
        <v>1740</v>
      </c>
      <c r="H35" s="50">
        <f>75*18</f>
        <v>1350</v>
      </c>
      <c r="I35" s="56">
        <f>(2*0.68800002336502+0.737+0.88+0.7+0.88)/6</f>
        <v>0.76216667445500663</v>
      </c>
      <c r="J35" s="54">
        <v>954</v>
      </c>
      <c r="K35" s="54">
        <v>1003</v>
      </c>
      <c r="L35" s="54">
        <v>4.0999999999999996</v>
      </c>
      <c r="M35" s="53">
        <f t="shared" si="0"/>
        <v>1287.9000000000001</v>
      </c>
      <c r="N35" s="53">
        <f t="shared" si="1"/>
        <v>1354.05</v>
      </c>
      <c r="O35" s="53">
        <f t="shared" si="2"/>
        <v>5.5349999999999993</v>
      </c>
    </row>
    <row r="36" spans="1:15" ht="14.4">
      <c r="A36" s="50" t="s">
        <v>1561</v>
      </c>
      <c r="B36" s="51">
        <v>2</v>
      </c>
      <c r="C36" s="52" t="s">
        <v>1795</v>
      </c>
      <c r="D36" s="51">
        <v>1350</v>
      </c>
      <c r="E36" s="53" t="s">
        <v>1737</v>
      </c>
      <c r="F36" s="53" t="s">
        <v>1737</v>
      </c>
      <c r="G36" s="53" t="s">
        <v>1737</v>
      </c>
      <c r="H36" s="50">
        <v>1350</v>
      </c>
      <c r="I36" s="53">
        <v>1</v>
      </c>
      <c r="J36" s="54">
        <v>210</v>
      </c>
      <c r="K36" s="54">
        <v>3264</v>
      </c>
      <c r="L36" s="54">
        <v>5.4</v>
      </c>
      <c r="M36" s="53">
        <f t="shared" si="0"/>
        <v>283.5</v>
      </c>
      <c r="N36" s="53">
        <f t="shared" si="1"/>
        <v>4406.3999999999996</v>
      </c>
      <c r="O36" s="53">
        <f t="shared" si="2"/>
        <v>7.2900000000000009</v>
      </c>
    </row>
    <row r="37" spans="1:15" ht="28.8">
      <c r="A37" s="50" t="s">
        <v>1698</v>
      </c>
      <c r="B37" s="51">
        <v>3</v>
      </c>
      <c r="C37" s="52" t="s">
        <v>1796</v>
      </c>
      <c r="D37" s="51" t="s">
        <v>1797</v>
      </c>
      <c r="E37" s="53" t="s">
        <v>1737</v>
      </c>
      <c r="F37" s="53" t="s">
        <v>1737</v>
      </c>
      <c r="G37" s="53" t="s">
        <v>1737</v>
      </c>
      <c r="H37" s="50">
        <v>1230</v>
      </c>
      <c r="I37" s="53">
        <v>1</v>
      </c>
      <c r="J37" s="54">
        <v>594</v>
      </c>
      <c r="K37" s="54">
        <v>1966</v>
      </c>
      <c r="L37" s="54">
        <v>8.4</v>
      </c>
      <c r="M37" s="53">
        <f t="shared" si="0"/>
        <v>730.62</v>
      </c>
      <c r="N37" s="53">
        <f t="shared" si="1"/>
        <v>2418.1799999999998</v>
      </c>
      <c r="O37" s="53">
        <f t="shared" si="2"/>
        <v>10.332000000000001</v>
      </c>
    </row>
    <row r="38" spans="1:15" ht="72">
      <c r="A38" s="50" t="s">
        <v>1445</v>
      </c>
      <c r="B38" s="51">
        <v>10</v>
      </c>
      <c r="C38" s="52" t="s">
        <v>1798</v>
      </c>
      <c r="D38" s="51">
        <v>1229</v>
      </c>
      <c r="E38" s="53">
        <f>170+225+85+113+113+57+226+115+125</f>
        <v>1229</v>
      </c>
      <c r="F38" s="53" t="s">
        <v>1737</v>
      </c>
      <c r="G38" s="53" t="s">
        <v>1737</v>
      </c>
      <c r="H38" s="50">
        <v>1229</v>
      </c>
      <c r="I38" s="53">
        <v>1</v>
      </c>
      <c r="J38" s="54">
        <v>14500</v>
      </c>
      <c r="K38" s="54">
        <v>12800</v>
      </c>
      <c r="L38" s="54">
        <v>52</v>
      </c>
      <c r="M38" s="53">
        <f t="shared" si="0"/>
        <v>17820.5</v>
      </c>
      <c r="N38" s="53">
        <f t="shared" si="1"/>
        <v>15731.2</v>
      </c>
      <c r="O38" s="53">
        <f t="shared" si="2"/>
        <v>63.908000000000001</v>
      </c>
    </row>
    <row r="39" spans="1:15" ht="43.2">
      <c r="A39" s="50" t="s">
        <v>642</v>
      </c>
      <c r="B39" s="51">
        <v>13</v>
      </c>
      <c r="C39" s="52" t="s">
        <v>1799</v>
      </c>
      <c r="D39" s="51">
        <v>27</v>
      </c>
      <c r="E39" s="53" t="s">
        <v>1737</v>
      </c>
      <c r="F39" s="53">
        <v>45</v>
      </c>
      <c r="G39" s="53" t="s">
        <v>1740</v>
      </c>
      <c r="H39" s="50">
        <f>27*45</f>
        <v>1215</v>
      </c>
      <c r="I39" s="56">
        <v>0.903999984264373</v>
      </c>
      <c r="J39" s="54">
        <v>3321</v>
      </c>
      <c r="K39" s="54">
        <v>4474</v>
      </c>
      <c r="L39" s="54">
        <v>26.5</v>
      </c>
      <c r="M39" s="53">
        <f t="shared" si="0"/>
        <v>4035.0149999999999</v>
      </c>
      <c r="N39" s="53">
        <f t="shared" si="1"/>
        <v>5435.91</v>
      </c>
      <c r="O39" s="53">
        <f t="shared" si="2"/>
        <v>32.197499999999998</v>
      </c>
    </row>
    <row r="40" spans="1:15" ht="43.2">
      <c r="A40" s="75" t="s">
        <v>1495</v>
      </c>
      <c r="B40" s="76">
        <v>15</v>
      </c>
      <c r="C40" s="77" t="s">
        <v>1800</v>
      </c>
      <c r="D40" s="76" t="s">
        <v>1801</v>
      </c>
      <c r="E40" s="53">
        <v>1.02</v>
      </c>
      <c r="F40" s="53">
        <v>84</v>
      </c>
      <c r="G40" s="55" t="s">
        <v>1802</v>
      </c>
      <c r="H40" s="50">
        <f>30*1.02+84*14</f>
        <v>1206.5999999999999</v>
      </c>
      <c r="I40" s="56">
        <v>0.45500001311302202</v>
      </c>
      <c r="J40" s="54">
        <v>80</v>
      </c>
      <c r="K40" s="54">
        <v>537</v>
      </c>
      <c r="L40" s="54">
        <v>4.0999999999999996</v>
      </c>
      <c r="M40" s="53">
        <f t="shared" si="0"/>
        <v>96.528000000000006</v>
      </c>
      <c r="N40" s="53">
        <f t="shared" si="1"/>
        <v>647.94419999999991</v>
      </c>
      <c r="O40" s="53">
        <f t="shared" si="2"/>
        <v>4.9470599999999996</v>
      </c>
    </row>
    <row r="41" spans="1:15" ht="57.6">
      <c r="A41" s="50" t="s">
        <v>1483</v>
      </c>
      <c r="B41" s="51">
        <v>7</v>
      </c>
      <c r="C41" s="52" t="s">
        <v>1803</v>
      </c>
      <c r="D41" s="51">
        <v>1145</v>
      </c>
      <c r="E41" s="53" t="s">
        <v>1737</v>
      </c>
      <c r="F41" s="53" t="s">
        <v>1737</v>
      </c>
      <c r="G41" s="53" t="s">
        <v>1737</v>
      </c>
      <c r="H41" s="50">
        <v>1145</v>
      </c>
      <c r="I41" s="53">
        <v>1</v>
      </c>
      <c r="J41" s="54">
        <v>8180</v>
      </c>
      <c r="K41" s="54">
        <v>6262</v>
      </c>
      <c r="L41" s="54">
        <v>28.3</v>
      </c>
      <c r="M41" s="53">
        <f t="shared" si="0"/>
        <v>9366.1</v>
      </c>
      <c r="N41" s="53">
        <f t="shared" si="1"/>
        <v>7169.99</v>
      </c>
      <c r="O41" s="53">
        <f t="shared" si="2"/>
        <v>32.403500000000001</v>
      </c>
    </row>
    <row r="42" spans="1:15" ht="14.4">
      <c r="A42" s="50" t="s">
        <v>1638</v>
      </c>
      <c r="B42" s="51">
        <v>3</v>
      </c>
      <c r="C42" s="52" t="s">
        <v>1804</v>
      </c>
      <c r="D42" s="51" t="s">
        <v>1805</v>
      </c>
      <c r="E42" s="53" t="s">
        <v>1737</v>
      </c>
      <c r="F42" s="53">
        <v>75</v>
      </c>
      <c r="G42" s="55" t="s">
        <v>1740</v>
      </c>
      <c r="H42" s="50">
        <f>720+5*75</f>
        <v>1095</v>
      </c>
      <c r="I42" s="53">
        <v>1</v>
      </c>
      <c r="J42" s="54">
        <v>1730</v>
      </c>
      <c r="K42" s="54">
        <v>1247</v>
      </c>
      <c r="L42" s="54">
        <v>5</v>
      </c>
      <c r="M42" s="53">
        <f t="shared" si="0"/>
        <v>1894.35</v>
      </c>
      <c r="N42" s="53">
        <f t="shared" si="1"/>
        <v>1365.4649999999999</v>
      </c>
      <c r="O42" s="53">
        <f t="shared" si="2"/>
        <v>5.4749999999999996</v>
      </c>
    </row>
    <row r="43" spans="1:15" ht="14.4">
      <c r="A43" s="50" t="s">
        <v>678</v>
      </c>
      <c r="B43" s="51">
        <v>1</v>
      </c>
      <c r="C43" s="52">
        <v>6</v>
      </c>
      <c r="D43" s="51">
        <v>6</v>
      </c>
      <c r="E43" s="53" t="s">
        <v>1737</v>
      </c>
      <c r="F43" s="53">
        <v>180</v>
      </c>
      <c r="G43" s="55" t="s">
        <v>1740</v>
      </c>
      <c r="H43" s="50">
        <f>180*6</f>
        <v>1080</v>
      </c>
      <c r="I43" s="56">
        <v>0.64200001955032304</v>
      </c>
      <c r="J43" s="54">
        <v>258</v>
      </c>
      <c r="K43" s="54">
        <v>395</v>
      </c>
      <c r="L43" s="54">
        <v>4.0999999999999996</v>
      </c>
      <c r="M43" s="53">
        <f t="shared" si="0"/>
        <v>278.64</v>
      </c>
      <c r="N43" s="53">
        <f t="shared" si="1"/>
        <v>426.6</v>
      </c>
      <c r="O43" s="53">
        <f t="shared" si="2"/>
        <v>4.4279999999999999</v>
      </c>
    </row>
    <row r="44" spans="1:15" ht="14.4">
      <c r="A44" s="50" t="s">
        <v>1540</v>
      </c>
      <c r="B44" s="51">
        <v>1</v>
      </c>
      <c r="C44" s="52" t="s">
        <v>1541</v>
      </c>
      <c r="D44" s="51" t="s">
        <v>1806</v>
      </c>
      <c r="E44" s="53" t="s">
        <v>1737</v>
      </c>
      <c r="F44" s="53" t="s">
        <v>1737</v>
      </c>
      <c r="G44" s="53" t="s">
        <v>1737</v>
      </c>
      <c r="H44" s="50">
        <v>1000</v>
      </c>
      <c r="I44" s="53">
        <v>1</v>
      </c>
      <c r="J44" s="78"/>
      <c r="K44" s="78"/>
      <c r="L44" s="78"/>
      <c r="M44" s="53">
        <f t="shared" si="0"/>
        <v>0</v>
      </c>
      <c r="N44" s="53">
        <f t="shared" si="1"/>
        <v>0</v>
      </c>
      <c r="O44" s="53">
        <f t="shared" si="2"/>
        <v>0</v>
      </c>
    </row>
    <row r="45" spans="1:15" ht="14.4">
      <c r="A45" s="79" t="s">
        <v>1675</v>
      </c>
      <c r="B45" s="51">
        <v>1</v>
      </c>
      <c r="C45" s="52" t="s">
        <v>1541</v>
      </c>
      <c r="D45" s="51" t="s">
        <v>1806</v>
      </c>
      <c r="E45" s="53" t="s">
        <v>1737</v>
      </c>
      <c r="F45" s="53" t="s">
        <v>1737</v>
      </c>
      <c r="G45" s="55" t="s">
        <v>1807</v>
      </c>
      <c r="H45" s="50">
        <v>1000</v>
      </c>
      <c r="I45" s="80">
        <f>(19.4+13.5)/200</f>
        <v>0.16449999999999998</v>
      </c>
      <c r="J45" s="54">
        <v>6320</v>
      </c>
      <c r="K45" s="54">
        <v>0</v>
      </c>
      <c r="L45" s="54">
        <v>209</v>
      </c>
      <c r="M45" s="53">
        <f t="shared" si="0"/>
        <v>6320</v>
      </c>
      <c r="N45" s="53">
        <f t="shared" si="1"/>
        <v>0</v>
      </c>
      <c r="O45" s="53">
        <f t="shared" si="2"/>
        <v>209</v>
      </c>
    </row>
    <row r="46" spans="1:15" ht="14.4">
      <c r="A46" s="79" t="s">
        <v>1701</v>
      </c>
      <c r="B46" s="51">
        <v>2</v>
      </c>
      <c r="C46" s="52" t="s">
        <v>1808</v>
      </c>
      <c r="D46" s="51" t="s">
        <v>1809</v>
      </c>
      <c r="E46" s="53" t="s">
        <v>1737</v>
      </c>
      <c r="F46" s="53" t="s">
        <v>1737</v>
      </c>
      <c r="G46" s="53" t="s">
        <v>1737</v>
      </c>
      <c r="H46" s="50">
        <v>950</v>
      </c>
      <c r="I46" s="53">
        <v>1</v>
      </c>
      <c r="J46" s="64"/>
      <c r="K46" s="64"/>
      <c r="L46" s="64"/>
      <c r="M46" s="53">
        <f t="shared" si="0"/>
        <v>0</v>
      </c>
      <c r="N46" s="53">
        <f t="shared" si="1"/>
        <v>0</v>
      </c>
      <c r="O46" s="53">
        <f t="shared" si="2"/>
        <v>0</v>
      </c>
    </row>
    <row r="47" spans="1:15" ht="57.6">
      <c r="A47" s="50" t="s">
        <v>1467</v>
      </c>
      <c r="B47" s="51">
        <v>7</v>
      </c>
      <c r="C47" s="52" t="s">
        <v>1810</v>
      </c>
      <c r="D47" s="51" t="s">
        <v>1811</v>
      </c>
      <c r="E47" s="53">
        <v>0.99399999999999999</v>
      </c>
      <c r="F47" s="53"/>
      <c r="G47" s="53" t="s">
        <v>1743</v>
      </c>
      <c r="H47" s="50">
        <f>935*0.994</f>
        <v>929.39</v>
      </c>
      <c r="I47" s="53">
        <v>1</v>
      </c>
      <c r="J47" s="54">
        <v>2004</v>
      </c>
      <c r="K47" s="54">
        <v>1647</v>
      </c>
      <c r="L47" s="54">
        <v>10.4</v>
      </c>
      <c r="M47" s="53">
        <f t="shared" si="0"/>
        <v>1862.49756</v>
      </c>
      <c r="N47" s="53">
        <f t="shared" si="1"/>
        <v>1530.70533</v>
      </c>
      <c r="O47" s="53">
        <f t="shared" si="2"/>
        <v>9.6656560000000002</v>
      </c>
    </row>
    <row r="48" spans="1:15" ht="14.4">
      <c r="A48" s="63" t="s">
        <v>1641</v>
      </c>
      <c r="B48" s="62">
        <v>1</v>
      </c>
      <c r="C48" s="62">
        <v>907</v>
      </c>
      <c r="D48" s="62">
        <v>907</v>
      </c>
      <c r="E48" s="63" t="s">
        <v>1737</v>
      </c>
      <c r="F48" s="63" t="s">
        <v>1737</v>
      </c>
      <c r="G48" s="63" t="s">
        <v>1737</v>
      </c>
      <c r="H48" s="62">
        <v>907</v>
      </c>
      <c r="I48" s="56">
        <v>0.855000019073486</v>
      </c>
      <c r="J48" s="54">
        <v>3321</v>
      </c>
      <c r="K48" s="54">
        <v>4474</v>
      </c>
      <c r="L48" s="54">
        <v>26.5</v>
      </c>
      <c r="M48" s="53">
        <f t="shared" si="0"/>
        <v>3012.1469999999999</v>
      </c>
      <c r="N48" s="53">
        <f t="shared" si="1"/>
        <v>4057.9180000000001</v>
      </c>
      <c r="O48" s="53">
        <f t="shared" si="2"/>
        <v>24.035499999999999</v>
      </c>
    </row>
    <row r="49" spans="1:15" ht="14.4">
      <c r="A49" s="59" t="s">
        <v>1812</v>
      </c>
      <c r="B49" s="60">
        <v>1</v>
      </c>
      <c r="C49" s="61" t="s">
        <v>1497</v>
      </c>
      <c r="D49" s="60" t="s">
        <v>1497</v>
      </c>
      <c r="E49" s="63" t="s">
        <v>1737</v>
      </c>
      <c r="F49" s="63" t="s">
        <v>1737</v>
      </c>
      <c r="G49" s="63" t="s">
        <v>1737</v>
      </c>
      <c r="H49" s="60">
        <f>907</f>
        <v>907</v>
      </c>
      <c r="I49" s="58">
        <v>0.86400002241134599</v>
      </c>
      <c r="J49" s="54">
        <v>4005</v>
      </c>
      <c r="K49" s="54">
        <v>7509</v>
      </c>
      <c r="L49" s="54">
        <v>34.9</v>
      </c>
      <c r="M49" s="53">
        <f t="shared" si="0"/>
        <v>3632.5349999999999</v>
      </c>
      <c r="N49" s="53">
        <f t="shared" si="1"/>
        <v>6810.6629999999996</v>
      </c>
      <c r="O49" s="53">
        <f t="shared" si="2"/>
        <v>31.654299999999999</v>
      </c>
    </row>
    <row r="50" spans="1:15" ht="144">
      <c r="A50" s="50" t="s">
        <v>737</v>
      </c>
      <c r="B50" s="51">
        <v>56</v>
      </c>
      <c r="C50" s="52" t="s">
        <v>1813</v>
      </c>
      <c r="D50" s="51">
        <v>191</v>
      </c>
      <c r="E50" s="53" t="s">
        <v>1737</v>
      </c>
      <c r="F50" s="53">
        <v>4.4000000000000004</v>
      </c>
      <c r="G50" s="55" t="s">
        <v>1740</v>
      </c>
      <c r="H50" s="50">
        <f>4.4*191</f>
        <v>840.40000000000009</v>
      </c>
      <c r="I50" s="56">
        <v>0.85799998044967596</v>
      </c>
      <c r="J50" s="54">
        <v>209</v>
      </c>
      <c r="K50" s="54">
        <v>2781</v>
      </c>
      <c r="L50" s="54">
        <v>1.2</v>
      </c>
      <c r="M50" s="53">
        <f t="shared" si="0"/>
        <v>175.64359999999999</v>
      </c>
      <c r="N50" s="53">
        <f t="shared" si="1"/>
        <v>2337.1524000000004</v>
      </c>
      <c r="O50" s="53">
        <f t="shared" si="2"/>
        <v>1.00848</v>
      </c>
    </row>
    <row r="51" spans="1:15" ht="14.4">
      <c r="A51" s="50" t="s">
        <v>1547</v>
      </c>
      <c r="B51" s="51">
        <v>2</v>
      </c>
      <c r="C51" s="52" t="s">
        <v>1814</v>
      </c>
      <c r="D51" s="51" t="s">
        <v>1669</v>
      </c>
      <c r="E51" s="53" t="s">
        <v>1737</v>
      </c>
      <c r="F51" s="53" t="s">
        <v>1737</v>
      </c>
      <c r="G51" s="53" t="s">
        <v>1737</v>
      </c>
      <c r="H51" s="50">
        <v>800</v>
      </c>
      <c r="I51" s="56">
        <v>0.82300001382827703</v>
      </c>
      <c r="J51" s="54">
        <v>26938</v>
      </c>
      <c r="K51" s="54">
        <v>18136</v>
      </c>
      <c r="L51" s="54">
        <v>112.3</v>
      </c>
      <c r="M51" s="53">
        <f t="shared" si="0"/>
        <v>21550.400000000001</v>
      </c>
      <c r="N51" s="53">
        <f t="shared" si="1"/>
        <v>14508.8</v>
      </c>
      <c r="O51" s="53">
        <f t="shared" si="2"/>
        <v>89.84</v>
      </c>
    </row>
    <row r="52" spans="1:15" ht="43.2">
      <c r="A52" s="50" t="s">
        <v>700</v>
      </c>
      <c r="B52" s="51">
        <v>6</v>
      </c>
      <c r="C52" s="52" t="s">
        <v>1815</v>
      </c>
      <c r="D52" s="51" t="s">
        <v>1816</v>
      </c>
      <c r="E52" s="53" t="s">
        <v>1737</v>
      </c>
      <c r="F52" s="53" t="s">
        <v>1737</v>
      </c>
      <c r="G52" s="53" t="s">
        <v>1737</v>
      </c>
      <c r="H52" s="50">
        <f>216+162+108+115+95+81</f>
        <v>777</v>
      </c>
      <c r="I52" s="53">
        <v>1</v>
      </c>
      <c r="J52" s="54">
        <v>443</v>
      </c>
      <c r="K52" s="54">
        <v>1518</v>
      </c>
      <c r="L52" s="54">
        <v>9</v>
      </c>
      <c r="M52" s="53">
        <f t="shared" si="0"/>
        <v>344.21100000000001</v>
      </c>
      <c r="N52" s="53">
        <f t="shared" si="1"/>
        <v>1179.4860000000001</v>
      </c>
      <c r="O52" s="53">
        <f t="shared" si="2"/>
        <v>6.9930000000000003</v>
      </c>
    </row>
    <row r="53" spans="1:15" ht="28.8">
      <c r="A53" s="75" t="s">
        <v>657</v>
      </c>
      <c r="B53" s="76">
        <v>4</v>
      </c>
      <c r="C53" s="77" t="s">
        <v>1817</v>
      </c>
      <c r="D53" s="76" t="s">
        <v>1818</v>
      </c>
      <c r="E53" s="81">
        <v>1.03</v>
      </c>
      <c r="F53" s="81" t="s">
        <v>1737</v>
      </c>
      <c r="G53" s="82" t="s">
        <v>1819</v>
      </c>
      <c r="H53" s="75">
        <f>397+360*1.03</f>
        <v>767.8</v>
      </c>
      <c r="I53" s="53">
        <v>1</v>
      </c>
      <c r="J53" s="54">
        <v>1560</v>
      </c>
      <c r="K53" s="54">
        <v>432</v>
      </c>
      <c r="L53" s="54">
        <v>33.5</v>
      </c>
      <c r="M53" s="53">
        <f t="shared" si="0"/>
        <v>1197.768</v>
      </c>
      <c r="N53" s="53">
        <f t="shared" si="1"/>
        <v>331.68959999999998</v>
      </c>
      <c r="O53" s="53">
        <f t="shared" si="2"/>
        <v>25.721299999999999</v>
      </c>
    </row>
    <row r="54" spans="1:15" ht="14.4">
      <c r="A54" s="50" t="s">
        <v>1560</v>
      </c>
      <c r="B54" s="51">
        <v>2</v>
      </c>
      <c r="C54" s="52" t="s">
        <v>1820</v>
      </c>
      <c r="D54" s="51" t="s">
        <v>1821</v>
      </c>
      <c r="E54" s="53" t="s">
        <v>1737</v>
      </c>
      <c r="F54" s="53" t="s">
        <v>1737</v>
      </c>
      <c r="G54" s="53" t="s">
        <v>1737</v>
      </c>
      <c r="H54" s="50">
        <v>754</v>
      </c>
      <c r="I54" s="56">
        <v>0.86400002241134599</v>
      </c>
      <c r="J54" s="54">
        <v>4005</v>
      </c>
      <c r="K54" s="54">
        <v>7509</v>
      </c>
      <c r="L54" s="54">
        <v>34.9</v>
      </c>
      <c r="M54" s="53">
        <f t="shared" si="0"/>
        <v>3019.77</v>
      </c>
      <c r="N54" s="53">
        <f t="shared" si="1"/>
        <v>5661.7860000000001</v>
      </c>
      <c r="O54" s="53">
        <f t="shared" si="2"/>
        <v>26.314599999999999</v>
      </c>
    </row>
    <row r="55" spans="1:15" ht="14.4">
      <c r="A55" s="75" t="s">
        <v>1692</v>
      </c>
      <c r="B55" s="76">
        <v>1</v>
      </c>
      <c r="C55" s="77" t="s">
        <v>1693</v>
      </c>
      <c r="D55" s="76" t="s">
        <v>1693</v>
      </c>
      <c r="E55" s="53">
        <v>1</v>
      </c>
      <c r="F55" s="53"/>
      <c r="G55" s="53" t="s">
        <v>1822</v>
      </c>
      <c r="H55" s="50">
        <v>750</v>
      </c>
      <c r="I55" s="53">
        <v>1</v>
      </c>
      <c r="J55" s="54">
        <v>2900</v>
      </c>
      <c r="K55" s="54">
        <v>6115</v>
      </c>
      <c r="L55" s="54">
        <v>33.5</v>
      </c>
      <c r="M55" s="53">
        <f t="shared" si="0"/>
        <v>2175</v>
      </c>
      <c r="N55" s="53">
        <f t="shared" si="1"/>
        <v>4586.25</v>
      </c>
      <c r="O55" s="53">
        <f t="shared" si="2"/>
        <v>25.125</v>
      </c>
    </row>
    <row r="56" spans="1:15" ht="14.4">
      <c r="A56" s="79" t="s">
        <v>1677</v>
      </c>
      <c r="B56" s="51">
        <v>1</v>
      </c>
      <c r="C56" s="52" t="s">
        <v>1823</v>
      </c>
      <c r="D56" s="51" t="s">
        <v>721</v>
      </c>
      <c r="E56" s="53"/>
      <c r="F56" s="53"/>
      <c r="G56" s="53"/>
      <c r="H56" s="50">
        <v>750</v>
      </c>
      <c r="I56" s="81">
        <f>(0.17+0.45+0.32+0.23)/4</f>
        <v>0.29249999999999998</v>
      </c>
      <c r="J56" s="54">
        <v>6320</v>
      </c>
      <c r="K56" s="54">
        <v>0</v>
      </c>
      <c r="L56" s="54">
        <v>209</v>
      </c>
      <c r="M56" s="53">
        <f t="shared" si="0"/>
        <v>4740</v>
      </c>
      <c r="N56" s="53">
        <f t="shared" si="1"/>
        <v>0</v>
      </c>
      <c r="O56" s="53">
        <f t="shared" si="2"/>
        <v>156.75</v>
      </c>
    </row>
    <row r="57" spans="1:15" ht="14.4">
      <c r="A57" s="75" t="s">
        <v>1580</v>
      </c>
      <c r="B57" s="76">
        <v>1</v>
      </c>
      <c r="C57" s="77">
        <v>1</v>
      </c>
      <c r="D57" s="51">
        <v>1</v>
      </c>
      <c r="E57" s="53" t="s">
        <v>1737</v>
      </c>
      <c r="F57" s="53">
        <v>700</v>
      </c>
      <c r="G57" s="55" t="s">
        <v>1740</v>
      </c>
      <c r="H57" s="50">
        <v>700</v>
      </c>
      <c r="I57" s="56">
        <v>0.653999984264373</v>
      </c>
      <c r="J57" s="66">
        <v>260</v>
      </c>
      <c r="K57" s="66">
        <v>160</v>
      </c>
      <c r="L57" s="66">
        <v>4.0999999999999996</v>
      </c>
      <c r="M57" s="53">
        <f t="shared" si="0"/>
        <v>182</v>
      </c>
      <c r="N57" s="53">
        <f t="shared" si="1"/>
        <v>112</v>
      </c>
      <c r="O57" s="53">
        <f t="shared" si="2"/>
        <v>2.8699999999999997</v>
      </c>
    </row>
    <row r="58" spans="1:15" ht="14.4">
      <c r="A58" s="50" t="s">
        <v>1524</v>
      </c>
      <c r="B58" s="51">
        <v>2</v>
      </c>
      <c r="C58" s="52" t="s">
        <v>1824</v>
      </c>
      <c r="D58" s="51" t="s">
        <v>1825</v>
      </c>
      <c r="E58" s="53" t="s">
        <v>1737</v>
      </c>
      <c r="F58" s="53" t="s">
        <v>1737</v>
      </c>
      <c r="G58" s="53" t="s">
        <v>1737</v>
      </c>
      <c r="H58" s="50">
        <v>697</v>
      </c>
      <c r="I58" s="53">
        <v>1</v>
      </c>
      <c r="J58" s="54">
        <v>250</v>
      </c>
      <c r="K58" s="54">
        <v>3264</v>
      </c>
      <c r="L58" s="54">
        <v>5.4</v>
      </c>
      <c r="M58" s="53">
        <f t="shared" si="0"/>
        <v>174.25</v>
      </c>
      <c r="N58" s="53">
        <f t="shared" si="1"/>
        <v>2275.0079999999998</v>
      </c>
      <c r="O58" s="53">
        <f t="shared" si="2"/>
        <v>3.7638000000000003</v>
      </c>
    </row>
    <row r="59" spans="1:15" ht="14.4">
      <c r="A59" s="50" t="s">
        <v>1712</v>
      </c>
      <c r="B59" s="51">
        <v>1</v>
      </c>
      <c r="C59" s="50">
        <v>3</v>
      </c>
      <c r="D59" s="51">
        <v>3</v>
      </c>
      <c r="E59" s="53" t="s">
        <v>1737</v>
      </c>
      <c r="F59" s="53">
        <v>230</v>
      </c>
      <c r="G59" s="55" t="s">
        <v>1740</v>
      </c>
      <c r="H59" s="50">
        <f>230*3</f>
        <v>690</v>
      </c>
      <c r="I59" s="56">
        <v>0.72399997711181596</v>
      </c>
      <c r="J59" s="54">
        <v>335</v>
      </c>
      <c r="K59" s="54">
        <v>799</v>
      </c>
      <c r="L59" s="54">
        <v>1.5</v>
      </c>
      <c r="M59" s="53">
        <f t="shared" si="0"/>
        <v>231.15</v>
      </c>
      <c r="N59" s="53">
        <f t="shared" si="1"/>
        <v>551.30999999999995</v>
      </c>
      <c r="O59" s="53">
        <f t="shared" si="2"/>
        <v>1.0349999999999999</v>
      </c>
    </row>
    <row r="60" spans="1:15" ht="14.4">
      <c r="A60" s="50" t="s">
        <v>1501</v>
      </c>
      <c r="B60" s="51">
        <v>1</v>
      </c>
      <c r="C60" s="52" t="s">
        <v>1502</v>
      </c>
      <c r="D60" s="51" t="s">
        <v>1502</v>
      </c>
      <c r="E60" s="53" t="s">
        <v>1737</v>
      </c>
      <c r="F60" s="53" t="s">
        <v>1737</v>
      </c>
      <c r="G60" s="53" t="s">
        <v>1737</v>
      </c>
      <c r="H60" s="50">
        <v>680</v>
      </c>
      <c r="I60" s="56">
        <v>0.82300001382827703</v>
      </c>
      <c r="J60" s="54">
        <v>1560</v>
      </c>
      <c r="K60" s="54">
        <v>432</v>
      </c>
      <c r="L60" s="54">
        <v>33.5</v>
      </c>
      <c r="M60" s="53">
        <f t="shared" si="0"/>
        <v>1060.8</v>
      </c>
      <c r="N60" s="53">
        <f t="shared" si="1"/>
        <v>293.76</v>
      </c>
      <c r="O60" s="53">
        <f t="shared" si="2"/>
        <v>22.78</v>
      </c>
    </row>
    <row r="61" spans="1:15" ht="14.4">
      <c r="A61" s="50" t="s">
        <v>1581</v>
      </c>
      <c r="B61" s="51">
        <v>2</v>
      </c>
      <c r="C61" s="52" t="s">
        <v>1826</v>
      </c>
      <c r="D61" s="51">
        <v>675</v>
      </c>
      <c r="E61" s="53" t="s">
        <v>1737</v>
      </c>
      <c r="F61" s="53" t="s">
        <v>1737</v>
      </c>
      <c r="G61" s="53" t="s">
        <v>1737</v>
      </c>
      <c r="H61" s="50">
        <v>675</v>
      </c>
      <c r="I61" s="53">
        <v>1</v>
      </c>
      <c r="J61" s="54">
        <v>210</v>
      </c>
      <c r="K61" s="54">
        <v>3264</v>
      </c>
      <c r="L61" s="54">
        <v>5.4</v>
      </c>
      <c r="M61" s="53">
        <f t="shared" si="0"/>
        <v>141.75</v>
      </c>
      <c r="N61" s="53">
        <f t="shared" si="1"/>
        <v>2203.1999999999998</v>
      </c>
      <c r="O61" s="53">
        <f t="shared" si="2"/>
        <v>3.6450000000000005</v>
      </c>
    </row>
    <row r="62" spans="1:15" ht="28.8">
      <c r="A62" s="75" t="s">
        <v>1424</v>
      </c>
      <c r="B62" s="51">
        <v>3</v>
      </c>
      <c r="C62" s="52" t="s">
        <v>1827</v>
      </c>
      <c r="D62" s="51" t="s">
        <v>1828</v>
      </c>
      <c r="E62" s="53">
        <f>1.02</f>
        <v>1.02</v>
      </c>
      <c r="F62" s="53" t="s">
        <v>1737</v>
      </c>
      <c r="G62" s="55" t="s">
        <v>1743</v>
      </c>
      <c r="H62" s="50">
        <f>590*1.02</f>
        <v>601.79999999999995</v>
      </c>
      <c r="I62" s="53">
        <v>1</v>
      </c>
      <c r="J62" s="54">
        <v>5295</v>
      </c>
      <c r="K62" s="54">
        <v>503</v>
      </c>
      <c r="L62" s="54">
        <v>41</v>
      </c>
      <c r="M62" s="53">
        <f t="shared" si="0"/>
        <v>3186.5309999999995</v>
      </c>
      <c r="N62" s="53">
        <f t="shared" si="1"/>
        <v>302.70539999999994</v>
      </c>
      <c r="O62" s="53">
        <f t="shared" si="2"/>
        <v>24.6738</v>
      </c>
    </row>
    <row r="63" spans="1:15" ht="14.4">
      <c r="A63" s="79" t="s">
        <v>1666</v>
      </c>
      <c r="B63" s="51">
        <v>1</v>
      </c>
      <c r="C63" s="52" t="s">
        <v>1667</v>
      </c>
      <c r="D63" s="51" t="s">
        <v>1667</v>
      </c>
      <c r="E63" s="53" t="s">
        <v>1737</v>
      </c>
      <c r="F63" s="53" t="s">
        <v>1737</v>
      </c>
      <c r="G63" s="53" t="s">
        <v>1737</v>
      </c>
      <c r="H63" s="50">
        <v>600</v>
      </c>
      <c r="I63" s="80"/>
      <c r="J63" s="64"/>
      <c r="K63" s="64"/>
      <c r="L63" s="64"/>
      <c r="M63" s="53">
        <f t="shared" si="0"/>
        <v>0</v>
      </c>
      <c r="N63" s="53">
        <f t="shared" si="1"/>
        <v>0</v>
      </c>
      <c r="O63" s="53">
        <f t="shared" si="2"/>
        <v>0</v>
      </c>
    </row>
    <row r="64" spans="1:15" ht="216">
      <c r="A64" s="50" t="s">
        <v>1449</v>
      </c>
      <c r="B64" s="51">
        <v>36</v>
      </c>
      <c r="C64" s="52" t="s">
        <v>1829</v>
      </c>
      <c r="D64" s="51" t="s">
        <v>1830</v>
      </c>
      <c r="E64" s="53">
        <v>0.11</v>
      </c>
      <c r="F64" s="53" t="s">
        <v>1737</v>
      </c>
      <c r="G64" s="55" t="s">
        <v>1777</v>
      </c>
      <c r="H64" s="50">
        <f>511+285*E64</f>
        <v>542.35</v>
      </c>
      <c r="I64" s="56">
        <v>0.83399999141693104</v>
      </c>
      <c r="J64" s="54">
        <v>337</v>
      </c>
      <c r="K64" s="54">
        <v>416</v>
      </c>
      <c r="L64" s="54" t="s">
        <v>1831</v>
      </c>
      <c r="M64" s="53">
        <f t="shared" si="0"/>
        <v>182.77195</v>
      </c>
      <c r="N64" s="53">
        <f t="shared" si="1"/>
        <v>225.61760000000001</v>
      </c>
      <c r="O64" s="53">
        <f t="shared" si="2"/>
        <v>1.030465</v>
      </c>
    </row>
    <row r="65" spans="1:15" ht="14.4">
      <c r="A65" s="50" t="s">
        <v>1538</v>
      </c>
      <c r="B65" s="51">
        <v>2</v>
      </c>
      <c r="C65" s="52" t="s">
        <v>1832</v>
      </c>
      <c r="D65" s="51" t="s">
        <v>1833</v>
      </c>
      <c r="E65" s="53" t="s">
        <v>1737</v>
      </c>
      <c r="F65" s="53" t="s">
        <v>1737</v>
      </c>
      <c r="G65" s="53" t="s">
        <v>1737</v>
      </c>
      <c r="H65" s="50">
        <v>530</v>
      </c>
      <c r="I65" s="53">
        <v>1</v>
      </c>
      <c r="J65" s="64"/>
      <c r="K65" s="64"/>
      <c r="L65" s="64"/>
      <c r="M65" s="53">
        <f t="shared" si="0"/>
        <v>0</v>
      </c>
      <c r="N65" s="53">
        <f t="shared" si="1"/>
        <v>0</v>
      </c>
      <c r="O65" s="53">
        <f t="shared" si="2"/>
        <v>0</v>
      </c>
    </row>
    <row r="66" spans="1:15" ht="14.4">
      <c r="A66" s="59" t="s">
        <v>1475</v>
      </c>
      <c r="B66" s="60">
        <v>6</v>
      </c>
      <c r="C66" s="61" t="s">
        <v>1834</v>
      </c>
      <c r="D66" s="60">
        <v>9</v>
      </c>
      <c r="E66" s="63" t="s">
        <v>1737</v>
      </c>
      <c r="F66" s="62">
        <v>55</v>
      </c>
      <c r="G66" s="83" t="s">
        <v>1740</v>
      </c>
      <c r="H66" s="60">
        <f>9*55</f>
        <v>495</v>
      </c>
      <c r="I66" s="58">
        <v>0.83399999141693104</v>
      </c>
      <c r="J66" s="54">
        <v>350</v>
      </c>
      <c r="K66" s="54">
        <v>799</v>
      </c>
      <c r="L66" s="54">
        <v>1.5</v>
      </c>
      <c r="M66" s="53">
        <f t="shared" si="0"/>
        <v>173.25</v>
      </c>
      <c r="N66" s="53">
        <f t="shared" si="1"/>
        <v>395.505</v>
      </c>
      <c r="O66" s="53">
        <f t="shared" si="2"/>
        <v>0.74250000000000005</v>
      </c>
    </row>
    <row r="67" spans="1:15" ht="14.4">
      <c r="A67" s="50" t="s">
        <v>1526</v>
      </c>
      <c r="B67" s="51">
        <v>2</v>
      </c>
      <c r="C67" s="52" t="s">
        <v>1835</v>
      </c>
      <c r="D67" s="51" t="s">
        <v>1836</v>
      </c>
      <c r="E67" s="53" t="s">
        <v>1737</v>
      </c>
      <c r="F67" s="53" t="s">
        <v>1737</v>
      </c>
      <c r="G67" s="53" t="s">
        <v>1737</v>
      </c>
      <c r="H67" s="50">
        <v>477</v>
      </c>
      <c r="I67" s="53">
        <v>1</v>
      </c>
      <c r="J67" s="54">
        <v>8180</v>
      </c>
      <c r="K67" s="54">
        <v>6262</v>
      </c>
      <c r="L67" s="54">
        <v>28.3</v>
      </c>
      <c r="M67" s="53">
        <f t="shared" si="0"/>
        <v>3901.86</v>
      </c>
      <c r="N67" s="53">
        <f t="shared" si="1"/>
        <v>2986.9740000000002</v>
      </c>
      <c r="O67" s="53">
        <f t="shared" si="2"/>
        <v>13.4991</v>
      </c>
    </row>
    <row r="68" spans="1:15" ht="57.6">
      <c r="A68" s="50" t="s">
        <v>1485</v>
      </c>
      <c r="B68" s="51">
        <v>9</v>
      </c>
      <c r="C68" s="52" t="s">
        <v>1837</v>
      </c>
      <c r="D68" s="51" t="s">
        <v>1838</v>
      </c>
      <c r="E68" s="53" t="s">
        <v>1737</v>
      </c>
      <c r="F68" s="53" t="s">
        <v>1737</v>
      </c>
      <c r="G68" s="53" t="s">
        <v>1737</v>
      </c>
      <c r="H68" s="50">
        <v>465</v>
      </c>
      <c r="I68" s="53">
        <v>1</v>
      </c>
      <c r="J68" s="54">
        <v>794</v>
      </c>
      <c r="K68" s="54">
        <v>1519</v>
      </c>
      <c r="L68" s="54">
        <v>57.5</v>
      </c>
      <c r="M68" s="53">
        <f t="shared" si="0"/>
        <v>369.21</v>
      </c>
      <c r="N68" s="53">
        <f t="shared" si="1"/>
        <v>706.33500000000004</v>
      </c>
      <c r="O68" s="53">
        <f t="shared" si="2"/>
        <v>26.737500000000001</v>
      </c>
    </row>
    <row r="69" spans="1:15" ht="14.4">
      <c r="A69" s="50" t="s">
        <v>1839</v>
      </c>
      <c r="B69" s="51">
        <v>1</v>
      </c>
      <c r="C69" s="52" t="s">
        <v>1479</v>
      </c>
      <c r="D69" s="51" t="s">
        <v>1479</v>
      </c>
      <c r="E69" s="53" t="s">
        <v>1737</v>
      </c>
      <c r="F69" s="53" t="s">
        <v>1737</v>
      </c>
      <c r="G69" s="53" t="s">
        <v>1737</v>
      </c>
      <c r="H69" s="50">
        <v>454</v>
      </c>
      <c r="I69" s="53">
        <v>1</v>
      </c>
      <c r="J69" s="64"/>
      <c r="K69" s="64"/>
      <c r="L69" s="64"/>
      <c r="M69" s="53">
        <f t="shared" si="0"/>
        <v>0</v>
      </c>
      <c r="N69" s="53">
        <f t="shared" si="1"/>
        <v>0</v>
      </c>
      <c r="O69" s="53">
        <f t="shared" si="2"/>
        <v>0</v>
      </c>
    </row>
    <row r="70" spans="1:15" ht="14.4">
      <c r="A70" s="50" t="s">
        <v>1644</v>
      </c>
      <c r="B70" s="51">
        <v>1</v>
      </c>
      <c r="C70" s="52" t="s">
        <v>1479</v>
      </c>
      <c r="D70" s="51" t="s">
        <v>1479</v>
      </c>
      <c r="E70" s="53" t="s">
        <v>1737</v>
      </c>
      <c r="F70" s="53" t="s">
        <v>1737</v>
      </c>
      <c r="G70" s="53" t="s">
        <v>1737</v>
      </c>
      <c r="H70" s="50">
        <v>454</v>
      </c>
      <c r="I70" s="56">
        <v>0.82800000905990601</v>
      </c>
      <c r="J70" s="54">
        <v>335</v>
      </c>
      <c r="K70" s="54">
        <v>799</v>
      </c>
      <c r="L70" s="54">
        <v>1.5</v>
      </c>
      <c r="M70" s="53">
        <f t="shared" si="0"/>
        <v>152.09</v>
      </c>
      <c r="N70" s="53">
        <f t="shared" si="1"/>
        <v>362.74599999999998</v>
      </c>
      <c r="O70" s="53">
        <f t="shared" si="2"/>
        <v>0.68100000000000005</v>
      </c>
    </row>
    <row r="71" spans="1:15" ht="14.4">
      <c r="A71" s="50" t="s">
        <v>1650</v>
      </c>
      <c r="B71" s="51">
        <v>1</v>
      </c>
      <c r="C71" s="52" t="s">
        <v>1479</v>
      </c>
      <c r="D71" s="51" t="s">
        <v>1479</v>
      </c>
      <c r="E71" s="53" t="s">
        <v>1737</v>
      </c>
      <c r="F71" s="53" t="s">
        <v>1737</v>
      </c>
      <c r="G71" s="53" t="s">
        <v>1737</v>
      </c>
      <c r="H71" s="50">
        <v>454</v>
      </c>
      <c r="I71" s="53">
        <v>1</v>
      </c>
      <c r="J71" s="54">
        <v>478</v>
      </c>
      <c r="K71" s="54">
        <v>1519</v>
      </c>
      <c r="L71" s="54">
        <v>57.5</v>
      </c>
      <c r="M71" s="53">
        <f t="shared" si="0"/>
        <v>217.012</v>
      </c>
      <c r="N71" s="53">
        <f t="shared" si="1"/>
        <v>689.62599999999998</v>
      </c>
      <c r="O71" s="53">
        <f t="shared" si="2"/>
        <v>26.105</v>
      </c>
    </row>
    <row r="72" spans="1:15" ht="14.4">
      <c r="A72" s="50" t="s">
        <v>1696</v>
      </c>
      <c r="B72" s="51">
        <v>1</v>
      </c>
      <c r="C72" s="52" t="s">
        <v>1697</v>
      </c>
      <c r="D72" s="51" t="s">
        <v>1697</v>
      </c>
      <c r="E72" s="53" t="s">
        <v>1737</v>
      </c>
      <c r="F72" s="53" t="s">
        <v>1737</v>
      </c>
      <c r="G72" s="53" t="s">
        <v>1737</v>
      </c>
      <c r="H72" s="50">
        <v>439</v>
      </c>
      <c r="I72" s="53">
        <v>1</v>
      </c>
      <c r="J72" s="54">
        <v>2000</v>
      </c>
      <c r="K72" s="54">
        <v>3846</v>
      </c>
      <c r="L72" s="54">
        <v>5.4</v>
      </c>
      <c r="M72" s="53">
        <f t="shared" si="0"/>
        <v>878</v>
      </c>
      <c r="N72" s="53">
        <f t="shared" si="1"/>
        <v>1688.394</v>
      </c>
      <c r="O72" s="53">
        <f t="shared" si="2"/>
        <v>2.3706000000000005</v>
      </c>
    </row>
    <row r="73" spans="1:15" ht="14.4">
      <c r="A73" s="50" t="s">
        <v>1500</v>
      </c>
      <c r="B73" s="51">
        <v>1</v>
      </c>
      <c r="C73" s="52">
        <v>6</v>
      </c>
      <c r="D73" s="51">
        <v>6</v>
      </c>
      <c r="E73" s="53" t="s">
        <v>1737</v>
      </c>
      <c r="F73" s="53">
        <v>70</v>
      </c>
      <c r="G73" s="55" t="s">
        <v>1740</v>
      </c>
      <c r="H73" s="50">
        <f>70*6</f>
        <v>420</v>
      </c>
      <c r="I73" s="53">
        <v>1</v>
      </c>
      <c r="J73" s="54">
        <v>8180</v>
      </c>
      <c r="K73" s="54">
        <v>6262</v>
      </c>
      <c r="L73" s="54">
        <v>28.3</v>
      </c>
      <c r="M73" s="53">
        <f t="shared" si="0"/>
        <v>3435.6</v>
      </c>
      <c r="N73" s="53">
        <f t="shared" si="1"/>
        <v>2630.04</v>
      </c>
      <c r="O73" s="53">
        <f t="shared" si="2"/>
        <v>11.885999999999999</v>
      </c>
    </row>
    <row r="74" spans="1:15" ht="14.4">
      <c r="A74" s="79" t="s">
        <v>1681</v>
      </c>
      <c r="B74" s="51">
        <v>1</v>
      </c>
      <c r="C74" s="52" t="s">
        <v>753</v>
      </c>
      <c r="D74" s="51" t="s">
        <v>753</v>
      </c>
      <c r="E74" s="53" t="s">
        <v>1737</v>
      </c>
      <c r="F74" s="53" t="s">
        <v>1737</v>
      </c>
      <c r="G74" s="53" t="s">
        <v>1737</v>
      </c>
      <c r="H74" s="50">
        <v>400</v>
      </c>
      <c r="I74" s="53">
        <v>1</v>
      </c>
      <c r="J74" s="64"/>
      <c r="K74" s="64"/>
      <c r="L74" s="64"/>
      <c r="M74" s="53">
        <f t="shared" si="0"/>
        <v>0</v>
      </c>
      <c r="N74" s="53">
        <f t="shared" si="1"/>
        <v>0</v>
      </c>
      <c r="O74" s="53">
        <f t="shared" si="2"/>
        <v>0</v>
      </c>
    </row>
    <row r="75" spans="1:15" ht="14.4">
      <c r="A75" s="75" t="s">
        <v>1575</v>
      </c>
      <c r="B75" s="76">
        <v>2</v>
      </c>
      <c r="C75" s="77" t="s">
        <v>1840</v>
      </c>
      <c r="D75" s="76" t="s">
        <v>1612</v>
      </c>
      <c r="E75" s="81">
        <v>1.06</v>
      </c>
      <c r="F75" s="81" t="s">
        <v>1737</v>
      </c>
      <c r="G75" s="82" t="s">
        <v>1841</v>
      </c>
      <c r="H75" s="50">
        <f>360*1.06</f>
        <v>381.6</v>
      </c>
      <c r="I75" s="53">
        <v>1</v>
      </c>
      <c r="J75" s="54">
        <v>443</v>
      </c>
      <c r="K75" s="54">
        <v>1518</v>
      </c>
      <c r="L75" s="54">
        <v>9</v>
      </c>
      <c r="M75" s="53">
        <f t="shared" si="0"/>
        <v>169.04880000000003</v>
      </c>
      <c r="N75" s="53">
        <f t="shared" si="1"/>
        <v>579.26880000000006</v>
      </c>
      <c r="O75" s="53">
        <f t="shared" si="2"/>
        <v>3.4344000000000001</v>
      </c>
    </row>
    <row r="76" spans="1:15" ht="14.4">
      <c r="A76" s="59" t="s">
        <v>1490</v>
      </c>
      <c r="B76" s="60">
        <v>3</v>
      </c>
      <c r="C76" s="61" t="s">
        <v>1842</v>
      </c>
      <c r="D76" s="60">
        <v>5</v>
      </c>
      <c r="E76" s="63" t="s">
        <v>1737</v>
      </c>
      <c r="F76" s="62">
        <v>70</v>
      </c>
      <c r="G76" s="83" t="s">
        <v>1740</v>
      </c>
      <c r="H76" s="60">
        <f>70*5</f>
        <v>350</v>
      </c>
      <c r="I76" s="58">
        <v>0.89999997615814198</v>
      </c>
      <c r="J76" s="54">
        <v>209</v>
      </c>
      <c r="K76" s="54">
        <v>465</v>
      </c>
      <c r="L76" s="54">
        <v>1.2</v>
      </c>
      <c r="M76" s="53">
        <f t="shared" si="0"/>
        <v>73.150000000000006</v>
      </c>
      <c r="N76" s="53">
        <f t="shared" si="1"/>
        <v>162.75</v>
      </c>
      <c r="O76" s="53">
        <f t="shared" si="2"/>
        <v>0.42</v>
      </c>
    </row>
    <row r="77" spans="1:15" ht="14.4">
      <c r="A77" s="59" t="s">
        <v>1556</v>
      </c>
      <c r="B77" s="60">
        <v>2</v>
      </c>
      <c r="C77" s="84">
        <v>46026</v>
      </c>
      <c r="D77" s="60">
        <v>5</v>
      </c>
      <c r="E77" s="63" t="s">
        <v>1737</v>
      </c>
      <c r="F77" s="62">
        <v>70</v>
      </c>
      <c r="G77" s="83" t="s">
        <v>1740</v>
      </c>
      <c r="H77" s="60">
        <f>5*70</f>
        <v>350</v>
      </c>
      <c r="I77" s="58">
        <v>0.78899997472762995</v>
      </c>
      <c r="J77" s="54">
        <v>10100</v>
      </c>
      <c r="K77" s="54">
        <v>1389</v>
      </c>
      <c r="L77" s="54">
        <v>79.7</v>
      </c>
      <c r="M77" s="53">
        <f t="shared" si="0"/>
        <v>3535</v>
      </c>
      <c r="N77" s="53">
        <f t="shared" si="1"/>
        <v>486.15</v>
      </c>
      <c r="O77" s="53">
        <f t="shared" si="2"/>
        <v>27.895</v>
      </c>
    </row>
    <row r="78" spans="1:15" ht="14.4">
      <c r="A78" s="50" t="s">
        <v>1656</v>
      </c>
      <c r="B78" s="51">
        <v>1</v>
      </c>
      <c r="C78" s="52" t="s">
        <v>1657</v>
      </c>
      <c r="D78" s="51" t="s">
        <v>1657</v>
      </c>
      <c r="E78" s="53" t="s">
        <v>1737</v>
      </c>
      <c r="F78" s="53" t="s">
        <v>1737</v>
      </c>
      <c r="G78" s="53" t="s">
        <v>1737</v>
      </c>
      <c r="H78" s="50">
        <v>325</v>
      </c>
      <c r="I78" s="53">
        <v>1</v>
      </c>
      <c r="J78" s="54">
        <v>578</v>
      </c>
      <c r="K78" s="54">
        <v>1790</v>
      </c>
      <c r="L78" s="54">
        <v>8.4</v>
      </c>
      <c r="M78" s="53">
        <f t="shared" si="0"/>
        <v>187.85</v>
      </c>
      <c r="N78" s="53">
        <f t="shared" si="1"/>
        <v>581.75</v>
      </c>
      <c r="O78" s="53">
        <f t="shared" si="2"/>
        <v>2.73</v>
      </c>
    </row>
    <row r="79" spans="1:15" ht="28.8">
      <c r="A79" s="50" t="s">
        <v>1470</v>
      </c>
      <c r="B79" s="51">
        <v>3</v>
      </c>
      <c r="C79" s="52" t="s">
        <v>1843</v>
      </c>
      <c r="D79" s="51" t="s">
        <v>1844</v>
      </c>
      <c r="E79" s="53">
        <v>0.99</v>
      </c>
      <c r="F79" s="53" t="s">
        <v>1737</v>
      </c>
      <c r="G79" s="55" t="s">
        <v>1743</v>
      </c>
      <c r="H79" s="50">
        <f>320*0.99</f>
        <v>316.8</v>
      </c>
      <c r="I79" s="53">
        <v>1</v>
      </c>
      <c r="J79" s="54">
        <v>5295</v>
      </c>
      <c r="K79" s="54">
        <v>503</v>
      </c>
      <c r="L79" s="54">
        <v>41</v>
      </c>
      <c r="M79" s="53">
        <f t="shared" si="0"/>
        <v>1677.4559999999999</v>
      </c>
      <c r="N79" s="53">
        <f t="shared" si="1"/>
        <v>159.35040000000001</v>
      </c>
      <c r="O79" s="53">
        <f t="shared" si="2"/>
        <v>12.988800000000001</v>
      </c>
    </row>
    <row r="80" spans="1:15" ht="14.4">
      <c r="A80" s="50" t="s">
        <v>1558</v>
      </c>
      <c r="B80" s="51">
        <v>1</v>
      </c>
      <c r="C80" s="52" t="s">
        <v>1559</v>
      </c>
      <c r="D80" s="51" t="s">
        <v>1559</v>
      </c>
      <c r="E80" s="53" t="s">
        <v>1737</v>
      </c>
      <c r="F80" s="53" t="s">
        <v>1737</v>
      </c>
      <c r="G80" s="53" t="s">
        <v>1737</v>
      </c>
      <c r="H80" s="50">
        <v>300</v>
      </c>
      <c r="I80" s="56">
        <v>0.78899997472762995</v>
      </c>
      <c r="J80" s="54">
        <v>4005</v>
      </c>
      <c r="K80" s="54">
        <v>7509</v>
      </c>
      <c r="L80" s="54">
        <v>34.9</v>
      </c>
      <c r="M80" s="53">
        <f t="shared" si="0"/>
        <v>1201.5</v>
      </c>
      <c r="N80" s="53">
        <f t="shared" si="1"/>
        <v>2252.6999999999998</v>
      </c>
      <c r="O80" s="53">
        <f t="shared" si="2"/>
        <v>10.47</v>
      </c>
    </row>
    <row r="81" spans="1:15" ht="14.4">
      <c r="A81" s="79" t="s">
        <v>1678</v>
      </c>
      <c r="B81" s="51">
        <v>1</v>
      </c>
      <c r="C81" s="52" t="s">
        <v>1559</v>
      </c>
      <c r="D81" s="51" t="s">
        <v>1559</v>
      </c>
      <c r="E81" s="53" t="s">
        <v>1737</v>
      </c>
      <c r="F81" s="53" t="s">
        <v>1737</v>
      </c>
      <c r="G81" s="53" t="s">
        <v>1737</v>
      </c>
      <c r="H81" s="50">
        <v>300</v>
      </c>
      <c r="I81" s="80"/>
      <c r="J81" s="64"/>
      <c r="K81" s="64"/>
      <c r="L81" s="64"/>
      <c r="M81" s="53">
        <f t="shared" si="0"/>
        <v>0</v>
      </c>
      <c r="N81" s="53">
        <f t="shared" si="1"/>
        <v>0</v>
      </c>
      <c r="O81" s="53">
        <f t="shared" si="2"/>
        <v>0</v>
      </c>
    </row>
    <row r="82" spans="1:15" ht="14.4">
      <c r="A82" s="50" t="s">
        <v>1711</v>
      </c>
      <c r="B82" s="51">
        <v>1</v>
      </c>
      <c r="C82" s="50" t="s">
        <v>1559</v>
      </c>
      <c r="D82" s="51" t="s">
        <v>1559</v>
      </c>
      <c r="E82" s="53" t="s">
        <v>1737</v>
      </c>
      <c r="F82" s="53" t="s">
        <v>1737</v>
      </c>
      <c r="G82" s="53" t="s">
        <v>1737</v>
      </c>
      <c r="H82" s="50">
        <v>300</v>
      </c>
      <c r="I82" s="53">
        <v>1</v>
      </c>
      <c r="J82" s="64"/>
      <c r="K82" s="64"/>
      <c r="L82" s="64"/>
      <c r="M82" s="53">
        <f t="shared" si="0"/>
        <v>0</v>
      </c>
      <c r="N82" s="53">
        <f t="shared" si="1"/>
        <v>0</v>
      </c>
      <c r="O82" s="53">
        <f t="shared" si="2"/>
        <v>0</v>
      </c>
    </row>
    <row r="83" spans="1:15" ht="14.4">
      <c r="A83" s="79" t="s">
        <v>1456</v>
      </c>
      <c r="B83" s="76">
        <v>5</v>
      </c>
      <c r="C83" s="77" t="s">
        <v>1845</v>
      </c>
      <c r="D83" s="76">
        <v>6</v>
      </c>
      <c r="E83" s="81" t="s">
        <v>1737</v>
      </c>
      <c r="F83" s="81">
        <v>46</v>
      </c>
      <c r="G83" s="82" t="s">
        <v>1846</v>
      </c>
      <c r="H83" s="75">
        <f>46*6</f>
        <v>276</v>
      </c>
      <c r="I83" s="80"/>
      <c r="J83" s="64"/>
      <c r="K83" s="64"/>
      <c r="L83" s="64"/>
      <c r="M83" s="53">
        <f t="shared" si="0"/>
        <v>0</v>
      </c>
      <c r="N83" s="53">
        <f t="shared" si="1"/>
        <v>0</v>
      </c>
      <c r="O83" s="53">
        <f t="shared" si="2"/>
        <v>0</v>
      </c>
    </row>
    <row r="84" spans="1:15" ht="28.8">
      <c r="A84" s="50" t="s">
        <v>1554</v>
      </c>
      <c r="B84" s="51">
        <v>4</v>
      </c>
      <c r="C84" s="52" t="s">
        <v>1847</v>
      </c>
      <c r="D84" s="51" t="s">
        <v>1848</v>
      </c>
      <c r="E84" s="53" t="s">
        <v>1737</v>
      </c>
      <c r="F84" s="53" t="s">
        <v>1737</v>
      </c>
      <c r="G84" s="53" t="s">
        <v>1737</v>
      </c>
      <c r="H84" s="50">
        <v>265</v>
      </c>
      <c r="I84" s="56">
        <v>0.566999971866607</v>
      </c>
      <c r="J84" s="54">
        <v>4114</v>
      </c>
      <c r="K84" s="54">
        <v>0</v>
      </c>
      <c r="L84" s="54">
        <v>131</v>
      </c>
      <c r="M84" s="53">
        <f t="shared" si="0"/>
        <v>1090.21</v>
      </c>
      <c r="N84" s="53">
        <f t="shared" si="1"/>
        <v>0</v>
      </c>
      <c r="O84" s="53">
        <f t="shared" si="2"/>
        <v>34.715000000000003</v>
      </c>
    </row>
    <row r="85" spans="1:15" ht="14.4">
      <c r="A85" s="50" t="s">
        <v>716</v>
      </c>
      <c r="B85" s="51">
        <v>1</v>
      </c>
      <c r="C85" s="52" t="s">
        <v>726</v>
      </c>
      <c r="D85" s="51" t="s">
        <v>1539</v>
      </c>
      <c r="E85" s="53" t="s">
        <v>1737</v>
      </c>
      <c r="F85" s="53" t="s">
        <v>1737</v>
      </c>
      <c r="G85" s="53" t="s">
        <v>1737</v>
      </c>
      <c r="H85" s="50">
        <v>250</v>
      </c>
      <c r="I85" s="56">
        <v>0.89999997615814198</v>
      </c>
      <c r="J85" s="54">
        <v>377</v>
      </c>
      <c r="K85" s="54">
        <v>799</v>
      </c>
      <c r="L85" s="54">
        <v>1.5</v>
      </c>
      <c r="M85" s="53">
        <f t="shared" si="0"/>
        <v>94.25</v>
      </c>
      <c r="N85" s="53">
        <f t="shared" si="1"/>
        <v>199.75</v>
      </c>
      <c r="O85" s="53">
        <f t="shared" si="2"/>
        <v>0.375</v>
      </c>
    </row>
    <row r="86" spans="1:15" ht="14.4">
      <c r="A86" s="50" t="s">
        <v>1507</v>
      </c>
      <c r="B86" s="51">
        <v>1</v>
      </c>
      <c r="C86" s="52" t="s">
        <v>1492</v>
      </c>
      <c r="D86" s="51" t="s">
        <v>1492</v>
      </c>
      <c r="E86" s="53">
        <v>1.008</v>
      </c>
      <c r="F86" s="53" t="s">
        <v>1737</v>
      </c>
      <c r="G86" s="55" t="s">
        <v>1743</v>
      </c>
      <c r="H86" s="50">
        <f>240*E86</f>
        <v>241.92000000000002</v>
      </c>
      <c r="I86" s="53">
        <v>1</v>
      </c>
      <c r="J86" s="54">
        <v>330</v>
      </c>
      <c r="K86" s="54">
        <v>7404</v>
      </c>
      <c r="L86" s="54">
        <v>47</v>
      </c>
      <c r="M86" s="53">
        <f t="shared" si="0"/>
        <v>79.833600000000004</v>
      </c>
      <c r="N86" s="53">
        <f t="shared" si="1"/>
        <v>1791.1756800000001</v>
      </c>
      <c r="O86" s="53">
        <f t="shared" si="2"/>
        <v>11.370240000000001</v>
      </c>
    </row>
    <row r="87" spans="1:15" ht="14.4">
      <c r="A87" s="50" t="s">
        <v>677</v>
      </c>
      <c r="B87" s="51">
        <v>2</v>
      </c>
      <c r="C87" s="67">
        <v>46023</v>
      </c>
      <c r="D87" s="51">
        <v>2</v>
      </c>
      <c r="E87" s="53" t="s">
        <v>1737</v>
      </c>
      <c r="F87" s="53">
        <v>120</v>
      </c>
      <c r="G87" s="55" t="s">
        <v>1740</v>
      </c>
      <c r="H87" s="50">
        <f>2*120</f>
        <v>240</v>
      </c>
      <c r="I87" s="56">
        <v>0.85799998044967596</v>
      </c>
      <c r="J87" s="54">
        <v>249</v>
      </c>
      <c r="K87" s="54">
        <v>799</v>
      </c>
      <c r="L87" s="54">
        <v>1</v>
      </c>
      <c r="M87" s="53">
        <f t="shared" si="0"/>
        <v>59.76</v>
      </c>
      <c r="N87" s="53">
        <f t="shared" si="1"/>
        <v>191.76</v>
      </c>
      <c r="O87" s="53">
        <f t="shared" si="2"/>
        <v>0.24</v>
      </c>
    </row>
    <row r="88" spans="1:15" ht="14.4">
      <c r="A88" s="50" t="s">
        <v>1719</v>
      </c>
      <c r="B88" s="51">
        <v>1</v>
      </c>
      <c r="C88" s="50" t="s">
        <v>1720</v>
      </c>
      <c r="D88" s="53" t="s">
        <v>1720</v>
      </c>
      <c r="E88" s="53" t="s">
        <v>1737</v>
      </c>
      <c r="F88" s="53" t="s">
        <v>1737</v>
      </c>
      <c r="G88" s="53" t="s">
        <v>1737</v>
      </c>
      <c r="H88" s="53">
        <v>240</v>
      </c>
      <c r="I88" s="53">
        <v>1</v>
      </c>
      <c r="J88" s="54">
        <v>594</v>
      </c>
      <c r="K88" s="54">
        <v>1966</v>
      </c>
      <c r="L88" s="54">
        <v>8.4</v>
      </c>
      <c r="M88" s="53">
        <f t="shared" si="0"/>
        <v>142.56</v>
      </c>
      <c r="N88" s="53">
        <f t="shared" si="1"/>
        <v>471.84</v>
      </c>
      <c r="O88" s="53">
        <f t="shared" si="2"/>
        <v>2.016</v>
      </c>
    </row>
    <row r="89" spans="1:15" ht="129.6">
      <c r="A89" s="59" t="s">
        <v>646</v>
      </c>
      <c r="B89" s="60">
        <v>87</v>
      </c>
      <c r="C89" s="61" t="s">
        <v>1849</v>
      </c>
      <c r="D89" s="60" t="s">
        <v>1850</v>
      </c>
      <c r="E89" s="62">
        <v>1.38</v>
      </c>
      <c r="F89" s="63"/>
      <c r="G89" s="83" t="s">
        <v>1743</v>
      </c>
      <c r="H89" s="60">
        <f>102.5*1.38+5*E89*9/2+63</f>
        <v>235.5</v>
      </c>
      <c r="I89" s="85">
        <v>1</v>
      </c>
      <c r="J89" s="86"/>
      <c r="K89" s="86"/>
      <c r="L89" s="86"/>
      <c r="M89" s="62">
        <f t="shared" si="0"/>
        <v>0</v>
      </c>
      <c r="N89" s="62">
        <f t="shared" si="1"/>
        <v>0</v>
      </c>
      <c r="O89" s="62">
        <f t="shared" si="2"/>
        <v>0</v>
      </c>
    </row>
    <row r="90" spans="1:15" ht="14.4">
      <c r="A90" s="50" t="s">
        <v>1568</v>
      </c>
      <c r="B90" s="51">
        <v>1</v>
      </c>
      <c r="C90" s="52" t="s">
        <v>1569</v>
      </c>
      <c r="D90" s="51" t="s">
        <v>1569</v>
      </c>
      <c r="E90" s="53" t="s">
        <v>1737</v>
      </c>
      <c r="F90" s="53" t="s">
        <v>1737</v>
      </c>
      <c r="G90" s="53" t="s">
        <v>1737</v>
      </c>
      <c r="H90" s="50">
        <v>234</v>
      </c>
      <c r="I90" s="56">
        <v>1</v>
      </c>
      <c r="J90" s="54">
        <v>578</v>
      </c>
      <c r="K90" s="54">
        <v>1543</v>
      </c>
      <c r="L90" s="54">
        <v>8.4</v>
      </c>
      <c r="M90" s="53">
        <f t="shared" si="0"/>
        <v>135.25200000000001</v>
      </c>
      <c r="N90" s="53">
        <f t="shared" si="1"/>
        <v>361.06200000000001</v>
      </c>
      <c r="O90" s="53">
        <f t="shared" si="2"/>
        <v>1.9656000000000002</v>
      </c>
    </row>
    <row r="91" spans="1:15" ht="28.8">
      <c r="A91" s="50" t="s">
        <v>641</v>
      </c>
      <c r="B91" s="51">
        <v>5</v>
      </c>
      <c r="C91" s="52" t="s">
        <v>1851</v>
      </c>
      <c r="D91" s="51" t="s">
        <v>1852</v>
      </c>
      <c r="E91" s="53">
        <v>0.95</v>
      </c>
      <c r="F91" s="53" t="s">
        <v>1737</v>
      </c>
      <c r="G91" s="53" t="s">
        <v>1743</v>
      </c>
      <c r="H91" s="50">
        <f>7*1/2+30*0.95+200</f>
        <v>232</v>
      </c>
      <c r="I91" s="53">
        <v>1</v>
      </c>
      <c r="J91" s="54">
        <v>794</v>
      </c>
      <c r="K91" s="54">
        <v>1519</v>
      </c>
      <c r="L91" s="54">
        <v>57.5</v>
      </c>
      <c r="M91" s="53">
        <f t="shared" si="0"/>
        <v>184.208</v>
      </c>
      <c r="N91" s="53">
        <f t="shared" si="1"/>
        <v>352.40800000000002</v>
      </c>
      <c r="O91" s="53">
        <f t="shared" si="2"/>
        <v>13.34</v>
      </c>
    </row>
    <row r="92" spans="1:15" ht="14.4">
      <c r="A92" s="50" t="s">
        <v>1609</v>
      </c>
      <c r="B92" s="51">
        <v>1</v>
      </c>
      <c r="C92" s="52" t="s">
        <v>1484</v>
      </c>
      <c r="D92" s="51" t="s">
        <v>1484</v>
      </c>
      <c r="E92" s="53" t="s">
        <v>1737</v>
      </c>
      <c r="F92" s="53" t="s">
        <v>1737</v>
      </c>
      <c r="G92" s="53" t="s">
        <v>1737</v>
      </c>
      <c r="H92" s="50">
        <v>226</v>
      </c>
      <c r="I92" s="56">
        <v>0.76800000667571999</v>
      </c>
      <c r="J92" s="54">
        <v>26938</v>
      </c>
      <c r="K92" s="54">
        <v>18136</v>
      </c>
      <c r="L92" s="54">
        <v>112.3</v>
      </c>
      <c r="M92" s="53">
        <f t="shared" si="0"/>
        <v>6087.9880000000003</v>
      </c>
      <c r="N92" s="53">
        <f t="shared" si="1"/>
        <v>4098.7359999999999</v>
      </c>
      <c r="O92" s="53">
        <f t="shared" si="2"/>
        <v>25.379799999999999</v>
      </c>
    </row>
    <row r="93" spans="1:15" ht="14.4">
      <c r="A93" s="50" t="s">
        <v>1714</v>
      </c>
      <c r="B93" s="51">
        <v>1</v>
      </c>
      <c r="C93" s="50" t="s">
        <v>1536</v>
      </c>
      <c r="D93" s="51" t="s">
        <v>1536</v>
      </c>
      <c r="E93" s="53" t="s">
        <v>1737</v>
      </c>
      <c r="F93" s="53" t="s">
        <v>1737</v>
      </c>
      <c r="G93" s="53" t="s">
        <v>1737</v>
      </c>
      <c r="H93" s="51">
        <v>225</v>
      </c>
      <c r="I93" s="53">
        <v>1</v>
      </c>
      <c r="J93" s="54">
        <v>8180</v>
      </c>
      <c r="K93" s="54">
        <v>6262</v>
      </c>
      <c r="L93" s="54">
        <v>28.3</v>
      </c>
      <c r="M93" s="53">
        <f t="shared" si="0"/>
        <v>1840.5</v>
      </c>
      <c r="N93" s="53">
        <f t="shared" si="1"/>
        <v>1408.95</v>
      </c>
      <c r="O93" s="53">
        <f t="shared" si="2"/>
        <v>6.3674999999999997</v>
      </c>
    </row>
    <row r="94" spans="1:15" ht="14.4">
      <c r="A94" s="50" t="s">
        <v>1498</v>
      </c>
      <c r="B94" s="51">
        <v>2</v>
      </c>
      <c r="C94" s="52" t="s">
        <v>1853</v>
      </c>
      <c r="D94" s="51" t="s">
        <v>1854</v>
      </c>
      <c r="E94" s="53" t="s">
        <v>1737</v>
      </c>
      <c r="F94" s="53">
        <v>15</v>
      </c>
      <c r="G94" s="55" t="s">
        <v>1740</v>
      </c>
      <c r="H94" s="50">
        <f>6*15+115</f>
        <v>205</v>
      </c>
      <c r="I94" s="53">
        <v>1</v>
      </c>
      <c r="J94" s="64"/>
      <c r="K94" s="64"/>
      <c r="L94" s="64"/>
      <c r="M94" s="53">
        <f t="shared" si="0"/>
        <v>0</v>
      </c>
      <c r="N94" s="53">
        <f t="shared" si="1"/>
        <v>0</v>
      </c>
      <c r="O94" s="53">
        <f t="shared" si="2"/>
        <v>0</v>
      </c>
    </row>
    <row r="95" spans="1:15" ht="14.4">
      <c r="A95" s="50" t="s">
        <v>1630</v>
      </c>
      <c r="B95" s="51">
        <v>2</v>
      </c>
      <c r="C95" s="52" t="s">
        <v>1855</v>
      </c>
      <c r="D95" s="51" t="s">
        <v>1856</v>
      </c>
      <c r="E95" s="53" t="s">
        <v>1737</v>
      </c>
      <c r="F95" s="53" t="s">
        <v>1737</v>
      </c>
      <c r="G95" s="53" t="s">
        <v>1737</v>
      </c>
      <c r="H95" s="50">
        <v>190</v>
      </c>
      <c r="I95" s="53">
        <v>1</v>
      </c>
      <c r="J95" s="64"/>
      <c r="K95" s="64"/>
      <c r="L95" s="64"/>
      <c r="M95" s="53">
        <f t="shared" si="0"/>
        <v>0</v>
      </c>
      <c r="N95" s="53">
        <f t="shared" si="1"/>
        <v>0</v>
      </c>
      <c r="O95" s="53">
        <f t="shared" si="2"/>
        <v>0</v>
      </c>
    </row>
    <row r="96" spans="1:15" ht="57.6">
      <c r="A96" s="50" t="s">
        <v>712</v>
      </c>
      <c r="B96" s="51">
        <v>9</v>
      </c>
      <c r="C96" s="52" t="s">
        <v>1857</v>
      </c>
      <c r="D96" s="51">
        <v>212.5</v>
      </c>
      <c r="E96" s="53">
        <v>0.89</v>
      </c>
      <c r="F96" s="53" t="s">
        <v>1737</v>
      </c>
      <c r="G96" s="87" t="s">
        <v>1743</v>
      </c>
      <c r="H96" s="50">
        <f>D96*E96</f>
        <v>189.125</v>
      </c>
      <c r="I96" s="53">
        <v>1</v>
      </c>
      <c r="J96" s="54">
        <v>2571</v>
      </c>
      <c r="K96" s="54">
        <v>7058</v>
      </c>
      <c r="L96" s="54">
        <v>59.8</v>
      </c>
      <c r="M96" s="53">
        <f t="shared" si="0"/>
        <v>486.24037499999997</v>
      </c>
      <c r="N96" s="53">
        <f t="shared" si="1"/>
        <v>1334.8442500000001</v>
      </c>
      <c r="O96" s="53">
        <f t="shared" si="2"/>
        <v>11.309674999999999</v>
      </c>
    </row>
    <row r="97" spans="1:15" ht="14.4">
      <c r="A97" s="59" t="s">
        <v>1665</v>
      </c>
      <c r="B97" s="60">
        <v>2</v>
      </c>
      <c r="C97" s="61" t="s">
        <v>1858</v>
      </c>
      <c r="D97" s="60" t="s">
        <v>1673</v>
      </c>
      <c r="E97" s="53" t="s">
        <v>1737</v>
      </c>
      <c r="F97" s="53" t="s">
        <v>1737</v>
      </c>
      <c r="G97" s="53" t="s">
        <v>1737</v>
      </c>
      <c r="H97" s="50">
        <v>175</v>
      </c>
      <c r="I97" s="56">
        <v>0.566999971866607</v>
      </c>
      <c r="J97" s="54">
        <v>4114</v>
      </c>
      <c r="K97" s="54">
        <v>0</v>
      </c>
      <c r="L97" s="54">
        <v>131</v>
      </c>
      <c r="M97" s="53">
        <f t="shared" si="0"/>
        <v>719.95</v>
      </c>
      <c r="N97" s="53">
        <f t="shared" si="1"/>
        <v>0</v>
      </c>
      <c r="O97" s="53">
        <f t="shared" si="2"/>
        <v>22.925000000000001</v>
      </c>
    </row>
    <row r="98" spans="1:15" ht="14.4">
      <c r="A98" s="75" t="s">
        <v>679</v>
      </c>
      <c r="B98" s="51">
        <v>1</v>
      </c>
      <c r="C98" s="52" t="s">
        <v>1606</v>
      </c>
      <c r="D98" s="51" t="s">
        <v>1606</v>
      </c>
      <c r="E98" s="53" t="s">
        <v>1737</v>
      </c>
      <c r="F98" s="53" t="s">
        <v>1737</v>
      </c>
      <c r="G98" s="53" t="s">
        <v>1737</v>
      </c>
      <c r="H98" s="50">
        <v>170</v>
      </c>
      <c r="I98" s="53">
        <v>1</v>
      </c>
      <c r="J98" s="54">
        <v>1730</v>
      </c>
      <c r="K98" s="54">
        <v>1247</v>
      </c>
      <c r="L98" s="54">
        <v>5</v>
      </c>
      <c r="M98" s="53">
        <f t="shared" si="0"/>
        <v>294.10000000000002</v>
      </c>
      <c r="N98" s="53">
        <f t="shared" si="1"/>
        <v>211.99</v>
      </c>
      <c r="O98" s="53">
        <f t="shared" si="2"/>
        <v>0.85</v>
      </c>
    </row>
    <row r="99" spans="1:15" ht="14.4">
      <c r="A99" s="50" t="s">
        <v>1628</v>
      </c>
      <c r="B99" s="51">
        <v>3</v>
      </c>
      <c r="C99" s="52" t="s">
        <v>1859</v>
      </c>
      <c r="D99" s="51">
        <v>4</v>
      </c>
      <c r="E99" s="53" t="s">
        <v>1737</v>
      </c>
      <c r="F99" s="53">
        <v>55</v>
      </c>
      <c r="G99" s="55" t="s">
        <v>1740</v>
      </c>
      <c r="H99" s="50">
        <f t="shared" ref="H99:H100" si="3">3*55</f>
        <v>165</v>
      </c>
      <c r="I99" s="56">
        <v>0.83399999141693104</v>
      </c>
      <c r="J99" s="54">
        <v>350</v>
      </c>
      <c r="K99" s="54">
        <v>799</v>
      </c>
      <c r="L99" s="54">
        <v>1.5</v>
      </c>
      <c r="M99" s="53">
        <f t="shared" si="0"/>
        <v>57.75</v>
      </c>
      <c r="N99" s="53">
        <f t="shared" si="1"/>
        <v>131.83500000000001</v>
      </c>
      <c r="O99" s="53">
        <f t="shared" si="2"/>
        <v>0.2475</v>
      </c>
    </row>
    <row r="100" spans="1:15" ht="14.4">
      <c r="A100" s="75" t="s">
        <v>1647</v>
      </c>
      <c r="B100" s="51">
        <v>3</v>
      </c>
      <c r="C100" s="52" t="s">
        <v>1859</v>
      </c>
      <c r="D100" s="51">
        <v>4</v>
      </c>
      <c r="E100" s="53" t="s">
        <v>1737</v>
      </c>
      <c r="F100" s="53">
        <v>55</v>
      </c>
      <c r="G100" s="55" t="s">
        <v>1740</v>
      </c>
      <c r="H100" s="50">
        <f t="shared" si="3"/>
        <v>165</v>
      </c>
      <c r="I100" s="56">
        <v>0.83399999141693104</v>
      </c>
      <c r="J100" s="54">
        <v>350</v>
      </c>
      <c r="K100" s="54">
        <v>799</v>
      </c>
      <c r="L100" s="54">
        <v>1.5</v>
      </c>
      <c r="M100" s="53">
        <f t="shared" si="0"/>
        <v>57.75</v>
      </c>
      <c r="N100" s="53">
        <f t="shared" si="1"/>
        <v>131.83500000000001</v>
      </c>
      <c r="O100" s="53">
        <f t="shared" si="2"/>
        <v>0.2475</v>
      </c>
    </row>
    <row r="101" spans="1:15" ht="14.4">
      <c r="A101" s="79" t="s">
        <v>1542</v>
      </c>
      <c r="B101" s="51">
        <v>2</v>
      </c>
      <c r="C101" s="52" t="s">
        <v>1860</v>
      </c>
      <c r="D101" s="51" t="s">
        <v>1861</v>
      </c>
      <c r="E101" s="53" t="s">
        <v>1737</v>
      </c>
      <c r="F101" s="53" t="s">
        <v>1737</v>
      </c>
      <c r="G101" s="53" t="s">
        <v>1737</v>
      </c>
      <c r="H101" s="50">
        <v>161</v>
      </c>
      <c r="I101" s="80"/>
      <c r="J101" s="64"/>
      <c r="K101" s="64"/>
      <c r="L101" s="64"/>
      <c r="M101" s="53">
        <f t="shared" si="0"/>
        <v>0</v>
      </c>
      <c r="N101" s="53">
        <f t="shared" si="1"/>
        <v>0</v>
      </c>
      <c r="O101" s="53">
        <f t="shared" si="2"/>
        <v>0</v>
      </c>
    </row>
    <row r="102" spans="1:15" ht="14.4">
      <c r="A102" s="50" t="s">
        <v>704</v>
      </c>
      <c r="B102" s="51">
        <v>1</v>
      </c>
      <c r="C102" s="50">
        <v>1</v>
      </c>
      <c r="D102" s="53">
        <v>1</v>
      </c>
      <c r="E102" s="53" t="s">
        <v>1737</v>
      </c>
      <c r="F102" s="53">
        <v>150</v>
      </c>
      <c r="G102" s="55" t="s">
        <v>1740</v>
      </c>
      <c r="H102" s="50">
        <v>150</v>
      </c>
      <c r="I102" s="56">
        <v>0.87999999523162797</v>
      </c>
      <c r="J102" s="54">
        <v>238</v>
      </c>
      <c r="K102" s="54">
        <v>174</v>
      </c>
      <c r="L102" s="54">
        <v>1</v>
      </c>
      <c r="M102" s="53">
        <f t="shared" si="0"/>
        <v>35.700000000000003</v>
      </c>
      <c r="N102" s="53">
        <f t="shared" si="1"/>
        <v>26.1</v>
      </c>
      <c r="O102" s="53">
        <f t="shared" si="2"/>
        <v>0.15</v>
      </c>
    </row>
    <row r="103" spans="1:15" ht="14.4">
      <c r="A103" s="75" t="s">
        <v>1633</v>
      </c>
      <c r="B103" s="51">
        <v>3</v>
      </c>
      <c r="C103" s="52" t="s">
        <v>1862</v>
      </c>
      <c r="D103" s="51" t="s">
        <v>1863</v>
      </c>
      <c r="E103" s="53" t="s">
        <v>1737</v>
      </c>
      <c r="F103" s="53" t="s">
        <v>1737</v>
      </c>
      <c r="G103" s="53" t="s">
        <v>1737</v>
      </c>
      <c r="H103" s="50">
        <v>149</v>
      </c>
      <c r="I103" s="53">
        <v>1</v>
      </c>
      <c r="J103" s="54">
        <v>1333</v>
      </c>
      <c r="K103" s="54">
        <v>2704</v>
      </c>
      <c r="L103" s="54">
        <v>7.5</v>
      </c>
      <c r="M103" s="53">
        <f t="shared" si="0"/>
        <v>198.61699999999999</v>
      </c>
      <c r="N103" s="53">
        <f t="shared" si="1"/>
        <v>402.89600000000002</v>
      </c>
      <c r="O103" s="53">
        <f t="shared" si="2"/>
        <v>1.1174999999999999</v>
      </c>
    </row>
    <row r="104" spans="1:15" ht="28.8">
      <c r="A104" s="50" t="s">
        <v>1448</v>
      </c>
      <c r="B104" s="51">
        <v>3</v>
      </c>
      <c r="C104" s="52" t="s">
        <v>1864</v>
      </c>
      <c r="D104" s="51" t="s">
        <v>1865</v>
      </c>
      <c r="E104" s="53">
        <v>1.01</v>
      </c>
      <c r="F104" s="53" t="s">
        <v>1737</v>
      </c>
      <c r="G104" s="55" t="s">
        <v>1866</v>
      </c>
      <c r="H104" s="50">
        <f>145*1.01</f>
        <v>146.44999999999999</v>
      </c>
      <c r="I104" s="53">
        <v>1</v>
      </c>
      <c r="J104" s="54">
        <v>107</v>
      </c>
      <c r="K104" s="54">
        <v>799</v>
      </c>
      <c r="L104" s="54">
        <v>1.3</v>
      </c>
      <c r="M104" s="53">
        <f t="shared" si="0"/>
        <v>15.67015</v>
      </c>
      <c r="N104" s="53">
        <f t="shared" si="1"/>
        <v>117.01355</v>
      </c>
      <c r="O104" s="53">
        <f t="shared" si="2"/>
        <v>0.190385</v>
      </c>
    </row>
    <row r="105" spans="1:15" ht="43.2">
      <c r="A105" s="50" t="s">
        <v>1551</v>
      </c>
      <c r="B105" s="51">
        <v>5</v>
      </c>
      <c r="C105" s="52" t="s">
        <v>1867</v>
      </c>
      <c r="D105" s="51" t="s">
        <v>1868</v>
      </c>
      <c r="E105" s="53">
        <v>0.95</v>
      </c>
      <c r="F105" s="53" t="s">
        <v>1737</v>
      </c>
      <c r="G105" s="55" t="s">
        <v>1869</v>
      </c>
      <c r="H105" s="50">
        <f>135*0.95</f>
        <v>128.25</v>
      </c>
      <c r="I105" s="53">
        <v>1</v>
      </c>
      <c r="J105" s="54">
        <v>1245</v>
      </c>
      <c r="K105" s="54">
        <v>453</v>
      </c>
      <c r="L105" s="54">
        <v>4.5</v>
      </c>
      <c r="M105" s="53">
        <f t="shared" si="0"/>
        <v>159.67124999999999</v>
      </c>
      <c r="N105" s="53">
        <f t="shared" si="1"/>
        <v>58.097250000000003</v>
      </c>
      <c r="O105" s="53">
        <f t="shared" si="2"/>
        <v>0.577125</v>
      </c>
    </row>
    <row r="106" spans="1:15" ht="43.2">
      <c r="A106" s="75" t="s">
        <v>1635</v>
      </c>
      <c r="B106" s="51">
        <v>9</v>
      </c>
      <c r="C106" s="52" t="s">
        <v>1870</v>
      </c>
      <c r="D106" s="51" t="s">
        <v>1871</v>
      </c>
      <c r="E106" s="53" t="s">
        <v>1737</v>
      </c>
      <c r="F106" s="53" t="s">
        <v>1737</v>
      </c>
      <c r="G106" s="53" t="s">
        <v>1737</v>
      </c>
      <c r="H106" s="50">
        <v>128</v>
      </c>
      <c r="I106" s="53">
        <f>1.26^(-1)</f>
        <v>0.79365079365079361</v>
      </c>
      <c r="J106" s="54">
        <v>335</v>
      </c>
      <c r="K106" s="54">
        <v>799</v>
      </c>
      <c r="L106" s="54">
        <v>1.5</v>
      </c>
      <c r="M106" s="53">
        <f t="shared" si="0"/>
        <v>42.88</v>
      </c>
      <c r="N106" s="53">
        <f t="shared" si="1"/>
        <v>102.27200000000001</v>
      </c>
      <c r="O106" s="53">
        <f t="shared" si="2"/>
        <v>0.192</v>
      </c>
    </row>
    <row r="107" spans="1:15" ht="14.4">
      <c r="A107" s="50" t="s">
        <v>1684</v>
      </c>
      <c r="B107" s="51">
        <v>2</v>
      </c>
      <c r="C107" s="52" t="s">
        <v>1872</v>
      </c>
      <c r="D107" s="88">
        <v>46144</v>
      </c>
      <c r="E107" s="53" t="s">
        <v>1737</v>
      </c>
      <c r="F107" s="53">
        <v>50</v>
      </c>
      <c r="G107" s="55" t="s">
        <v>1740</v>
      </c>
      <c r="H107" s="50">
        <f>50*5/2</f>
        <v>125</v>
      </c>
      <c r="I107" s="53">
        <v>1</v>
      </c>
      <c r="J107" s="54">
        <v>8180</v>
      </c>
      <c r="K107" s="54">
        <v>6262</v>
      </c>
      <c r="L107" s="54">
        <v>28.3</v>
      </c>
      <c r="M107" s="53">
        <f t="shared" si="0"/>
        <v>1022.5</v>
      </c>
      <c r="N107" s="53">
        <f t="shared" si="1"/>
        <v>782.75</v>
      </c>
      <c r="O107" s="53">
        <f t="shared" si="2"/>
        <v>3.5375000000000001</v>
      </c>
    </row>
    <row r="108" spans="1:15" ht="43.2">
      <c r="A108" s="75" t="s">
        <v>1471</v>
      </c>
      <c r="B108" s="76">
        <v>8</v>
      </c>
      <c r="C108" s="77" t="s">
        <v>1873</v>
      </c>
      <c r="D108" s="76" t="s">
        <v>1874</v>
      </c>
      <c r="E108" s="81">
        <v>1.23</v>
      </c>
      <c r="F108" s="81" t="s">
        <v>1737</v>
      </c>
      <c r="G108" s="82" t="s">
        <v>1875</v>
      </c>
      <c r="H108" s="75">
        <f>88+30*1.23</f>
        <v>124.9</v>
      </c>
      <c r="I108" s="53">
        <v>1</v>
      </c>
      <c r="J108" s="54">
        <v>943</v>
      </c>
      <c r="K108" s="54">
        <v>2072</v>
      </c>
      <c r="L108" s="54">
        <v>7.2</v>
      </c>
      <c r="M108" s="53">
        <f t="shared" si="0"/>
        <v>117.78070000000001</v>
      </c>
      <c r="N108" s="53">
        <f t="shared" si="1"/>
        <v>258.7928</v>
      </c>
      <c r="O108" s="53">
        <f t="shared" si="2"/>
        <v>0.89928000000000008</v>
      </c>
    </row>
    <row r="109" spans="1:15" ht="14.4">
      <c r="A109" s="50" t="s">
        <v>1709</v>
      </c>
      <c r="B109" s="51">
        <v>1</v>
      </c>
      <c r="C109" s="52" t="s">
        <v>1662</v>
      </c>
      <c r="D109" s="51" t="s">
        <v>1662</v>
      </c>
      <c r="E109" s="53" t="s">
        <v>1737</v>
      </c>
      <c r="F109" s="53" t="s">
        <v>1737</v>
      </c>
      <c r="G109" s="53" t="s">
        <v>1737</v>
      </c>
      <c r="H109" s="50">
        <v>112</v>
      </c>
      <c r="I109" s="53">
        <v>1</v>
      </c>
      <c r="J109" s="54">
        <v>1368</v>
      </c>
      <c r="K109" s="54">
        <v>1730</v>
      </c>
      <c r="L109" s="54">
        <v>10.5</v>
      </c>
      <c r="M109" s="53">
        <f t="shared" si="0"/>
        <v>153.21600000000001</v>
      </c>
      <c r="N109" s="53">
        <f t="shared" si="1"/>
        <v>193.76</v>
      </c>
      <c r="O109" s="53">
        <f t="shared" si="2"/>
        <v>1.1759999999999999</v>
      </c>
    </row>
    <row r="110" spans="1:15" ht="14.4">
      <c r="A110" s="75" t="s">
        <v>1567</v>
      </c>
      <c r="B110" s="51">
        <v>2</v>
      </c>
      <c r="C110" s="67">
        <v>46023</v>
      </c>
      <c r="D110" s="51">
        <v>2</v>
      </c>
      <c r="E110" s="53" t="s">
        <v>1737</v>
      </c>
      <c r="F110" s="53">
        <v>55</v>
      </c>
      <c r="G110" s="55" t="s">
        <v>1876</v>
      </c>
      <c r="H110" s="50">
        <f t="shared" ref="H110:H111" si="4">55*2</f>
        <v>110</v>
      </c>
      <c r="I110" s="53">
        <f>1.34^(-1)</f>
        <v>0.74626865671641784</v>
      </c>
      <c r="J110" s="54">
        <v>337</v>
      </c>
      <c r="K110" s="54">
        <v>416</v>
      </c>
      <c r="L110" s="54">
        <v>1.5</v>
      </c>
      <c r="M110" s="53">
        <f t="shared" si="0"/>
        <v>37.07</v>
      </c>
      <c r="N110" s="53">
        <f t="shared" si="1"/>
        <v>45.76</v>
      </c>
      <c r="O110" s="53">
        <f t="shared" si="2"/>
        <v>0.16500000000000001</v>
      </c>
    </row>
    <row r="111" spans="1:15" ht="14.4">
      <c r="A111" s="50" t="s">
        <v>1648</v>
      </c>
      <c r="B111" s="51">
        <v>2</v>
      </c>
      <c r="C111" s="67">
        <v>46023</v>
      </c>
      <c r="D111" s="51">
        <v>2</v>
      </c>
      <c r="E111" s="53" t="s">
        <v>1737</v>
      </c>
      <c r="F111" s="53">
        <v>55</v>
      </c>
      <c r="G111" s="55" t="s">
        <v>1740</v>
      </c>
      <c r="H111" s="50">
        <f t="shared" si="4"/>
        <v>110</v>
      </c>
      <c r="I111" s="56">
        <v>0.83399999141693104</v>
      </c>
      <c r="J111" s="54">
        <v>350</v>
      </c>
      <c r="K111" s="54">
        <v>799</v>
      </c>
      <c r="L111" s="54">
        <v>1.5</v>
      </c>
      <c r="M111" s="53">
        <f t="shared" si="0"/>
        <v>38.5</v>
      </c>
      <c r="N111" s="53">
        <f t="shared" si="1"/>
        <v>87.89</v>
      </c>
      <c r="O111" s="53">
        <f t="shared" si="2"/>
        <v>0.16500000000000001</v>
      </c>
    </row>
    <row r="112" spans="1:15" ht="14.4">
      <c r="A112" s="50" t="s">
        <v>692</v>
      </c>
      <c r="B112" s="51">
        <v>2</v>
      </c>
      <c r="C112" s="52" t="s">
        <v>1877</v>
      </c>
      <c r="D112" s="51" t="s">
        <v>1878</v>
      </c>
      <c r="E112" s="62">
        <v>1.1200000000000001</v>
      </c>
      <c r="F112" s="63" t="s">
        <v>1737</v>
      </c>
      <c r="G112" s="63" t="s">
        <v>1743</v>
      </c>
      <c r="H112" s="50">
        <f>95*1.15</f>
        <v>109.24999999999999</v>
      </c>
      <c r="I112" s="56">
        <v>1</v>
      </c>
      <c r="J112" s="54">
        <v>337</v>
      </c>
      <c r="K112" s="54">
        <v>416</v>
      </c>
      <c r="L112" s="54">
        <v>1.3</v>
      </c>
      <c r="M112" s="53">
        <f t="shared" si="0"/>
        <v>36.817249999999994</v>
      </c>
      <c r="N112" s="53">
        <f t="shared" si="1"/>
        <v>45.447999999999993</v>
      </c>
      <c r="O112" s="53">
        <f t="shared" si="2"/>
        <v>0.14202499999999998</v>
      </c>
    </row>
    <row r="113" spans="1:15" ht="43.2">
      <c r="A113" s="69" t="s">
        <v>1472</v>
      </c>
      <c r="B113" s="70">
        <v>5</v>
      </c>
      <c r="C113" s="71" t="s">
        <v>1879</v>
      </c>
      <c r="D113" s="70" t="s">
        <v>1880</v>
      </c>
      <c r="E113" s="73">
        <v>1.01</v>
      </c>
      <c r="F113" s="72" t="s">
        <v>1737</v>
      </c>
      <c r="G113" s="74" t="s">
        <v>1881</v>
      </c>
      <c r="H113" s="70">
        <f>90*1.01+15</f>
        <v>105.9</v>
      </c>
      <c r="I113" s="85">
        <v>1</v>
      </c>
      <c r="J113" s="64"/>
      <c r="K113" s="64"/>
      <c r="L113" s="64"/>
      <c r="M113" s="53">
        <f t="shared" si="0"/>
        <v>0</v>
      </c>
      <c r="N113" s="53">
        <f t="shared" si="1"/>
        <v>0</v>
      </c>
      <c r="O113" s="53">
        <f t="shared" si="2"/>
        <v>0</v>
      </c>
    </row>
    <row r="114" spans="1:15" ht="14.4">
      <c r="A114" s="50" t="s">
        <v>1632</v>
      </c>
      <c r="B114" s="51">
        <v>2</v>
      </c>
      <c r="C114" s="52" t="s">
        <v>1882</v>
      </c>
      <c r="D114" s="51" t="s">
        <v>1694</v>
      </c>
      <c r="E114" s="53" t="s">
        <v>1737</v>
      </c>
      <c r="F114" s="53" t="s">
        <v>1737</v>
      </c>
      <c r="G114" s="53" t="s">
        <v>1737</v>
      </c>
      <c r="H114" s="50">
        <v>100</v>
      </c>
      <c r="I114" s="56">
        <v>0.566999971866607</v>
      </c>
      <c r="J114" s="54">
        <v>1853</v>
      </c>
      <c r="K114" s="54">
        <v>33495</v>
      </c>
      <c r="L114" s="54">
        <v>4.0999999999999996</v>
      </c>
      <c r="M114" s="53">
        <f t="shared" si="0"/>
        <v>185.3</v>
      </c>
      <c r="N114" s="53">
        <f t="shared" si="1"/>
        <v>3349.5</v>
      </c>
      <c r="O114" s="53">
        <f t="shared" si="2"/>
        <v>0.40999999999999992</v>
      </c>
    </row>
    <row r="115" spans="1:15" ht="14.4">
      <c r="A115" s="50" t="s">
        <v>1548</v>
      </c>
      <c r="B115" s="51">
        <v>2</v>
      </c>
      <c r="C115" s="52" t="s">
        <v>1883</v>
      </c>
      <c r="D115" s="51" t="s">
        <v>1884</v>
      </c>
      <c r="E115" s="53" t="s">
        <v>1737</v>
      </c>
      <c r="F115" s="53" t="s">
        <v>1737</v>
      </c>
      <c r="G115" s="53" t="s">
        <v>1737</v>
      </c>
      <c r="H115" s="50">
        <v>95</v>
      </c>
      <c r="I115" s="56">
        <v>0.566999971866607</v>
      </c>
      <c r="J115" s="54">
        <v>2296</v>
      </c>
      <c r="K115" s="54">
        <v>10841</v>
      </c>
      <c r="L115" s="54">
        <v>19.100000000000001</v>
      </c>
      <c r="M115" s="53">
        <f t="shared" si="0"/>
        <v>218.12</v>
      </c>
      <c r="N115" s="53">
        <f t="shared" si="1"/>
        <v>1029.895</v>
      </c>
      <c r="O115" s="53">
        <f t="shared" si="2"/>
        <v>1.8145000000000002</v>
      </c>
    </row>
    <row r="116" spans="1:15" ht="28.8">
      <c r="A116" s="50" t="s">
        <v>694</v>
      </c>
      <c r="B116" s="51">
        <v>6</v>
      </c>
      <c r="C116" s="52" t="s">
        <v>1885</v>
      </c>
      <c r="D116" s="51" t="s">
        <v>1886</v>
      </c>
      <c r="E116" s="53">
        <v>0.54</v>
      </c>
      <c r="F116" s="53" t="s">
        <v>1737</v>
      </c>
      <c r="G116" s="53" t="s">
        <v>1743</v>
      </c>
      <c r="H116" s="50">
        <f>88+10*0.54</f>
        <v>93.4</v>
      </c>
      <c r="I116" s="53">
        <v>1</v>
      </c>
      <c r="J116" s="54">
        <v>578</v>
      </c>
      <c r="K116" s="54">
        <v>2387</v>
      </c>
      <c r="L116" s="54">
        <v>8.4</v>
      </c>
      <c r="M116" s="53">
        <f t="shared" si="0"/>
        <v>53.985200000000006</v>
      </c>
      <c r="N116" s="53">
        <f t="shared" si="1"/>
        <v>222.94580000000002</v>
      </c>
      <c r="O116" s="53">
        <f t="shared" si="2"/>
        <v>0.78456000000000004</v>
      </c>
    </row>
    <row r="117" spans="1:15" ht="14.4">
      <c r="A117" s="79" t="s">
        <v>1683</v>
      </c>
      <c r="B117" s="76">
        <v>1</v>
      </c>
      <c r="C117" s="77">
        <v>2</v>
      </c>
      <c r="D117" s="76">
        <v>2</v>
      </c>
      <c r="E117" s="81" t="s">
        <v>1737</v>
      </c>
      <c r="F117" s="81">
        <v>46</v>
      </c>
      <c r="G117" s="81" t="s">
        <v>1737</v>
      </c>
      <c r="H117" s="75">
        <f>46*2</f>
        <v>92</v>
      </c>
      <c r="I117" s="80"/>
      <c r="J117" s="64"/>
      <c r="K117" s="64"/>
      <c r="L117" s="64"/>
      <c r="M117" s="53">
        <f t="shared" si="0"/>
        <v>0</v>
      </c>
      <c r="N117" s="53">
        <f t="shared" si="1"/>
        <v>0</v>
      </c>
      <c r="O117" s="53">
        <f t="shared" si="2"/>
        <v>0</v>
      </c>
    </row>
    <row r="118" spans="1:15" ht="28.8">
      <c r="A118" s="50" t="s">
        <v>1435</v>
      </c>
      <c r="B118" s="51">
        <v>2</v>
      </c>
      <c r="C118" s="52" t="s">
        <v>1887</v>
      </c>
      <c r="D118" s="51">
        <v>2</v>
      </c>
      <c r="E118" s="53" t="s">
        <v>1737</v>
      </c>
      <c r="F118" s="53">
        <v>37.5</v>
      </c>
      <c r="G118" s="55" t="s">
        <v>1740</v>
      </c>
      <c r="H118" s="50">
        <f>37.5*2</f>
        <v>75</v>
      </c>
      <c r="I118" s="56">
        <v>0.71499997377395597</v>
      </c>
      <c r="J118" s="54">
        <v>107</v>
      </c>
      <c r="K118" s="54">
        <v>799</v>
      </c>
      <c r="L118" s="54">
        <v>1.3</v>
      </c>
      <c r="M118" s="53">
        <f t="shared" si="0"/>
        <v>8.0250000000000004</v>
      </c>
      <c r="N118" s="53">
        <f t="shared" si="1"/>
        <v>59.924999999999997</v>
      </c>
      <c r="O118" s="53">
        <f t="shared" si="2"/>
        <v>9.7500000000000003E-2</v>
      </c>
    </row>
    <row r="119" spans="1:15" ht="14.4">
      <c r="A119" s="50" t="s">
        <v>708</v>
      </c>
      <c r="B119" s="51">
        <v>3</v>
      </c>
      <c r="C119" s="52" t="s">
        <v>1888</v>
      </c>
      <c r="D119" s="51" t="s">
        <v>1889</v>
      </c>
      <c r="E119" s="53">
        <v>0.95</v>
      </c>
      <c r="F119" s="53" t="s">
        <v>1737</v>
      </c>
      <c r="G119" s="55" t="s">
        <v>1743</v>
      </c>
      <c r="H119" s="50">
        <f>65+5*0.95</f>
        <v>69.75</v>
      </c>
      <c r="I119" s="53">
        <v>1</v>
      </c>
      <c r="J119" s="54">
        <v>1800</v>
      </c>
      <c r="K119" s="54">
        <v>1091</v>
      </c>
      <c r="L119" s="54">
        <v>3.8</v>
      </c>
      <c r="M119" s="53">
        <f t="shared" si="0"/>
        <v>125.55</v>
      </c>
      <c r="N119" s="53">
        <f t="shared" si="1"/>
        <v>76.097250000000003</v>
      </c>
      <c r="O119" s="53">
        <f t="shared" si="2"/>
        <v>0.26505000000000001</v>
      </c>
    </row>
    <row r="120" spans="1:15" ht="14.4">
      <c r="A120" s="59" t="s">
        <v>1640</v>
      </c>
      <c r="B120" s="60">
        <v>4</v>
      </c>
      <c r="C120" s="61" t="s">
        <v>1890</v>
      </c>
      <c r="D120" s="51">
        <v>5</v>
      </c>
      <c r="E120" s="53" t="s">
        <v>1737</v>
      </c>
      <c r="F120" s="53">
        <f>0.3*45</f>
        <v>13.5</v>
      </c>
      <c r="G120" s="55" t="s">
        <v>1891</v>
      </c>
      <c r="H120" s="59">
        <f>0.3*45*5</f>
        <v>67.5</v>
      </c>
      <c r="I120" s="53">
        <f>0.904*0.3</f>
        <v>0.2712</v>
      </c>
      <c r="J120" s="54">
        <v>3321</v>
      </c>
      <c r="K120" s="54">
        <v>4474</v>
      </c>
      <c r="L120" s="54">
        <v>26.5</v>
      </c>
      <c r="M120" s="53">
        <f t="shared" si="0"/>
        <v>224.16749999999999</v>
      </c>
      <c r="N120" s="53">
        <f t="shared" si="1"/>
        <v>301.995</v>
      </c>
      <c r="O120" s="53">
        <f t="shared" si="2"/>
        <v>1.7887500000000001</v>
      </c>
    </row>
    <row r="121" spans="1:15" ht="14.4">
      <c r="A121" s="50" t="s">
        <v>1446</v>
      </c>
      <c r="B121" s="51">
        <v>2</v>
      </c>
      <c r="C121" s="67">
        <v>46023</v>
      </c>
      <c r="D121" s="51">
        <v>2</v>
      </c>
      <c r="E121" s="53" t="s">
        <v>1737</v>
      </c>
      <c r="F121" s="53" t="s">
        <v>1737</v>
      </c>
      <c r="G121" s="53" t="s">
        <v>1737</v>
      </c>
      <c r="H121" s="50">
        <v>60</v>
      </c>
      <c r="I121" s="53">
        <v>0.9</v>
      </c>
      <c r="J121" s="54">
        <v>209</v>
      </c>
      <c r="K121" s="54">
        <v>465</v>
      </c>
      <c r="L121" s="54">
        <v>1.2</v>
      </c>
      <c r="M121" s="53">
        <f t="shared" si="0"/>
        <v>12.54</v>
      </c>
      <c r="N121" s="53">
        <f t="shared" si="1"/>
        <v>27.9</v>
      </c>
      <c r="O121" s="53">
        <f t="shared" si="2"/>
        <v>7.1999999999999995E-2</v>
      </c>
    </row>
    <row r="122" spans="1:15" ht="14.4">
      <c r="A122" s="50" t="s">
        <v>1464</v>
      </c>
      <c r="B122" s="51">
        <v>1</v>
      </c>
      <c r="C122" s="52" t="s">
        <v>1596</v>
      </c>
      <c r="D122" s="51" t="s">
        <v>1596</v>
      </c>
      <c r="E122" s="53">
        <v>0.94799999999999995</v>
      </c>
      <c r="F122" s="53" t="s">
        <v>1737</v>
      </c>
      <c r="G122" s="55" t="s">
        <v>1892</v>
      </c>
      <c r="H122" s="50">
        <f>60*E122</f>
        <v>56.879999999999995</v>
      </c>
      <c r="I122" s="53">
        <v>1</v>
      </c>
      <c r="J122" s="54">
        <v>1400</v>
      </c>
      <c r="K122" s="54">
        <v>503</v>
      </c>
      <c r="L122" s="54">
        <v>22.3</v>
      </c>
      <c r="M122" s="53">
        <f t="shared" si="0"/>
        <v>79.632000000000005</v>
      </c>
      <c r="N122" s="53">
        <f t="shared" si="1"/>
        <v>28.61064</v>
      </c>
      <c r="O122" s="53">
        <f t="shared" si="2"/>
        <v>1.268424</v>
      </c>
    </row>
    <row r="123" spans="1:15" ht="43.2">
      <c r="A123" s="75" t="s">
        <v>1457</v>
      </c>
      <c r="B123" s="76">
        <v>10</v>
      </c>
      <c r="C123" s="77" t="s">
        <v>1893</v>
      </c>
      <c r="D123" s="76" t="s">
        <v>1894</v>
      </c>
      <c r="E123" s="81">
        <v>0.44</v>
      </c>
      <c r="F123" s="81">
        <v>6.2</v>
      </c>
      <c r="G123" s="82" t="s">
        <v>1743</v>
      </c>
      <c r="H123" s="75">
        <f>26*6.2+45*0.44</f>
        <v>181.00000000000003</v>
      </c>
      <c r="I123" s="56">
        <v>0.83399999141693104</v>
      </c>
      <c r="J123" s="54">
        <v>209</v>
      </c>
      <c r="K123" s="54">
        <v>1623</v>
      </c>
      <c r="L123" s="54">
        <v>1.2</v>
      </c>
      <c r="M123" s="53">
        <f t="shared" si="0"/>
        <v>37.829000000000008</v>
      </c>
      <c r="N123" s="53">
        <f t="shared" si="1"/>
        <v>293.76300000000003</v>
      </c>
      <c r="O123" s="53">
        <f t="shared" si="2"/>
        <v>0.2172</v>
      </c>
    </row>
    <row r="124" spans="1:15" ht="28.8">
      <c r="A124" s="59" t="s">
        <v>1465</v>
      </c>
      <c r="B124" s="60">
        <v>3</v>
      </c>
      <c r="C124" s="61" t="s">
        <v>1895</v>
      </c>
      <c r="D124" s="60" t="s">
        <v>1896</v>
      </c>
      <c r="E124" s="62">
        <v>1.1499999999999999</v>
      </c>
      <c r="F124" s="89" t="s">
        <v>1737</v>
      </c>
      <c r="G124" s="65" t="s">
        <v>1897</v>
      </c>
      <c r="H124" s="50">
        <f>30*1.15+15</f>
        <v>49.5</v>
      </c>
      <c r="I124" s="53">
        <v>1</v>
      </c>
      <c r="J124" s="54">
        <v>44570</v>
      </c>
      <c r="K124" s="54">
        <v>17481</v>
      </c>
      <c r="L124" s="54">
        <v>33.5</v>
      </c>
      <c r="M124" s="53">
        <f t="shared" si="0"/>
        <v>2206.2150000000001</v>
      </c>
      <c r="N124" s="53">
        <f t="shared" si="1"/>
        <v>865.30949999999996</v>
      </c>
      <c r="O124" s="53">
        <f t="shared" si="2"/>
        <v>1.65825</v>
      </c>
    </row>
    <row r="125" spans="1:15" ht="14.4">
      <c r="A125" s="75" t="s">
        <v>1631</v>
      </c>
      <c r="B125" s="51">
        <v>2</v>
      </c>
      <c r="C125" s="52" t="s">
        <v>1898</v>
      </c>
      <c r="D125" s="51" t="s">
        <v>1898</v>
      </c>
      <c r="E125" s="53">
        <v>0.41</v>
      </c>
      <c r="F125" s="53" t="s">
        <v>1737</v>
      </c>
      <c r="G125" s="55" t="s">
        <v>1899</v>
      </c>
      <c r="H125" s="50">
        <f>40+2.5*E125</f>
        <v>41.024999999999999</v>
      </c>
      <c r="I125" s="81">
        <f>1.11^(-1)</f>
        <v>0.9009009009009008</v>
      </c>
      <c r="J125" s="54">
        <v>330</v>
      </c>
      <c r="K125" s="54">
        <v>8159</v>
      </c>
      <c r="L125" s="54">
        <v>49.5</v>
      </c>
      <c r="M125" s="53">
        <f t="shared" si="0"/>
        <v>13.53825</v>
      </c>
      <c r="N125" s="53">
        <f t="shared" si="1"/>
        <v>334.72297499999996</v>
      </c>
      <c r="O125" s="53">
        <f t="shared" si="2"/>
        <v>2.0307374999999999</v>
      </c>
    </row>
    <row r="126" spans="1:15" ht="14.4">
      <c r="A126" s="50" t="s">
        <v>1460</v>
      </c>
      <c r="B126" s="51">
        <v>1</v>
      </c>
      <c r="C126" s="52" t="s">
        <v>1506</v>
      </c>
      <c r="D126" s="51" t="s">
        <v>1506</v>
      </c>
      <c r="E126" s="53">
        <v>1.28</v>
      </c>
      <c r="F126" s="53" t="s">
        <v>1737</v>
      </c>
      <c r="G126" s="55" t="s">
        <v>1743</v>
      </c>
      <c r="H126" s="50">
        <f>30*1.28</f>
        <v>38.4</v>
      </c>
      <c r="I126" s="53">
        <v>1</v>
      </c>
      <c r="J126" s="64"/>
      <c r="K126" s="64"/>
      <c r="L126" s="64"/>
      <c r="M126" s="53">
        <f t="shared" si="0"/>
        <v>0</v>
      </c>
      <c r="N126" s="53">
        <f t="shared" si="1"/>
        <v>0</v>
      </c>
      <c r="O126" s="53">
        <f t="shared" si="2"/>
        <v>0</v>
      </c>
    </row>
    <row r="127" spans="1:15" ht="14.4">
      <c r="A127" s="50" t="s">
        <v>596</v>
      </c>
      <c r="B127" s="51">
        <v>1</v>
      </c>
      <c r="C127" s="52" t="s">
        <v>1506</v>
      </c>
      <c r="D127" s="51" t="s">
        <v>1506</v>
      </c>
      <c r="E127" s="53">
        <v>1.1499999999999999</v>
      </c>
      <c r="F127" s="53" t="s">
        <v>1737</v>
      </c>
      <c r="G127" s="55" t="s">
        <v>1897</v>
      </c>
      <c r="H127" s="50">
        <f>30*1.15</f>
        <v>34.5</v>
      </c>
      <c r="I127" s="53">
        <v>1</v>
      </c>
      <c r="J127" s="54">
        <v>1500</v>
      </c>
      <c r="K127" s="54">
        <v>357</v>
      </c>
      <c r="L127" s="54">
        <v>5.5</v>
      </c>
      <c r="M127" s="53">
        <f t="shared" si="0"/>
        <v>51.75</v>
      </c>
      <c r="N127" s="53">
        <f t="shared" si="1"/>
        <v>12.3165</v>
      </c>
      <c r="O127" s="53">
        <f t="shared" si="2"/>
        <v>0.18975</v>
      </c>
    </row>
    <row r="128" spans="1:15" ht="14.4">
      <c r="A128" s="50" t="s">
        <v>1552</v>
      </c>
      <c r="B128" s="51">
        <v>2</v>
      </c>
      <c r="C128" s="52" t="s">
        <v>1900</v>
      </c>
      <c r="D128" s="51" t="s">
        <v>1506</v>
      </c>
      <c r="E128" s="90">
        <v>1.01</v>
      </c>
      <c r="F128" s="53" t="s">
        <v>1737</v>
      </c>
      <c r="G128" s="55" t="s">
        <v>1866</v>
      </c>
      <c r="H128" s="50">
        <f t="shared" ref="H128:H130" si="5">30*1.01</f>
        <v>30.3</v>
      </c>
      <c r="I128" s="53">
        <v>1</v>
      </c>
      <c r="J128" s="54">
        <v>1936</v>
      </c>
      <c r="K128" s="54">
        <v>6849</v>
      </c>
      <c r="L128" s="54">
        <v>7.5</v>
      </c>
      <c r="M128" s="53">
        <f t="shared" si="0"/>
        <v>58.660800000000002</v>
      </c>
      <c r="N128" s="53">
        <f t="shared" si="1"/>
        <v>207.52470000000002</v>
      </c>
      <c r="O128" s="53">
        <f t="shared" si="2"/>
        <v>0.22725000000000001</v>
      </c>
    </row>
    <row r="129" spans="1:15" ht="14.4">
      <c r="A129" s="50" t="s">
        <v>1488</v>
      </c>
      <c r="B129" s="51">
        <v>1</v>
      </c>
      <c r="C129" s="52" t="s">
        <v>1506</v>
      </c>
      <c r="D129" s="51" t="s">
        <v>1506</v>
      </c>
      <c r="E129" s="53">
        <v>1.01</v>
      </c>
      <c r="F129" s="53" t="s">
        <v>1737</v>
      </c>
      <c r="G129" s="55" t="s">
        <v>1901</v>
      </c>
      <c r="H129" s="50">
        <f t="shared" si="5"/>
        <v>30.3</v>
      </c>
      <c r="I129" s="53">
        <v>1</v>
      </c>
      <c r="J129" s="54">
        <v>1936</v>
      </c>
      <c r="K129" s="54">
        <v>6849</v>
      </c>
      <c r="L129" s="54">
        <v>7.5</v>
      </c>
      <c r="M129" s="53">
        <f t="shared" si="0"/>
        <v>58.660800000000002</v>
      </c>
      <c r="N129" s="53">
        <f t="shared" si="1"/>
        <v>207.52470000000002</v>
      </c>
      <c r="O129" s="53">
        <f t="shared" si="2"/>
        <v>0.22725000000000001</v>
      </c>
    </row>
    <row r="130" spans="1:15" ht="14.4">
      <c r="A130" s="50" t="s">
        <v>1579</v>
      </c>
      <c r="B130" s="51">
        <v>1</v>
      </c>
      <c r="C130" s="52" t="s">
        <v>1506</v>
      </c>
      <c r="D130" s="51" t="s">
        <v>1506</v>
      </c>
      <c r="E130" s="53">
        <v>1.01</v>
      </c>
      <c r="F130" s="53" t="s">
        <v>1737</v>
      </c>
      <c r="G130" s="55" t="s">
        <v>1901</v>
      </c>
      <c r="H130" s="50">
        <f t="shared" si="5"/>
        <v>30.3</v>
      </c>
      <c r="I130" s="53">
        <v>1</v>
      </c>
      <c r="J130" s="54">
        <v>1936</v>
      </c>
      <c r="K130" s="54">
        <v>6849</v>
      </c>
      <c r="L130" s="54">
        <v>7.5</v>
      </c>
      <c r="M130" s="53">
        <f t="shared" si="0"/>
        <v>58.660800000000002</v>
      </c>
      <c r="N130" s="53">
        <f t="shared" si="1"/>
        <v>207.52470000000002</v>
      </c>
      <c r="O130" s="53">
        <f t="shared" si="2"/>
        <v>0.22725000000000001</v>
      </c>
    </row>
    <row r="131" spans="1:15" ht="14.4">
      <c r="A131" s="75" t="s">
        <v>1646</v>
      </c>
      <c r="B131" s="76">
        <v>2</v>
      </c>
      <c r="C131" s="77" t="s">
        <v>1900</v>
      </c>
      <c r="D131" s="76" t="s">
        <v>1506</v>
      </c>
      <c r="E131" s="53">
        <v>0.92249999999999999</v>
      </c>
      <c r="F131" s="53" t="s">
        <v>1737</v>
      </c>
      <c r="G131" s="55" t="s">
        <v>1902</v>
      </c>
      <c r="H131" s="50">
        <f>30*E131</f>
        <v>27.675000000000001</v>
      </c>
      <c r="I131" s="53">
        <v>1</v>
      </c>
      <c r="J131" s="64"/>
      <c r="K131" s="64"/>
      <c r="L131" s="64"/>
      <c r="M131" s="53">
        <f t="shared" si="0"/>
        <v>0</v>
      </c>
      <c r="N131" s="53">
        <f t="shared" si="1"/>
        <v>0</v>
      </c>
      <c r="O131" s="53">
        <f t="shared" si="2"/>
        <v>0</v>
      </c>
    </row>
    <row r="132" spans="1:15" ht="14.4">
      <c r="A132" s="59" t="s">
        <v>1503</v>
      </c>
      <c r="B132" s="60">
        <v>4</v>
      </c>
      <c r="C132" s="59" t="s">
        <v>1903</v>
      </c>
      <c r="D132" s="59" t="s">
        <v>1904</v>
      </c>
      <c r="E132" s="60">
        <v>0.56999999999999995</v>
      </c>
      <c r="F132" s="59" t="s">
        <v>1737</v>
      </c>
      <c r="G132" s="91" t="s">
        <v>1905</v>
      </c>
      <c r="H132" s="60">
        <f>22+3/2*5*0.57</f>
        <v>26.274999999999999</v>
      </c>
      <c r="I132" s="92">
        <v>1</v>
      </c>
      <c r="J132" s="63"/>
      <c r="K132" s="63"/>
      <c r="L132" s="63"/>
      <c r="M132" s="60">
        <f t="shared" si="0"/>
        <v>0</v>
      </c>
      <c r="N132" s="60">
        <f t="shared" si="1"/>
        <v>0</v>
      </c>
      <c r="O132" s="60">
        <f t="shared" si="2"/>
        <v>0</v>
      </c>
    </row>
    <row r="133" spans="1:15" ht="14.4">
      <c r="A133" s="50" t="s">
        <v>1623</v>
      </c>
      <c r="B133" s="51">
        <v>2</v>
      </c>
      <c r="C133" s="50" t="s">
        <v>1906</v>
      </c>
      <c r="D133" s="51" t="s">
        <v>1510</v>
      </c>
      <c r="E133" s="53" t="s">
        <v>1737</v>
      </c>
      <c r="F133" s="53" t="s">
        <v>1737</v>
      </c>
      <c r="G133" s="53" t="s">
        <v>1737</v>
      </c>
      <c r="H133" s="51">
        <v>23</v>
      </c>
      <c r="I133" s="53">
        <v>1</v>
      </c>
      <c r="J133" s="54">
        <v>44570</v>
      </c>
      <c r="K133" s="54">
        <v>17481</v>
      </c>
      <c r="L133" s="54">
        <v>33.5</v>
      </c>
      <c r="M133" s="53">
        <f t="shared" si="0"/>
        <v>1025.1099999999999</v>
      </c>
      <c r="N133" s="53">
        <f t="shared" si="1"/>
        <v>402.06299999999999</v>
      </c>
      <c r="O133" s="53">
        <f t="shared" si="2"/>
        <v>0.77049999999999996</v>
      </c>
    </row>
    <row r="134" spans="1:15" ht="14.4">
      <c r="A134" s="50" t="s">
        <v>1563</v>
      </c>
      <c r="B134" s="51">
        <v>1</v>
      </c>
      <c r="C134" s="52" t="s">
        <v>746</v>
      </c>
      <c r="D134" s="51" t="s">
        <v>746</v>
      </c>
      <c r="E134" s="53">
        <v>1.43</v>
      </c>
      <c r="F134" s="53" t="s">
        <v>1737</v>
      </c>
      <c r="G134" s="55" t="s">
        <v>1892</v>
      </c>
      <c r="H134" s="50">
        <f>15*1.43</f>
        <v>21.45</v>
      </c>
      <c r="I134" s="53">
        <v>1</v>
      </c>
      <c r="J134" s="54">
        <v>1998</v>
      </c>
      <c r="K134" s="54">
        <v>3978</v>
      </c>
      <c r="L134" s="54">
        <v>9</v>
      </c>
      <c r="M134" s="53">
        <f t="shared" si="0"/>
        <v>42.857099999999996</v>
      </c>
      <c r="N134" s="53">
        <f t="shared" si="1"/>
        <v>85.328099999999992</v>
      </c>
      <c r="O134" s="53">
        <f t="shared" si="2"/>
        <v>0.19304999999999997</v>
      </c>
    </row>
    <row r="135" spans="1:15" ht="14.4">
      <c r="A135" s="59" t="s">
        <v>1642</v>
      </c>
      <c r="B135" s="60">
        <v>3</v>
      </c>
      <c r="C135" s="61" t="s">
        <v>1907</v>
      </c>
      <c r="D135" s="60" t="s">
        <v>1613</v>
      </c>
      <c r="E135" s="63" t="s">
        <v>1737</v>
      </c>
      <c r="F135" s="63" t="s">
        <v>1737</v>
      </c>
      <c r="G135" s="63" t="s">
        <v>1737</v>
      </c>
      <c r="H135" s="60">
        <v>18</v>
      </c>
      <c r="I135" s="62">
        <v>1</v>
      </c>
      <c r="J135" s="86"/>
      <c r="K135" s="86"/>
      <c r="L135" s="86"/>
      <c r="M135" s="62">
        <f t="shared" si="0"/>
        <v>0</v>
      </c>
      <c r="N135" s="62">
        <f t="shared" si="1"/>
        <v>0</v>
      </c>
      <c r="O135" s="62">
        <f t="shared" si="2"/>
        <v>0</v>
      </c>
    </row>
    <row r="136" spans="1:15" ht="14.4">
      <c r="A136" s="75" t="s">
        <v>1706</v>
      </c>
      <c r="B136" s="51">
        <v>1</v>
      </c>
      <c r="C136" s="52">
        <v>1</v>
      </c>
      <c r="D136" s="51">
        <v>1</v>
      </c>
      <c r="E136" s="53" t="s">
        <v>1737</v>
      </c>
      <c r="F136" s="53">
        <v>15</v>
      </c>
      <c r="G136" s="55" t="s">
        <v>1740</v>
      </c>
      <c r="H136" s="50">
        <f>15*1</f>
        <v>15</v>
      </c>
      <c r="I136" s="81">
        <f>1.62^(-1)</f>
        <v>0.61728395061728392</v>
      </c>
      <c r="J136" s="54">
        <v>209</v>
      </c>
      <c r="K136" s="54">
        <v>1623</v>
      </c>
      <c r="L136" s="54">
        <v>1.3</v>
      </c>
      <c r="M136" s="53">
        <f t="shared" si="0"/>
        <v>3.1349999999999998</v>
      </c>
      <c r="N136" s="53">
        <f t="shared" si="1"/>
        <v>24.344999999999999</v>
      </c>
      <c r="O136" s="53">
        <f t="shared" si="2"/>
        <v>1.95E-2</v>
      </c>
    </row>
    <row r="137" spans="1:15" ht="14.4">
      <c r="A137" s="50" t="s">
        <v>1476</v>
      </c>
      <c r="B137" s="51">
        <v>1</v>
      </c>
      <c r="C137" s="52" t="s">
        <v>1557</v>
      </c>
      <c r="D137" s="51" t="s">
        <v>1557</v>
      </c>
      <c r="E137" s="53">
        <v>1.2</v>
      </c>
      <c r="F137" s="53" t="s">
        <v>1737</v>
      </c>
      <c r="G137" s="55" t="s">
        <v>1908</v>
      </c>
      <c r="H137" s="50">
        <f>12</f>
        <v>12</v>
      </c>
      <c r="I137" s="53">
        <v>1</v>
      </c>
      <c r="J137" s="66">
        <v>1936</v>
      </c>
      <c r="K137" s="66">
        <v>6849</v>
      </c>
      <c r="L137" s="66">
        <v>7.5</v>
      </c>
      <c r="M137" s="53">
        <f t="shared" si="0"/>
        <v>23.231999999999999</v>
      </c>
      <c r="N137" s="53">
        <f t="shared" si="1"/>
        <v>82.188000000000002</v>
      </c>
      <c r="O137" s="53">
        <f t="shared" si="2"/>
        <v>0.09</v>
      </c>
    </row>
    <row r="138" spans="1:15" ht="14.4">
      <c r="A138" s="75" t="s">
        <v>1576</v>
      </c>
      <c r="B138" s="76">
        <v>1</v>
      </c>
      <c r="C138" s="77" t="s">
        <v>1577</v>
      </c>
      <c r="D138" s="76" t="s">
        <v>1577</v>
      </c>
      <c r="E138" s="81"/>
      <c r="F138" s="81">
        <v>2.5</v>
      </c>
      <c r="G138" s="82" t="s">
        <v>1909</v>
      </c>
      <c r="H138" s="75">
        <f>2.5*4</f>
        <v>10</v>
      </c>
      <c r="I138" s="53">
        <v>1</v>
      </c>
      <c r="J138" s="64"/>
      <c r="K138" s="64"/>
      <c r="L138" s="64"/>
      <c r="M138" s="53">
        <f t="shared" si="0"/>
        <v>0</v>
      </c>
      <c r="N138" s="53">
        <f t="shared" si="1"/>
        <v>0</v>
      </c>
      <c r="O138" s="53">
        <f t="shared" si="2"/>
        <v>0</v>
      </c>
    </row>
    <row r="139" spans="1:15" ht="14.4">
      <c r="A139" s="75" t="s">
        <v>1670</v>
      </c>
      <c r="B139" s="76">
        <v>2</v>
      </c>
      <c r="C139" s="93">
        <v>46197</v>
      </c>
      <c r="D139" s="76">
        <v>30</v>
      </c>
      <c r="E139" s="94" t="s">
        <v>1737</v>
      </c>
      <c r="F139" s="53">
        <v>0.19</v>
      </c>
      <c r="G139" s="55" t="s">
        <v>1910</v>
      </c>
      <c r="H139" s="50">
        <f>30*0.19</f>
        <v>5.7</v>
      </c>
      <c r="I139" s="53">
        <v>0</v>
      </c>
      <c r="J139" s="64"/>
      <c r="K139" s="64"/>
      <c r="L139" s="64"/>
      <c r="M139" s="53">
        <f t="shared" si="0"/>
        <v>0</v>
      </c>
      <c r="N139" s="53">
        <f t="shared" si="1"/>
        <v>0</v>
      </c>
      <c r="O139" s="53">
        <f t="shared" si="2"/>
        <v>0</v>
      </c>
    </row>
    <row r="140" spans="1:15" ht="28.8">
      <c r="A140" s="75" t="s">
        <v>711</v>
      </c>
      <c r="B140" s="76">
        <v>12</v>
      </c>
      <c r="C140" s="77" t="s">
        <v>1911</v>
      </c>
      <c r="D140" s="76">
        <v>22</v>
      </c>
      <c r="E140" s="53" t="s">
        <v>1737</v>
      </c>
      <c r="F140" s="53">
        <v>0.25</v>
      </c>
      <c r="G140" s="55" t="s">
        <v>1912</v>
      </c>
      <c r="H140" s="50">
        <f>22*0.25</f>
        <v>5.5</v>
      </c>
      <c r="I140" s="53">
        <v>1</v>
      </c>
      <c r="J140" s="64"/>
      <c r="K140" s="64"/>
      <c r="L140" s="64"/>
      <c r="M140" s="53">
        <f t="shared" si="0"/>
        <v>0</v>
      </c>
      <c r="N140" s="53">
        <f t="shared" si="1"/>
        <v>0</v>
      </c>
      <c r="O140" s="53">
        <f t="shared" si="2"/>
        <v>0</v>
      </c>
    </row>
    <row r="141" spans="1:15" ht="14.4">
      <c r="A141" s="75" t="s">
        <v>1660</v>
      </c>
      <c r="B141" s="76">
        <v>2</v>
      </c>
      <c r="C141" s="77" t="s">
        <v>738</v>
      </c>
      <c r="D141" s="76" t="s">
        <v>738</v>
      </c>
      <c r="E141" s="53">
        <v>1.01</v>
      </c>
      <c r="F141" s="53"/>
      <c r="G141" s="55" t="s">
        <v>1913</v>
      </c>
      <c r="H141" s="50">
        <f>1.01*5</f>
        <v>5.05</v>
      </c>
      <c r="I141" s="53">
        <v>1</v>
      </c>
      <c r="J141" s="64"/>
      <c r="K141" s="64"/>
      <c r="L141" s="64"/>
      <c r="M141" s="53">
        <f t="shared" si="0"/>
        <v>0</v>
      </c>
      <c r="N141" s="53">
        <f t="shared" si="1"/>
        <v>0</v>
      </c>
      <c r="O141" s="53">
        <f t="shared" si="2"/>
        <v>0</v>
      </c>
    </row>
    <row r="142" spans="1:15" ht="28.8">
      <c r="A142" s="50" t="s">
        <v>1545</v>
      </c>
      <c r="B142" s="51">
        <v>4</v>
      </c>
      <c r="C142" s="52" t="s">
        <v>1914</v>
      </c>
      <c r="D142" s="51" t="s">
        <v>1915</v>
      </c>
      <c r="E142" s="53">
        <v>0.47</v>
      </c>
      <c r="F142" s="53" t="s">
        <v>1737</v>
      </c>
      <c r="G142" s="55" t="s">
        <v>1916</v>
      </c>
      <c r="H142" s="50">
        <f>8*0.47+0.5*0.47*5</f>
        <v>4.9349999999999996</v>
      </c>
      <c r="I142" s="53">
        <v>1</v>
      </c>
      <c r="J142" s="64"/>
      <c r="K142" s="64"/>
      <c r="L142" s="64"/>
      <c r="M142" s="53">
        <f t="shared" si="0"/>
        <v>0</v>
      </c>
      <c r="N142" s="53">
        <f t="shared" si="1"/>
        <v>0</v>
      </c>
      <c r="O142" s="53">
        <f t="shared" si="2"/>
        <v>0</v>
      </c>
    </row>
    <row r="143" spans="1:15" ht="28.8">
      <c r="A143" s="50" t="s">
        <v>1440</v>
      </c>
      <c r="B143" s="51">
        <v>62</v>
      </c>
      <c r="C143" s="52" t="s">
        <v>1917</v>
      </c>
      <c r="D143" s="51" t="s">
        <v>1918</v>
      </c>
      <c r="E143" s="53">
        <v>0.47</v>
      </c>
      <c r="F143" s="53" t="s">
        <v>1737</v>
      </c>
      <c r="G143" s="55" t="s">
        <v>1919</v>
      </c>
      <c r="H143" s="50">
        <f>(3/2)*5*0.47+2.5*0.47</f>
        <v>4.6999999999999993</v>
      </c>
      <c r="I143" s="53">
        <v>1</v>
      </c>
      <c r="J143" s="54">
        <v>1560</v>
      </c>
      <c r="K143" s="54">
        <v>236</v>
      </c>
      <c r="L143" s="54">
        <v>33.5</v>
      </c>
      <c r="M143" s="53">
        <f t="shared" si="0"/>
        <v>7.331999999999999</v>
      </c>
      <c r="N143" s="53">
        <f t="shared" si="1"/>
        <v>1.1091999999999997</v>
      </c>
      <c r="O143" s="53">
        <f t="shared" si="2"/>
        <v>0.15744999999999998</v>
      </c>
    </row>
    <row r="144" spans="1:15" ht="14.4">
      <c r="A144" s="50" t="s">
        <v>1543</v>
      </c>
      <c r="B144" s="51">
        <v>3</v>
      </c>
      <c r="C144" s="52" t="s">
        <v>1920</v>
      </c>
      <c r="D144" s="51" t="s">
        <v>1921</v>
      </c>
      <c r="E144" s="53">
        <v>0.48</v>
      </c>
      <c r="F144" s="53"/>
      <c r="G144" s="55" t="s">
        <v>1922</v>
      </c>
      <c r="H144" s="50">
        <f>8.75*0.48</f>
        <v>4.2</v>
      </c>
      <c r="I144" s="53">
        <v>1</v>
      </c>
      <c r="J144" s="54">
        <v>1560</v>
      </c>
      <c r="K144" s="54">
        <v>236</v>
      </c>
      <c r="L144" s="54">
        <v>33.5</v>
      </c>
      <c r="M144" s="53">
        <f t="shared" si="0"/>
        <v>6.5519999999999996</v>
      </c>
      <c r="N144" s="53">
        <f t="shared" si="1"/>
        <v>0.99120000000000008</v>
      </c>
      <c r="O144" s="53">
        <f t="shared" si="2"/>
        <v>0.14070000000000002</v>
      </c>
    </row>
    <row r="145" spans="1:15" ht="14.4">
      <c r="A145" s="75" t="s">
        <v>1491</v>
      </c>
      <c r="B145" s="76">
        <v>1</v>
      </c>
      <c r="C145" s="77">
        <v>4</v>
      </c>
      <c r="D145" s="76">
        <v>4</v>
      </c>
      <c r="E145" s="81"/>
      <c r="F145" s="81">
        <v>0.82</v>
      </c>
      <c r="G145" s="82" t="s">
        <v>1923</v>
      </c>
      <c r="H145" s="75">
        <f>4*0.82</f>
        <v>3.28</v>
      </c>
      <c r="I145" s="80"/>
      <c r="J145" s="64"/>
      <c r="K145" s="64"/>
      <c r="L145" s="64"/>
      <c r="M145" s="53">
        <f t="shared" si="0"/>
        <v>0</v>
      </c>
      <c r="N145" s="53">
        <f t="shared" si="1"/>
        <v>0</v>
      </c>
      <c r="O145" s="53">
        <f t="shared" si="2"/>
        <v>0</v>
      </c>
    </row>
    <row r="146" spans="1:15" ht="14.4">
      <c r="A146" s="50" t="s">
        <v>1487</v>
      </c>
      <c r="B146" s="51">
        <v>1</v>
      </c>
      <c r="C146" s="52" t="s">
        <v>1924</v>
      </c>
      <c r="D146" s="51" t="s">
        <v>1925</v>
      </c>
      <c r="E146" s="53" t="s">
        <v>1737</v>
      </c>
      <c r="F146" s="53" t="s">
        <v>1737</v>
      </c>
      <c r="G146" s="53" t="s">
        <v>1737</v>
      </c>
      <c r="H146" s="50">
        <v>3</v>
      </c>
      <c r="I146" s="53">
        <v>1</v>
      </c>
      <c r="J146" s="64"/>
      <c r="K146" s="64"/>
      <c r="L146" s="64"/>
      <c r="M146" s="53">
        <f t="shared" si="0"/>
        <v>0</v>
      </c>
      <c r="N146" s="53">
        <f t="shared" si="1"/>
        <v>0</v>
      </c>
      <c r="O146" s="53">
        <f t="shared" si="2"/>
        <v>0</v>
      </c>
    </row>
    <row r="147" spans="1:15" ht="28.8">
      <c r="A147" s="75" t="s">
        <v>1546</v>
      </c>
      <c r="B147" s="76">
        <v>2</v>
      </c>
      <c r="C147" s="77" t="s">
        <v>1926</v>
      </c>
      <c r="D147" s="76" t="s">
        <v>738</v>
      </c>
      <c r="E147" s="53">
        <v>0.56000000000000005</v>
      </c>
      <c r="F147" s="53" t="s">
        <v>1737</v>
      </c>
      <c r="G147" s="55" t="s">
        <v>1743</v>
      </c>
      <c r="H147" s="50">
        <f>5*0.56</f>
        <v>2.8000000000000003</v>
      </c>
      <c r="I147" s="53">
        <v>1</v>
      </c>
      <c r="J147" s="64"/>
      <c r="K147" s="64"/>
      <c r="L147" s="64"/>
      <c r="M147" s="53">
        <f t="shared" si="0"/>
        <v>0</v>
      </c>
      <c r="N147" s="53">
        <f t="shared" si="1"/>
        <v>0</v>
      </c>
      <c r="O147" s="53">
        <f t="shared" si="2"/>
        <v>0</v>
      </c>
    </row>
    <row r="148" spans="1:15" ht="14.4">
      <c r="A148" s="59" t="s">
        <v>1615</v>
      </c>
      <c r="B148" s="60">
        <v>2</v>
      </c>
      <c r="C148" s="61" t="s">
        <v>1927</v>
      </c>
      <c r="D148" s="60" t="s">
        <v>1928</v>
      </c>
      <c r="E148" s="63" t="s">
        <v>1737</v>
      </c>
      <c r="F148" s="62">
        <v>0.49</v>
      </c>
      <c r="G148" s="83" t="s">
        <v>1929</v>
      </c>
      <c r="H148" s="60">
        <f>5*3/4*0.49</f>
        <v>1.8374999999999999</v>
      </c>
      <c r="I148" s="62">
        <v>1</v>
      </c>
      <c r="J148" s="86"/>
      <c r="K148" s="86"/>
      <c r="L148" s="86"/>
      <c r="M148" s="62">
        <f t="shared" si="0"/>
        <v>0</v>
      </c>
      <c r="N148" s="62">
        <f t="shared" si="1"/>
        <v>0</v>
      </c>
      <c r="O148" s="62">
        <f t="shared" si="2"/>
        <v>0</v>
      </c>
    </row>
    <row r="149" spans="1:15" ht="14.4">
      <c r="A149" s="50" t="s">
        <v>1676</v>
      </c>
      <c r="B149" s="51">
        <v>1</v>
      </c>
      <c r="C149" s="52" t="s">
        <v>738</v>
      </c>
      <c r="D149" s="51" t="s">
        <v>738</v>
      </c>
      <c r="E149" s="95">
        <v>0.34050000000000002</v>
      </c>
      <c r="F149" s="53" t="s">
        <v>1737</v>
      </c>
      <c r="G149" s="55" t="s">
        <v>1930</v>
      </c>
      <c r="H149" s="50">
        <f>0.3405*5</f>
        <v>1.7025000000000001</v>
      </c>
      <c r="I149" s="53">
        <v>1</v>
      </c>
      <c r="J149" s="78"/>
      <c r="K149" s="78"/>
      <c r="L149" s="78"/>
      <c r="M149" s="53">
        <f t="shared" si="0"/>
        <v>0</v>
      </c>
      <c r="N149" s="53">
        <f t="shared" si="1"/>
        <v>0</v>
      </c>
      <c r="O149" s="53">
        <f t="shared" si="2"/>
        <v>0</v>
      </c>
    </row>
    <row r="150" spans="1:15" ht="14.4">
      <c r="A150" s="59" t="s">
        <v>662</v>
      </c>
      <c r="B150" s="60">
        <v>2</v>
      </c>
      <c r="C150" s="61" t="s">
        <v>1931</v>
      </c>
      <c r="D150" s="60" t="s">
        <v>1932</v>
      </c>
      <c r="E150" s="62">
        <v>0.2</v>
      </c>
      <c r="F150" s="63" t="s">
        <v>1737</v>
      </c>
      <c r="G150" s="83" t="s">
        <v>1933</v>
      </c>
      <c r="H150" s="96">
        <f>5*(3/2)*0.2</f>
        <v>1.5</v>
      </c>
      <c r="I150" s="62">
        <v>1</v>
      </c>
      <c r="J150" s="97">
        <v>337</v>
      </c>
      <c r="K150" s="97">
        <v>416</v>
      </c>
      <c r="L150" s="97">
        <v>1.9</v>
      </c>
      <c r="M150" s="62">
        <f t="shared" si="0"/>
        <v>0.50549999999999995</v>
      </c>
      <c r="N150" s="62">
        <f t="shared" si="1"/>
        <v>0.624</v>
      </c>
      <c r="O150" s="62">
        <f t="shared" si="2"/>
        <v>2.8499999999999997E-3</v>
      </c>
    </row>
    <row r="151" spans="1:15" ht="14.4">
      <c r="A151" s="50" t="s">
        <v>1616</v>
      </c>
      <c r="B151" s="51">
        <v>2</v>
      </c>
      <c r="C151" s="52" t="s">
        <v>1934</v>
      </c>
      <c r="D151" s="51" t="s">
        <v>1935</v>
      </c>
      <c r="E151" s="53">
        <v>0.41</v>
      </c>
      <c r="F151" s="53" t="s">
        <v>1737</v>
      </c>
      <c r="G151" s="55" t="s">
        <v>1936</v>
      </c>
      <c r="H151" s="50">
        <f>2/4*0.41*5</f>
        <v>1.0249999999999999</v>
      </c>
      <c r="I151" s="53">
        <v>1</v>
      </c>
      <c r="J151" s="54">
        <v>1560</v>
      </c>
      <c r="K151" s="54">
        <v>236</v>
      </c>
      <c r="L151" s="54">
        <v>33.5</v>
      </c>
      <c r="M151" s="53">
        <f t="shared" si="0"/>
        <v>1.5989999999999998</v>
      </c>
      <c r="N151" s="53">
        <f t="shared" si="1"/>
        <v>0.24189999999999998</v>
      </c>
      <c r="O151" s="53">
        <f t="shared" si="2"/>
        <v>3.43375E-2</v>
      </c>
    </row>
    <row r="152" spans="1:15" ht="14.4">
      <c r="A152" s="50" t="s">
        <v>1622</v>
      </c>
      <c r="B152" s="51">
        <v>1</v>
      </c>
      <c r="C152" s="52" t="s">
        <v>1519</v>
      </c>
      <c r="D152" s="50" t="s">
        <v>1519</v>
      </c>
      <c r="E152" s="53">
        <v>0.81</v>
      </c>
      <c r="F152" s="53" t="s">
        <v>1737</v>
      </c>
      <c r="G152" s="55" t="s">
        <v>1937</v>
      </c>
      <c r="H152" s="50">
        <f>1/4*0.81*5</f>
        <v>1.0125000000000002</v>
      </c>
      <c r="I152" s="53">
        <v>1</v>
      </c>
      <c r="J152" s="54">
        <v>337</v>
      </c>
      <c r="K152" s="54">
        <v>416</v>
      </c>
      <c r="L152" s="54">
        <v>1.9</v>
      </c>
      <c r="M152" s="53">
        <f t="shared" si="0"/>
        <v>0.34121250000000003</v>
      </c>
      <c r="N152" s="53">
        <f t="shared" si="1"/>
        <v>0.42120000000000002</v>
      </c>
      <c r="O152" s="53">
        <f t="shared" si="2"/>
        <v>1.9237500000000003E-3</v>
      </c>
    </row>
    <row r="153" spans="1:15" ht="14.4">
      <c r="A153" s="75" t="s">
        <v>1718</v>
      </c>
      <c r="B153" s="76">
        <v>1</v>
      </c>
      <c r="C153" s="75">
        <v>1</v>
      </c>
      <c r="D153" s="81">
        <v>1</v>
      </c>
      <c r="E153" s="53" t="s">
        <v>1737</v>
      </c>
      <c r="F153" s="53">
        <v>0.85</v>
      </c>
      <c r="G153" s="55" t="s">
        <v>1938</v>
      </c>
      <c r="H153" s="50">
        <v>0.85</v>
      </c>
      <c r="I153" s="53">
        <v>1</v>
      </c>
      <c r="J153" s="64"/>
      <c r="K153" s="64"/>
      <c r="L153" s="64"/>
      <c r="M153" s="53">
        <f t="shared" si="0"/>
        <v>0</v>
      </c>
      <c r="N153" s="53">
        <f t="shared" si="1"/>
        <v>0</v>
      </c>
      <c r="O153" s="53">
        <f t="shared" si="2"/>
        <v>0</v>
      </c>
    </row>
    <row r="154" spans="1:15" ht="14.4">
      <c r="A154" s="59" t="s">
        <v>1518</v>
      </c>
      <c r="B154" s="60">
        <v>1</v>
      </c>
      <c r="C154" s="61" t="s">
        <v>1519</v>
      </c>
      <c r="D154" s="60" t="s">
        <v>1939</v>
      </c>
      <c r="E154" s="62">
        <v>0.64</v>
      </c>
      <c r="F154" s="63" t="s">
        <v>1737</v>
      </c>
      <c r="G154" s="65" t="s">
        <v>1940</v>
      </c>
      <c r="H154" s="60">
        <f>1/4*5*0.64</f>
        <v>0.8</v>
      </c>
      <c r="I154" s="62">
        <v>1</v>
      </c>
      <c r="J154" s="86"/>
      <c r="K154" s="86"/>
      <c r="L154" s="86"/>
      <c r="M154" s="62">
        <f t="shared" si="0"/>
        <v>0</v>
      </c>
      <c r="N154" s="62">
        <f t="shared" si="1"/>
        <v>0</v>
      </c>
      <c r="O154" s="62">
        <f t="shared" si="2"/>
        <v>0</v>
      </c>
    </row>
    <row r="155" spans="1:15" ht="13.2">
      <c r="J155" s="45"/>
      <c r="K155" s="45"/>
      <c r="L155" s="45"/>
    </row>
    <row r="156" spans="1:15" ht="13.2">
      <c r="J156" s="45"/>
      <c r="K156" s="45"/>
      <c r="L156" s="45"/>
    </row>
    <row r="157" spans="1:15" ht="13.2">
      <c r="J157" s="45"/>
      <c r="K157" s="45"/>
      <c r="L157" s="45"/>
    </row>
    <row r="158" spans="1:15" ht="13.2">
      <c r="J158" s="45"/>
      <c r="K158" s="45"/>
      <c r="L158" s="45"/>
    </row>
    <row r="159" spans="1:15" ht="13.2">
      <c r="J159" s="45"/>
      <c r="K159" s="45"/>
      <c r="L159" s="45"/>
    </row>
    <row r="160" spans="1:15" ht="13.2">
      <c r="J160" s="45"/>
      <c r="K160" s="45"/>
      <c r="L160" s="45"/>
    </row>
    <row r="161" spans="10:12" ht="13.2">
      <c r="J161" s="45"/>
      <c r="K161" s="45"/>
      <c r="L161" s="45"/>
    </row>
    <row r="162" spans="10:12" ht="13.2">
      <c r="J162" s="45"/>
      <c r="K162" s="45"/>
      <c r="L162" s="45"/>
    </row>
    <row r="163" spans="10:12" ht="13.2">
      <c r="J163" s="45"/>
      <c r="K163" s="45"/>
      <c r="L163" s="45"/>
    </row>
    <row r="164" spans="10:12" ht="13.2">
      <c r="J164" s="45"/>
      <c r="K164" s="45"/>
      <c r="L164" s="45"/>
    </row>
    <row r="165" spans="10:12" ht="13.2">
      <c r="J165" s="45"/>
      <c r="K165" s="45"/>
      <c r="L165" s="45"/>
    </row>
    <row r="166" spans="10:12" ht="13.2">
      <c r="J166" s="45"/>
      <c r="K166" s="45"/>
      <c r="L166" s="45"/>
    </row>
    <row r="167" spans="10:12" ht="13.2">
      <c r="J167" s="45"/>
      <c r="K167" s="45"/>
      <c r="L167" s="45"/>
    </row>
    <row r="168" spans="10:12" ht="13.2">
      <c r="J168" s="45"/>
      <c r="K168" s="45"/>
      <c r="L168" s="45"/>
    </row>
    <row r="169" spans="10:12" ht="13.2">
      <c r="J169" s="45"/>
      <c r="K169" s="45"/>
      <c r="L169" s="45"/>
    </row>
    <row r="170" spans="10:12" ht="13.2">
      <c r="J170" s="45"/>
      <c r="K170" s="45"/>
      <c r="L170" s="45"/>
    </row>
    <row r="171" spans="10:12" ht="13.2">
      <c r="J171" s="45"/>
      <c r="K171" s="45"/>
      <c r="L171" s="45"/>
    </row>
    <row r="172" spans="10:12" ht="13.2">
      <c r="J172" s="45"/>
      <c r="K172" s="45"/>
      <c r="L172" s="45"/>
    </row>
    <row r="173" spans="10:12" ht="13.2">
      <c r="J173" s="45"/>
      <c r="K173" s="45"/>
      <c r="L173" s="45"/>
    </row>
    <row r="174" spans="10:12" ht="13.2">
      <c r="J174" s="45"/>
      <c r="K174" s="45"/>
      <c r="L174" s="45"/>
    </row>
    <row r="175" spans="10:12" ht="13.2">
      <c r="J175" s="45"/>
      <c r="K175" s="45"/>
      <c r="L175" s="45"/>
    </row>
    <row r="176" spans="10:12" ht="13.2">
      <c r="J176" s="45"/>
      <c r="K176" s="45"/>
      <c r="L176" s="45"/>
    </row>
    <row r="177" spans="10:12" ht="13.2">
      <c r="J177" s="45"/>
      <c r="K177" s="45"/>
      <c r="L177" s="45"/>
    </row>
    <row r="178" spans="10:12" ht="13.2">
      <c r="J178" s="45"/>
      <c r="K178" s="45"/>
      <c r="L178" s="45"/>
    </row>
    <row r="179" spans="10:12" ht="13.2">
      <c r="J179" s="45"/>
      <c r="K179" s="45"/>
      <c r="L179" s="45"/>
    </row>
    <row r="180" spans="10:12" ht="13.2">
      <c r="J180" s="45"/>
      <c r="K180" s="45"/>
      <c r="L180" s="45"/>
    </row>
    <row r="181" spans="10:12" ht="13.2">
      <c r="J181" s="45"/>
      <c r="K181" s="45"/>
      <c r="L181" s="45"/>
    </row>
    <row r="182" spans="10:12" ht="13.2">
      <c r="J182" s="45"/>
      <c r="K182" s="45"/>
      <c r="L182" s="45"/>
    </row>
    <row r="183" spans="10:12" ht="13.2">
      <c r="J183" s="45"/>
      <c r="K183" s="45"/>
      <c r="L183" s="45"/>
    </row>
    <row r="184" spans="10:12" ht="13.2">
      <c r="J184" s="45"/>
      <c r="K184" s="45"/>
      <c r="L184" s="45"/>
    </row>
    <row r="185" spans="10:12" ht="13.2">
      <c r="J185" s="45"/>
      <c r="K185" s="45"/>
      <c r="L185" s="45"/>
    </row>
    <row r="186" spans="10:12" ht="13.2">
      <c r="J186" s="45"/>
      <c r="K186" s="45"/>
      <c r="L186" s="45"/>
    </row>
    <row r="187" spans="10:12" ht="13.2">
      <c r="J187" s="45"/>
      <c r="K187" s="45"/>
      <c r="L187" s="45"/>
    </row>
    <row r="188" spans="10:12" ht="13.2">
      <c r="J188" s="45"/>
      <c r="K188" s="45"/>
      <c r="L188" s="45"/>
    </row>
    <row r="189" spans="10:12" ht="13.2">
      <c r="J189" s="45"/>
      <c r="K189" s="45"/>
      <c r="L189" s="45"/>
    </row>
    <row r="190" spans="10:12" ht="13.2">
      <c r="J190" s="45"/>
      <c r="K190" s="45"/>
      <c r="L190" s="45"/>
    </row>
    <row r="191" spans="10:12" ht="13.2">
      <c r="J191" s="45"/>
      <c r="K191" s="45"/>
      <c r="L191" s="45"/>
    </row>
    <row r="192" spans="10:12" ht="13.2">
      <c r="J192" s="45"/>
      <c r="K192" s="45"/>
      <c r="L192" s="45"/>
    </row>
    <row r="193" spans="10:12" ht="13.2">
      <c r="J193" s="45"/>
      <c r="K193" s="45"/>
      <c r="L193" s="45"/>
    </row>
    <row r="194" spans="10:12" ht="13.2">
      <c r="J194" s="45"/>
      <c r="K194" s="45"/>
      <c r="L194" s="45"/>
    </row>
    <row r="195" spans="10:12" ht="13.2">
      <c r="J195" s="45"/>
      <c r="K195" s="45"/>
      <c r="L195" s="45"/>
    </row>
    <row r="196" spans="10:12" ht="13.2">
      <c r="J196" s="45"/>
      <c r="K196" s="45"/>
      <c r="L196" s="45"/>
    </row>
    <row r="197" spans="10:12" ht="13.2">
      <c r="J197" s="45"/>
      <c r="K197" s="45"/>
      <c r="L197" s="45"/>
    </row>
    <row r="198" spans="10:12" ht="13.2">
      <c r="J198" s="45"/>
      <c r="K198" s="45"/>
      <c r="L198" s="45"/>
    </row>
    <row r="199" spans="10:12" ht="13.2">
      <c r="J199" s="45"/>
      <c r="K199" s="45"/>
      <c r="L199" s="45"/>
    </row>
    <row r="200" spans="10:12" ht="13.2">
      <c r="J200" s="45"/>
      <c r="K200" s="45"/>
      <c r="L200" s="45"/>
    </row>
    <row r="201" spans="10:12" ht="13.2">
      <c r="J201" s="45"/>
      <c r="K201" s="45"/>
      <c r="L201" s="45"/>
    </row>
    <row r="202" spans="10:12" ht="13.2">
      <c r="J202" s="45"/>
      <c r="K202" s="45"/>
      <c r="L202" s="45"/>
    </row>
    <row r="203" spans="10:12" ht="13.2">
      <c r="J203" s="45"/>
      <c r="K203" s="45"/>
      <c r="L203" s="45"/>
    </row>
    <row r="204" spans="10:12" ht="13.2">
      <c r="J204" s="45"/>
      <c r="K204" s="45"/>
      <c r="L204" s="45"/>
    </row>
    <row r="205" spans="10:12" ht="13.2">
      <c r="J205" s="45"/>
      <c r="K205" s="45"/>
      <c r="L205" s="45"/>
    </row>
    <row r="206" spans="10:12" ht="13.2">
      <c r="J206" s="45"/>
      <c r="K206" s="45"/>
      <c r="L206" s="45"/>
    </row>
    <row r="207" spans="10:12" ht="13.2">
      <c r="J207" s="45"/>
      <c r="K207" s="45"/>
      <c r="L207" s="45"/>
    </row>
    <row r="208" spans="10:12" ht="13.2">
      <c r="J208" s="45"/>
      <c r="K208" s="45"/>
      <c r="L208" s="45"/>
    </row>
    <row r="209" spans="10:12" ht="13.2">
      <c r="J209" s="45"/>
      <c r="K209" s="45"/>
      <c r="L209" s="45"/>
    </row>
    <row r="210" spans="10:12" ht="13.2">
      <c r="J210" s="45"/>
      <c r="K210" s="45"/>
      <c r="L210" s="45"/>
    </row>
    <row r="211" spans="10:12" ht="13.2">
      <c r="J211" s="45"/>
      <c r="K211" s="45"/>
      <c r="L211" s="45"/>
    </row>
    <row r="212" spans="10:12" ht="13.2">
      <c r="J212" s="45"/>
      <c r="K212" s="45"/>
      <c r="L212" s="45"/>
    </row>
    <row r="213" spans="10:12" ht="13.2">
      <c r="J213" s="45"/>
      <c r="K213" s="45"/>
      <c r="L213" s="45"/>
    </row>
    <row r="214" spans="10:12" ht="13.2">
      <c r="J214" s="45"/>
      <c r="K214" s="45"/>
      <c r="L214" s="45"/>
    </row>
    <row r="215" spans="10:12" ht="13.2">
      <c r="J215" s="45"/>
      <c r="K215" s="45"/>
      <c r="L215" s="45"/>
    </row>
    <row r="216" spans="10:12" ht="13.2">
      <c r="J216" s="45"/>
      <c r="K216" s="45"/>
      <c r="L216" s="45"/>
    </row>
    <row r="217" spans="10:12" ht="13.2">
      <c r="J217" s="45"/>
      <c r="K217" s="45"/>
      <c r="L217" s="45"/>
    </row>
    <row r="218" spans="10:12" ht="13.2">
      <c r="J218" s="45"/>
      <c r="K218" s="45"/>
      <c r="L218" s="45"/>
    </row>
    <row r="219" spans="10:12" ht="13.2">
      <c r="J219" s="45"/>
      <c r="K219" s="45"/>
      <c r="L219" s="45"/>
    </row>
    <row r="220" spans="10:12" ht="13.2">
      <c r="J220" s="45"/>
      <c r="K220" s="45"/>
      <c r="L220" s="45"/>
    </row>
    <row r="221" spans="10:12" ht="13.2">
      <c r="J221" s="45"/>
      <c r="K221" s="45"/>
      <c r="L221" s="45"/>
    </row>
    <row r="222" spans="10:12" ht="13.2">
      <c r="J222" s="45"/>
      <c r="K222" s="45"/>
      <c r="L222" s="45"/>
    </row>
    <row r="223" spans="10:12" ht="13.2">
      <c r="J223" s="45"/>
      <c r="K223" s="45"/>
      <c r="L223" s="45"/>
    </row>
    <row r="224" spans="10:12" ht="13.2">
      <c r="J224" s="45"/>
      <c r="K224" s="45"/>
      <c r="L224" s="45"/>
    </row>
    <row r="225" spans="10:12" ht="13.2">
      <c r="J225" s="45"/>
      <c r="K225" s="45"/>
      <c r="L225" s="45"/>
    </row>
    <row r="226" spans="10:12" ht="13.2">
      <c r="J226" s="45"/>
      <c r="K226" s="45"/>
      <c r="L226" s="45"/>
    </row>
    <row r="227" spans="10:12" ht="13.2">
      <c r="J227" s="45"/>
      <c r="K227" s="45"/>
      <c r="L227" s="45"/>
    </row>
    <row r="228" spans="10:12" ht="13.2">
      <c r="J228" s="45"/>
      <c r="K228" s="45"/>
      <c r="L228" s="45"/>
    </row>
    <row r="229" spans="10:12" ht="13.2">
      <c r="J229" s="45"/>
      <c r="K229" s="45"/>
      <c r="L229" s="45"/>
    </row>
    <row r="230" spans="10:12" ht="13.2">
      <c r="J230" s="45"/>
      <c r="K230" s="45"/>
      <c r="L230" s="45"/>
    </row>
    <row r="231" spans="10:12" ht="13.2">
      <c r="J231" s="45"/>
      <c r="K231" s="45"/>
      <c r="L231" s="45"/>
    </row>
    <row r="232" spans="10:12" ht="13.2">
      <c r="J232" s="45"/>
      <c r="K232" s="45"/>
      <c r="L232" s="45"/>
    </row>
    <row r="233" spans="10:12" ht="13.2">
      <c r="J233" s="45"/>
      <c r="K233" s="45"/>
      <c r="L233" s="45"/>
    </row>
    <row r="234" spans="10:12" ht="13.2">
      <c r="J234" s="45"/>
      <c r="K234" s="45"/>
      <c r="L234" s="45"/>
    </row>
    <row r="235" spans="10:12" ht="13.2">
      <c r="J235" s="45"/>
      <c r="K235" s="45"/>
      <c r="L235" s="45"/>
    </row>
    <row r="236" spans="10:12" ht="13.2">
      <c r="J236" s="45"/>
      <c r="K236" s="45"/>
      <c r="L236" s="45"/>
    </row>
    <row r="237" spans="10:12" ht="13.2">
      <c r="J237" s="45"/>
      <c r="K237" s="45"/>
      <c r="L237" s="45"/>
    </row>
    <row r="238" spans="10:12" ht="13.2">
      <c r="J238" s="45"/>
      <c r="K238" s="45"/>
      <c r="L238" s="45"/>
    </row>
    <row r="239" spans="10:12" ht="13.2">
      <c r="J239" s="45"/>
      <c r="K239" s="45"/>
      <c r="L239" s="45"/>
    </row>
    <row r="240" spans="10:12" ht="13.2">
      <c r="J240" s="45"/>
      <c r="K240" s="45"/>
      <c r="L240" s="45"/>
    </row>
    <row r="241" spans="10:12" ht="13.2">
      <c r="J241" s="45"/>
      <c r="K241" s="45"/>
      <c r="L241" s="45"/>
    </row>
    <row r="242" spans="10:12" ht="13.2">
      <c r="J242" s="45"/>
      <c r="K242" s="45"/>
      <c r="L242" s="45"/>
    </row>
    <row r="243" spans="10:12" ht="13.2">
      <c r="J243" s="45"/>
      <c r="K243" s="45"/>
      <c r="L243" s="45"/>
    </row>
    <row r="244" spans="10:12" ht="13.2">
      <c r="J244" s="45"/>
      <c r="K244" s="45"/>
      <c r="L244" s="45"/>
    </row>
    <row r="245" spans="10:12" ht="13.2">
      <c r="J245" s="45"/>
      <c r="K245" s="45"/>
      <c r="L245" s="45"/>
    </row>
    <row r="246" spans="10:12" ht="13.2">
      <c r="J246" s="45"/>
      <c r="K246" s="45"/>
      <c r="L246" s="45"/>
    </row>
    <row r="247" spans="10:12" ht="13.2">
      <c r="J247" s="45"/>
      <c r="K247" s="45"/>
      <c r="L247" s="45"/>
    </row>
    <row r="248" spans="10:12" ht="13.2">
      <c r="J248" s="45"/>
      <c r="K248" s="45"/>
      <c r="L248" s="45"/>
    </row>
    <row r="249" spans="10:12" ht="13.2">
      <c r="J249" s="45"/>
      <c r="K249" s="45"/>
      <c r="L249" s="45"/>
    </row>
    <row r="250" spans="10:12" ht="13.2">
      <c r="J250" s="45"/>
      <c r="K250" s="45"/>
      <c r="L250" s="45"/>
    </row>
    <row r="251" spans="10:12" ht="13.2">
      <c r="J251" s="45"/>
      <c r="K251" s="45"/>
      <c r="L251" s="45"/>
    </row>
    <row r="252" spans="10:12" ht="13.2">
      <c r="J252" s="45"/>
      <c r="K252" s="45"/>
      <c r="L252" s="45"/>
    </row>
    <row r="253" spans="10:12" ht="13.2">
      <c r="J253" s="45"/>
      <c r="K253" s="45"/>
      <c r="L253" s="45"/>
    </row>
    <row r="254" spans="10:12" ht="13.2">
      <c r="J254" s="45"/>
      <c r="K254" s="45"/>
      <c r="L254" s="45"/>
    </row>
    <row r="255" spans="10:12" ht="13.2">
      <c r="J255" s="45"/>
      <c r="K255" s="45"/>
      <c r="L255" s="45"/>
    </row>
    <row r="256" spans="10:12" ht="13.2">
      <c r="J256" s="45"/>
      <c r="K256" s="45"/>
      <c r="L256" s="45"/>
    </row>
    <row r="257" spans="10:12" ht="13.2">
      <c r="J257" s="45"/>
      <c r="K257" s="45"/>
      <c r="L257" s="45"/>
    </row>
    <row r="258" spans="10:12" ht="13.2">
      <c r="J258" s="45"/>
      <c r="K258" s="45"/>
      <c r="L258" s="45"/>
    </row>
    <row r="259" spans="10:12" ht="13.2">
      <c r="J259" s="45"/>
      <c r="K259" s="45"/>
      <c r="L259" s="45"/>
    </row>
    <row r="260" spans="10:12" ht="13.2">
      <c r="J260" s="45"/>
      <c r="K260" s="45"/>
      <c r="L260" s="45"/>
    </row>
    <row r="261" spans="10:12" ht="13.2">
      <c r="J261" s="45"/>
      <c r="K261" s="45"/>
      <c r="L261" s="45"/>
    </row>
    <row r="262" spans="10:12" ht="13.2">
      <c r="J262" s="45"/>
      <c r="K262" s="45"/>
      <c r="L262" s="45"/>
    </row>
    <row r="263" spans="10:12" ht="13.2">
      <c r="J263" s="45"/>
      <c r="K263" s="45"/>
      <c r="L263" s="45"/>
    </row>
    <row r="264" spans="10:12" ht="13.2">
      <c r="J264" s="45"/>
      <c r="K264" s="45"/>
      <c r="L264" s="45"/>
    </row>
    <row r="265" spans="10:12" ht="13.2">
      <c r="J265" s="45"/>
      <c r="K265" s="45"/>
      <c r="L265" s="45"/>
    </row>
    <row r="266" spans="10:12" ht="13.2">
      <c r="J266" s="45"/>
      <c r="K266" s="45"/>
      <c r="L266" s="45"/>
    </row>
    <row r="267" spans="10:12" ht="13.2">
      <c r="J267" s="45"/>
      <c r="K267" s="45"/>
      <c r="L267" s="45"/>
    </row>
    <row r="268" spans="10:12" ht="13.2">
      <c r="J268" s="45"/>
      <c r="K268" s="45"/>
      <c r="L268" s="45"/>
    </row>
    <row r="269" spans="10:12" ht="13.2">
      <c r="J269" s="45"/>
      <c r="K269" s="45"/>
      <c r="L269" s="45"/>
    </row>
    <row r="270" spans="10:12" ht="13.2">
      <c r="J270" s="45"/>
      <c r="K270" s="45"/>
      <c r="L270" s="45"/>
    </row>
    <row r="271" spans="10:12" ht="13.2">
      <c r="J271" s="45"/>
      <c r="K271" s="45"/>
      <c r="L271" s="45"/>
    </row>
    <row r="272" spans="10:12" ht="13.2">
      <c r="J272" s="45"/>
      <c r="K272" s="45"/>
      <c r="L272" s="45"/>
    </row>
    <row r="273" spans="10:12" ht="13.2">
      <c r="J273" s="45"/>
      <c r="K273" s="45"/>
      <c r="L273" s="45"/>
    </row>
    <row r="274" spans="10:12" ht="13.2">
      <c r="J274" s="45"/>
      <c r="K274" s="45"/>
      <c r="L274" s="45"/>
    </row>
    <row r="275" spans="10:12" ht="13.2">
      <c r="J275" s="45"/>
      <c r="K275" s="45"/>
      <c r="L275" s="45"/>
    </row>
    <row r="276" spans="10:12" ht="13.2">
      <c r="J276" s="45"/>
      <c r="K276" s="45"/>
      <c r="L276" s="45"/>
    </row>
    <row r="277" spans="10:12" ht="13.2">
      <c r="J277" s="45"/>
      <c r="K277" s="45"/>
      <c r="L277" s="45"/>
    </row>
    <row r="278" spans="10:12" ht="13.2">
      <c r="J278" s="45"/>
      <c r="K278" s="45"/>
      <c r="L278" s="45"/>
    </row>
    <row r="279" spans="10:12" ht="13.2">
      <c r="J279" s="45"/>
      <c r="K279" s="45"/>
      <c r="L279" s="45"/>
    </row>
    <row r="280" spans="10:12" ht="13.2">
      <c r="J280" s="45"/>
      <c r="K280" s="45"/>
      <c r="L280" s="45"/>
    </row>
    <row r="281" spans="10:12" ht="13.2">
      <c r="J281" s="45"/>
      <c r="K281" s="45"/>
      <c r="L281" s="45"/>
    </row>
    <row r="282" spans="10:12" ht="13.2">
      <c r="J282" s="45"/>
      <c r="K282" s="45"/>
      <c r="L282" s="45"/>
    </row>
    <row r="283" spans="10:12" ht="13.2">
      <c r="J283" s="45"/>
      <c r="K283" s="45"/>
      <c r="L283" s="45"/>
    </row>
    <row r="284" spans="10:12" ht="13.2">
      <c r="J284" s="45"/>
      <c r="K284" s="45"/>
      <c r="L284" s="45"/>
    </row>
    <row r="285" spans="10:12" ht="13.2">
      <c r="J285" s="45"/>
      <c r="K285" s="45"/>
      <c r="L285" s="45"/>
    </row>
    <row r="286" spans="10:12" ht="13.2">
      <c r="J286" s="45"/>
      <c r="K286" s="45"/>
      <c r="L286" s="45"/>
    </row>
    <row r="287" spans="10:12" ht="13.2">
      <c r="J287" s="45"/>
      <c r="K287" s="45"/>
      <c r="L287" s="45"/>
    </row>
    <row r="288" spans="10:12" ht="13.2">
      <c r="J288" s="45"/>
      <c r="K288" s="45"/>
      <c r="L288" s="45"/>
    </row>
    <row r="289" spans="10:12" ht="13.2">
      <c r="J289" s="45"/>
      <c r="K289" s="45"/>
      <c r="L289" s="45"/>
    </row>
    <row r="290" spans="10:12" ht="13.2">
      <c r="J290" s="45"/>
      <c r="K290" s="45"/>
      <c r="L290" s="45"/>
    </row>
    <row r="291" spans="10:12" ht="13.2">
      <c r="J291" s="45"/>
      <c r="K291" s="45"/>
      <c r="L291" s="45"/>
    </row>
    <row r="292" spans="10:12" ht="13.2">
      <c r="J292" s="45"/>
      <c r="K292" s="45"/>
      <c r="L292" s="45"/>
    </row>
    <row r="293" spans="10:12" ht="13.2">
      <c r="J293" s="45"/>
      <c r="K293" s="45"/>
      <c r="L293" s="45"/>
    </row>
    <row r="294" spans="10:12" ht="13.2">
      <c r="J294" s="45"/>
      <c r="K294" s="45"/>
      <c r="L294" s="45"/>
    </row>
    <row r="295" spans="10:12" ht="13.2">
      <c r="J295" s="45"/>
      <c r="K295" s="45"/>
      <c r="L295" s="45"/>
    </row>
    <row r="296" spans="10:12" ht="13.2">
      <c r="J296" s="45"/>
      <c r="K296" s="45"/>
      <c r="L296" s="45"/>
    </row>
    <row r="297" spans="10:12" ht="13.2">
      <c r="J297" s="45"/>
      <c r="K297" s="45"/>
      <c r="L297" s="45"/>
    </row>
    <row r="298" spans="10:12" ht="13.2">
      <c r="J298" s="45"/>
      <c r="K298" s="45"/>
      <c r="L298" s="45"/>
    </row>
    <row r="299" spans="10:12" ht="13.2">
      <c r="J299" s="45"/>
      <c r="K299" s="45"/>
      <c r="L299" s="45"/>
    </row>
    <row r="300" spans="10:12" ht="13.2">
      <c r="J300" s="45"/>
      <c r="K300" s="45"/>
      <c r="L300" s="45"/>
    </row>
    <row r="301" spans="10:12" ht="13.2">
      <c r="J301" s="45"/>
      <c r="K301" s="45"/>
      <c r="L301" s="45"/>
    </row>
    <row r="302" spans="10:12" ht="13.2">
      <c r="J302" s="45"/>
      <c r="K302" s="45"/>
      <c r="L302" s="45"/>
    </row>
    <row r="303" spans="10:12" ht="13.2">
      <c r="J303" s="45"/>
      <c r="K303" s="45"/>
      <c r="L303" s="45"/>
    </row>
    <row r="304" spans="10:12" ht="13.2">
      <c r="J304" s="45"/>
      <c r="K304" s="45"/>
      <c r="L304" s="45"/>
    </row>
    <row r="305" spans="10:12" ht="13.2">
      <c r="J305" s="45"/>
      <c r="K305" s="45"/>
      <c r="L305" s="45"/>
    </row>
    <row r="306" spans="10:12" ht="13.2">
      <c r="J306" s="45"/>
      <c r="K306" s="45"/>
      <c r="L306" s="45"/>
    </row>
    <row r="307" spans="10:12" ht="13.2">
      <c r="J307" s="45"/>
      <c r="K307" s="45"/>
      <c r="L307" s="45"/>
    </row>
    <row r="308" spans="10:12" ht="13.2">
      <c r="J308" s="45"/>
      <c r="K308" s="45"/>
      <c r="L308" s="45"/>
    </row>
    <row r="309" spans="10:12" ht="13.2">
      <c r="J309" s="45"/>
      <c r="K309" s="45"/>
      <c r="L309" s="45"/>
    </row>
    <row r="310" spans="10:12" ht="13.2">
      <c r="J310" s="45"/>
      <c r="K310" s="45"/>
      <c r="L310" s="45"/>
    </row>
    <row r="311" spans="10:12" ht="13.2">
      <c r="J311" s="45"/>
      <c r="K311" s="45"/>
      <c r="L311" s="45"/>
    </row>
    <row r="312" spans="10:12" ht="13.2">
      <c r="J312" s="45"/>
      <c r="K312" s="45"/>
      <c r="L312" s="45"/>
    </row>
    <row r="313" spans="10:12" ht="13.2">
      <c r="J313" s="45"/>
      <c r="K313" s="45"/>
      <c r="L313" s="45"/>
    </row>
    <row r="314" spans="10:12" ht="13.2">
      <c r="J314" s="45"/>
      <c r="K314" s="45"/>
      <c r="L314" s="45"/>
    </row>
    <row r="315" spans="10:12" ht="13.2">
      <c r="J315" s="45"/>
      <c r="K315" s="45"/>
      <c r="L315" s="45"/>
    </row>
    <row r="316" spans="10:12" ht="13.2">
      <c r="J316" s="45"/>
      <c r="K316" s="45"/>
      <c r="L316" s="45"/>
    </row>
    <row r="317" spans="10:12" ht="13.2">
      <c r="J317" s="45"/>
      <c r="K317" s="45"/>
      <c r="L317" s="45"/>
    </row>
    <row r="318" spans="10:12" ht="13.2">
      <c r="J318" s="45"/>
      <c r="K318" s="45"/>
      <c r="L318" s="45"/>
    </row>
    <row r="319" spans="10:12" ht="13.2">
      <c r="J319" s="45"/>
      <c r="K319" s="45"/>
      <c r="L319" s="45"/>
    </row>
    <row r="320" spans="10:12" ht="13.2">
      <c r="J320" s="45"/>
      <c r="K320" s="45"/>
      <c r="L320" s="45"/>
    </row>
    <row r="321" spans="10:12" ht="13.2">
      <c r="J321" s="45"/>
      <c r="K321" s="45"/>
      <c r="L321" s="45"/>
    </row>
    <row r="322" spans="10:12" ht="13.2">
      <c r="J322" s="45"/>
      <c r="K322" s="45"/>
      <c r="L322" s="45"/>
    </row>
    <row r="323" spans="10:12" ht="13.2">
      <c r="J323" s="45"/>
      <c r="K323" s="45"/>
      <c r="L323" s="45"/>
    </row>
    <row r="324" spans="10:12" ht="13.2">
      <c r="J324" s="45"/>
      <c r="K324" s="45"/>
      <c r="L324" s="45"/>
    </row>
    <row r="325" spans="10:12" ht="13.2">
      <c r="J325" s="45"/>
      <c r="K325" s="45"/>
      <c r="L325" s="45"/>
    </row>
    <row r="326" spans="10:12" ht="13.2">
      <c r="J326" s="45"/>
      <c r="K326" s="45"/>
      <c r="L326" s="45"/>
    </row>
    <row r="327" spans="10:12" ht="13.2">
      <c r="J327" s="45"/>
      <c r="K327" s="45"/>
      <c r="L327" s="45"/>
    </row>
    <row r="328" spans="10:12" ht="13.2">
      <c r="J328" s="45"/>
      <c r="K328" s="45"/>
      <c r="L328" s="45"/>
    </row>
    <row r="329" spans="10:12" ht="13.2">
      <c r="J329" s="45"/>
      <c r="K329" s="45"/>
      <c r="L329" s="45"/>
    </row>
    <row r="330" spans="10:12" ht="13.2">
      <c r="J330" s="45"/>
      <c r="K330" s="45"/>
      <c r="L330" s="45"/>
    </row>
    <row r="331" spans="10:12" ht="13.2">
      <c r="J331" s="45"/>
      <c r="K331" s="45"/>
      <c r="L331" s="45"/>
    </row>
    <row r="332" spans="10:12" ht="13.2">
      <c r="J332" s="45"/>
      <c r="K332" s="45"/>
      <c r="L332" s="45"/>
    </row>
    <row r="333" spans="10:12" ht="13.2">
      <c r="J333" s="45"/>
      <c r="K333" s="45"/>
      <c r="L333" s="45"/>
    </row>
    <row r="334" spans="10:12" ht="13.2">
      <c r="J334" s="45"/>
      <c r="K334" s="45"/>
      <c r="L334" s="45"/>
    </row>
    <row r="335" spans="10:12" ht="13.2">
      <c r="J335" s="45"/>
      <c r="K335" s="45"/>
      <c r="L335" s="45"/>
    </row>
    <row r="336" spans="10:12" ht="13.2">
      <c r="J336" s="45"/>
      <c r="K336" s="45"/>
      <c r="L336" s="45"/>
    </row>
    <row r="337" spans="10:12" ht="13.2">
      <c r="J337" s="45"/>
      <c r="K337" s="45"/>
      <c r="L337" s="45"/>
    </row>
    <row r="338" spans="10:12" ht="13.2">
      <c r="J338" s="45"/>
      <c r="K338" s="45"/>
      <c r="L338" s="45"/>
    </row>
    <row r="339" spans="10:12" ht="13.2">
      <c r="J339" s="45"/>
      <c r="K339" s="45"/>
      <c r="L339" s="45"/>
    </row>
    <row r="340" spans="10:12" ht="13.2">
      <c r="J340" s="45"/>
      <c r="K340" s="45"/>
      <c r="L340" s="45"/>
    </row>
    <row r="341" spans="10:12" ht="13.2">
      <c r="J341" s="45"/>
      <c r="K341" s="45"/>
      <c r="L341" s="45"/>
    </row>
    <row r="342" spans="10:12" ht="13.2">
      <c r="J342" s="45"/>
      <c r="K342" s="45"/>
      <c r="L342" s="45"/>
    </row>
    <row r="343" spans="10:12" ht="13.2">
      <c r="J343" s="45"/>
      <c r="K343" s="45"/>
      <c r="L343" s="45"/>
    </row>
    <row r="344" spans="10:12" ht="13.2">
      <c r="J344" s="45"/>
      <c r="K344" s="45"/>
      <c r="L344" s="45"/>
    </row>
    <row r="345" spans="10:12" ht="13.2">
      <c r="J345" s="45"/>
      <c r="K345" s="45"/>
      <c r="L345" s="45"/>
    </row>
    <row r="346" spans="10:12" ht="13.2">
      <c r="J346" s="45"/>
      <c r="K346" s="45"/>
      <c r="L346" s="45"/>
    </row>
    <row r="347" spans="10:12" ht="13.2">
      <c r="J347" s="45"/>
      <c r="K347" s="45"/>
      <c r="L347" s="45"/>
    </row>
    <row r="348" spans="10:12" ht="13.2">
      <c r="J348" s="45"/>
      <c r="K348" s="45"/>
      <c r="L348" s="45"/>
    </row>
    <row r="349" spans="10:12" ht="13.2">
      <c r="J349" s="45"/>
      <c r="K349" s="45"/>
      <c r="L349" s="45"/>
    </row>
    <row r="350" spans="10:12" ht="13.2">
      <c r="J350" s="45"/>
      <c r="K350" s="45"/>
      <c r="L350" s="45"/>
    </row>
    <row r="351" spans="10:12" ht="13.2">
      <c r="J351" s="45"/>
      <c r="K351" s="45"/>
      <c r="L351" s="45"/>
    </row>
    <row r="352" spans="10:12" ht="13.2">
      <c r="J352" s="45"/>
      <c r="K352" s="45"/>
      <c r="L352" s="45"/>
    </row>
    <row r="353" spans="10:12" ht="13.2">
      <c r="J353" s="45"/>
      <c r="K353" s="45"/>
      <c r="L353" s="45"/>
    </row>
    <row r="354" spans="10:12" ht="13.2">
      <c r="J354" s="45"/>
      <c r="K354" s="45"/>
      <c r="L354" s="45"/>
    </row>
    <row r="355" spans="10:12" ht="13.2">
      <c r="J355" s="45"/>
      <c r="K355" s="45"/>
      <c r="L355" s="45"/>
    </row>
    <row r="356" spans="10:12" ht="13.2">
      <c r="J356" s="45"/>
      <c r="K356" s="45"/>
      <c r="L356" s="45"/>
    </row>
    <row r="357" spans="10:12" ht="13.2">
      <c r="J357" s="45"/>
      <c r="K357" s="45"/>
      <c r="L357" s="45"/>
    </row>
    <row r="358" spans="10:12" ht="13.2">
      <c r="J358" s="45"/>
      <c r="K358" s="45"/>
      <c r="L358" s="45"/>
    </row>
    <row r="359" spans="10:12" ht="13.2">
      <c r="J359" s="45"/>
      <c r="K359" s="45"/>
      <c r="L359" s="45"/>
    </row>
    <row r="360" spans="10:12" ht="13.2">
      <c r="J360" s="45"/>
      <c r="K360" s="45"/>
      <c r="L360" s="45"/>
    </row>
    <row r="361" spans="10:12" ht="13.2">
      <c r="J361" s="45"/>
      <c r="K361" s="45"/>
      <c r="L361" s="45"/>
    </row>
    <row r="362" spans="10:12" ht="13.2">
      <c r="J362" s="45"/>
      <c r="K362" s="45"/>
      <c r="L362" s="45"/>
    </row>
    <row r="363" spans="10:12" ht="13.2">
      <c r="J363" s="45"/>
      <c r="K363" s="45"/>
      <c r="L363" s="45"/>
    </row>
    <row r="364" spans="10:12" ht="13.2">
      <c r="J364" s="45"/>
      <c r="K364" s="45"/>
      <c r="L364" s="45"/>
    </row>
    <row r="365" spans="10:12" ht="13.2">
      <c r="J365" s="45"/>
      <c r="K365" s="45"/>
      <c r="L365" s="45"/>
    </row>
    <row r="366" spans="10:12" ht="13.2">
      <c r="J366" s="45"/>
      <c r="K366" s="45"/>
      <c r="L366" s="45"/>
    </row>
    <row r="367" spans="10:12" ht="13.2">
      <c r="J367" s="45"/>
      <c r="K367" s="45"/>
      <c r="L367" s="45"/>
    </row>
    <row r="368" spans="10:12" ht="13.2">
      <c r="J368" s="45"/>
      <c r="K368" s="45"/>
      <c r="L368" s="45"/>
    </row>
    <row r="369" spans="10:12" ht="13.2">
      <c r="J369" s="45"/>
      <c r="K369" s="45"/>
      <c r="L369" s="45"/>
    </row>
    <row r="370" spans="10:12" ht="13.2">
      <c r="J370" s="45"/>
      <c r="K370" s="45"/>
      <c r="L370" s="45"/>
    </row>
    <row r="371" spans="10:12" ht="13.2">
      <c r="J371" s="45"/>
      <c r="K371" s="45"/>
      <c r="L371" s="45"/>
    </row>
    <row r="372" spans="10:12" ht="13.2">
      <c r="J372" s="45"/>
      <c r="K372" s="45"/>
      <c r="L372" s="45"/>
    </row>
    <row r="373" spans="10:12" ht="13.2">
      <c r="J373" s="45"/>
      <c r="K373" s="45"/>
      <c r="L373" s="45"/>
    </row>
    <row r="374" spans="10:12" ht="13.2">
      <c r="J374" s="45"/>
      <c r="K374" s="45"/>
      <c r="L374" s="45"/>
    </row>
    <row r="375" spans="10:12" ht="13.2">
      <c r="J375" s="45"/>
      <c r="K375" s="45"/>
      <c r="L375" s="45"/>
    </row>
    <row r="376" spans="10:12" ht="13.2">
      <c r="J376" s="45"/>
      <c r="K376" s="45"/>
      <c r="L376" s="45"/>
    </row>
    <row r="377" spans="10:12" ht="13.2">
      <c r="J377" s="45"/>
      <c r="K377" s="45"/>
      <c r="L377" s="45"/>
    </row>
    <row r="378" spans="10:12" ht="13.2">
      <c r="J378" s="45"/>
      <c r="K378" s="45"/>
      <c r="L378" s="45"/>
    </row>
    <row r="379" spans="10:12" ht="13.2">
      <c r="J379" s="45"/>
      <c r="K379" s="45"/>
      <c r="L379" s="45"/>
    </row>
    <row r="380" spans="10:12" ht="13.2">
      <c r="J380" s="45"/>
      <c r="K380" s="45"/>
      <c r="L380" s="45"/>
    </row>
    <row r="381" spans="10:12" ht="13.2">
      <c r="J381" s="45"/>
      <c r="K381" s="45"/>
      <c r="L381" s="45"/>
    </row>
    <row r="382" spans="10:12" ht="13.2">
      <c r="J382" s="45"/>
      <c r="K382" s="45"/>
      <c r="L382" s="45"/>
    </row>
    <row r="383" spans="10:12" ht="13.2">
      <c r="J383" s="45"/>
      <c r="K383" s="45"/>
      <c r="L383" s="45"/>
    </row>
    <row r="384" spans="10:12" ht="13.2">
      <c r="J384" s="45"/>
      <c r="K384" s="45"/>
      <c r="L384" s="45"/>
    </row>
    <row r="385" spans="10:12" ht="13.2">
      <c r="J385" s="45"/>
      <c r="K385" s="45"/>
      <c r="L385" s="45"/>
    </row>
    <row r="386" spans="10:12" ht="13.2">
      <c r="J386" s="45"/>
      <c r="K386" s="45"/>
      <c r="L386" s="45"/>
    </row>
    <row r="387" spans="10:12" ht="13.2">
      <c r="J387" s="45"/>
      <c r="K387" s="45"/>
      <c r="L387" s="45"/>
    </row>
    <row r="388" spans="10:12" ht="13.2">
      <c r="J388" s="45"/>
      <c r="K388" s="45"/>
      <c r="L388" s="45"/>
    </row>
    <row r="389" spans="10:12" ht="13.2">
      <c r="J389" s="45"/>
      <c r="K389" s="45"/>
      <c r="L389" s="45"/>
    </row>
    <row r="390" spans="10:12" ht="13.2">
      <c r="J390" s="45"/>
      <c r="K390" s="45"/>
      <c r="L390" s="45"/>
    </row>
    <row r="391" spans="10:12" ht="13.2">
      <c r="J391" s="45"/>
      <c r="K391" s="45"/>
      <c r="L391" s="45"/>
    </row>
    <row r="392" spans="10:12" ht="13.2">
      <c r="J392" s="45"/>
      <c r="K392" s="45"/>
      <c r="L392" s="45"/>
    </row>
    <row r="393" spans="10:12" ht="13.2">
      <c r="J393" s="45"/>
      <c r="K393" s="45"/>
      <c r="L393" s="45"/>
    </row>
    <row r="394" spans="10:12" ht="13.2">
      <c r="J394" s="45"/>
      <c r="K394" s="45"/>
      <c r="L394" s="45"/>
    </row>
    <row r="395" spans="10:12" ht="13.2">
      <c r="J395" s="45"/>
      <c r="K395" s="45"/>
      <c r="L395" s="45"/>
    </row>
    <row r="396" spans="10:12" ht="13.2">
      <c r="J396" s="45"/>
      <c r="K396" s="45"/>
      <c r="L396" s="45"/>
    </row>
    <row r="397" spans="10:12" ht="13.2">
      <c r="J397" s="45"/>
      <c r="K397" s="45"/>
      <c r="L397" s="45"/>
    </row>
    <row r="398" spans="10:12" ht="13.2">
      <c r="J398" s="45"/>
      <c r="K398" s="45"/>
      <c r="L398" s="45"/>
    </row>
    <row r="399" spans="10:12" ht="13.2">
      <c r="J399" s="45"/>
      <c r="K399" s="45"/>
      <c r="L399" s="45"/>
    </row>
    <row r="400" spans="10:12" ht="13.2">
      <c r="J400" s="45"/>
      <c r="K400" s="45"/>
      <c r="L400" s="45"/>
    </row>
    <row r="401" spans="10:12" ht="13.2">
      <c r="J401" s="45"/>
      <c r="K401" s="45"/>
      <c r="L401" s="45"/>
    </row>
    <row r="402" spans="10:12" ht="13.2">
      <c r="J402" s="45"/>
      <c r="K402" s="45"/>
      <c r="L402" s="45"/>
    </row>
    <row r="403" spans="10:12" ht="13.2">
      <c r="J403" s="45"/>
      <c r="K403" s="45"/>
      <c r="L403" s="45"/>
    </row>
    <row r="404" spans="10:12" ht="13.2">
      <c r="J404" s="45"/>
      <c r="K404" s="45"/>
      <c r="L404" s="45"/>
    </row>
    <row r="405" spans="10:12" ht="13.2">
      <c r="J405" s="45"/>
      <c r="K405" s="45"/>
      <c r="L405" s="45"/>
    </row>
    <row r="406" spans="10:12" ht="13.2">
      <c r="J406" s="45"/>
      <c r="K406" s="45"/>
      <c r="L406" s="45"/>
    </row>
    <row r="407" spans="10:12" ht="13.2">
      <c r="J407" s="45"/>
      <c r="K407" s="45"/>
      <c r="L407" s="45"/>
    </row>
    <row r="408" spans="10:12" ht="13.2">
      <c r="J408" s="45"/>
      <c r="K408" s="45"/>
      <c r="L408" s="45"/>
    </row>
    <row r="409" spans="10:12" ht="13.2">
      <c r="J409" s="45"/>
      <c r="K409" s="45"/>
      <c r="L409" s="45"/>
    </row>
    <row r="410" spans="10:12" ht="13.2">
      <c r="J410" s="45"/>
      <c r="K410" s="45"/>
      <c r="L410" s="45"/>
    </row>
    <row r="411" spans="10:12" ht="13.2">
      <c r="J411" s="45"/>
      <c r="K411" s="45"/>
      <c r="L411" s="45"/>
    </row>
    <row r="412" spans="10:12" ht="13.2">
      <c r="J412" s="45"/>
      <c r="K412" s="45"/>
      <c r="L412" s="45"/>
    </row>
    <row r="413" spans="10:12" ht="13.2">
      <c r="J413" s="45"/>
      <c r="K413" s="45"/>
      <c r="L413" s="45"/>
    </row>
    <row r="414" spans="10:12" ht="13.2">
      <c r="J414" s="45"/>
      <c r="K414" s="45"/>
      <c r="L414" s="45"/>
    </row>
    <row r="415" spans="10:12" ht="13.2">
      <c r="J415" s="45"/>
      <c r="K415" s="45"/>
      <c r="L415" s="45"/>
    </row>
    <row r="416" spans="10:12" ht="13.2">
      <c r="J416" s="45"/>
      <c r="K416" s="45"/>
      <c r="L416" s="45"/>
    </row>
    <row r="417" spans="10:12" ht="13.2">
      <c r="J417" s="45"/>
      <c r="K417" s="45"/>
      <c r="L417" s="45"/>
    </row>
    <row r="418" spans="10:12" ht="13.2">
      <c r="J418" s="45"/>
      <c r="K418" s="45"/>
      <c r="L418" s="45"/>
    </row>
    <row r="419" spans="10:12" ht="13.2">
      <c r="J419" s="45"/>
      <c r="K419" s="45"/>
      <c r="L419" s="45"/>
    </row>
    <row r="420" spans="10:12" ht="13.2">
      <c r="J420" s="45"/>
      <c r="K420" s="45"/>
      <c r="L420" s="45"/>
    </row>
    <row r="421" spans="10:12" ht="13.2">
      <c r="J421" s="45"/>
      <c r="K421" s="45"/>
      <c r="L421" s="45"/>
    </row>
    <row r="422" spans="10:12" ht="13.2">
      <c r="J422" s="45"/>
      <c r="K422" s="45"/>
      <c r="L422" s="45"/>
    </row>
    <row r="423" spans="10:12" ht="13.2">
      <c r="J423" s="45"/>
      <c r="K423" s="45"/>
      <c r="L423" s="45"/>
    </row>
    <row r="424" spans="10:12" ht="13.2">
      <c r="J424" s="45"/>
      <c r="K424" s="45"/>
      <c r="L424" s="45"/>
    </row>
    <row r="425" spans="10:12" ht="13.2">
      <c r="J425" s="45"/>
      <c r="K425" s="45"/>
      <c r="L425" s="45"/>
    </row>
    <row r="426" spans="10:12" ht="13.2">
      <c r="J426" s="45"/>
      <c r="K426" s="45"/>
      <c r="L426" s="45"/>
    </row>
    <row r="427" spans="10:12" ht="13.2">
      <c r="J427" s="45"/>
      <c r="K427" s="45"/>
      <c r="L427" s="45"/>
    </row>
    <row r="428" spans="10:12" ht="13.2">
      <c r="J428" s="45"/>
      <c r="K428" s="45"/>
      <c r="L428" s="45"/>
    </row>
    <row r="429" spans="10:12" ht="13.2">
      <c r="J429" s="45"/>
      <c r="K429" s="45"/>
      <c r="L429" s="45"/>
    </row>
    <row r="430" spans="10:12" ht="13.2">
      <c r="J430" s="45"/>
      <c r="K430" s="45"/>
      <c r="L430" s="45"/>
    </row>
    <row r="431" spans="10:12" ht="13.2">
      <c r="J431" s="45"/>
      <c r="K431" s="45"/>
      <c r="L431" s="45"/>
    </row>
    <row r="432" spans="10:12" ht="13.2">
      <c r="J432" s="45"/>
      <c r="K432" s="45"/>
      <c r="L432" s="45"/>
    </row>
    <row r="433" spans="10:12" ht="13.2">
      <c r="J433" s="45"/>
      <c r="K433" s="45"/>
      <c r="L433" s="45"/>
    </row>
    <row r="434" spans="10:12" ht="13.2">
      <c r="J434" s="45"/>
      <c r="K434" s="45"/>
      <c r="L434" s="45"/>
    </row>
    <row r="435" spans="10:12" ht="13.2">
      <c r="J435" s="45"/>
      <c r="K435" s="45"/>
      <c r="L435" s="45"/>
    </row>
    <row r="436" spans="10:12" ht="13.2">
      <c r="J436" s="45"/>
      <c r="K436" s="45"/>
      <c r="L436" s="45"/>
    </row>
    <row r="437" spans="10:12" ht="13.2">
      <c r="J437" s="45"/>
      <c r="K437" s="45"/>
      <c r="L437" s="45"/>
    </row>
    <row r="438" spans="10:12" ht="13.2">
      <c r="J438" s="45"/>
      <c r="K438" s="45"/>
      <c r="L438" s="45"/>
    </row>
    <row r="439" spans="10:12" ht="13.2">
      <c r="J439" s="45"/>
      <c r="K439" s="45"/>
      <c r="L439" s="45"/>
    </row>
    <row r="440" spans="10:12" ht="13.2">
      <c r="J440" s="45"/>
      <c r="K440" s="45"/>
      <c r="L440" s="45"/>
    </row>
    <row r="441" spans="10:12" ht="13.2">
      <c r="J441" s="45"/>
      <c r="K441" s="45"/>
      <c r="L441" s="45"/>
    </row>
    <row r="442" spans="10:12" ht="13.2">
      <c r="J442" s="45"/>
      <c r="K442" s="45"/>
      <c r="L442" s="45"/>
    </row>
    <row r="443" spans="10:12" ht="13.2">
      <c r="J443" s="45"/>
      <c r="K443" s="45"/>
      <c r="L443" s="45"/>
    </row>
    <row r="444" spans="10:12" ht="13.2">
      <c r="J444" s="45"/>
      <c r="K444" s="45"/>
      <c r="L444" s="45"/>
    </row>
    <row r="445" spans="10:12" ht="13.2">
      <c r="J445" s="45"/>
      <c r="K445" s="45"/>
      <c r="L445" s="45"/>
    </row>
    <row r="446" spans="10:12" ht="13.2">
      <c r="J446" s="45"/>
      <c r="K446" s="45"/>
      <c r="L446" s="45"/>
    </row>
    <row r="447" spans="10:12" ht="13.2">
      <c r="J447" s="45"/>
      <c r="K447" s="45"/>
      <c r="L447" s="45"/>
    </row>
    <row r="448" spans="10:12" ht="13.2">
      <c r="J448" s="45"/>
      <c r="K448" s="45"/>
      <c r="L448" s="45"/>
    </row>
    <row r="449" spans="10:12" ht="13.2">
      <c r="J449" s="45"/>
      <c r="K449" s="45"/>
      <c r="L449" s="45"/>
    </row>
    <row r="450" spans="10:12" ht="13.2">
      <c r="J450" s="45"/>
      <c r="K450" s="45"/>
      <c r="L450" s="45"/>
    </row>
    <row r="451" spans="10:12" ht="13.2">
      <c r="J451" s="45"/>
      <c r="K451" s="45"/>
      <c r="L451" s="45"/>
    </row>
    <row r="452" spans="10:12" ht="13.2">
      <c r="J452" s="45"/>
      <c r="K452" s="45"/>
      <c r="L452" s="45"/>
    </row>
    <row r="453" spans="10:12" ht="13.2">
      <c r="J453" s="45"/>
      <c r="K453" s="45"/>
      <c r="L453" s="45"/>
    </row>
    <row r="454" spans="10:12" ht="13.2">
      <c r="J454" s="45"/>
      <c r="K454" s="45"/>
      <c r="L454" s="45"/>
    </row>
    <row r="455" spans="10:12" ht="13.2">
      <c r="J455" s="45"/>
      <c r="K455" s="45"/>
      <c r="L455" s="45"/>
    </row>
    <row r="456" spans="10:12" ht="13.2">
      <c r="J456" s="45"/>
      <c r="K456" s="45"/>
      <c r="L456" s="45"/>
    </row>
    <row r="457" spans="10:12" ht="13.2">
      <c r="J457" s="45"/>
      <c r="K457" s="45"/>
      <c r="L457" s="45"/>
    </row>
    <row r="458" spans="10:12" ht="13.2">
      <c r="J458" s="45"/>
      <c r="K458" s="45"/>
      <c r="L458" s="45"/>
    </row>
    <row r="459" spans="10:12" ht="13.2">
      <c r="J459" s="45"/>
      <c r="K459" s="45"/>
      <c r="L459" s="45"/>
    </row>
    <row r="460" spans="10:12" ht="13.2">
      <c r="J460" s="45"/>
      <c r="K460" s="45"/>
      <c r="L460" s="45"/>
    </row>
    <row r="461" spans="10:12" ht="13.2">
      <c r="J461" s="45"/>
      <c r="K461" s="45"/>
      <c r="L461" s="45"/>
    </row>
    <row r="462" spans="10:12" ht="13.2">
      <c r="J462" s="45"/>
      <c r="K462" s="45"/>
      <c r="L462" s="45"/>
    </row>
    <row r="463" spans="10:12" ht="13.2">
      <c r="J463" s="45"/>
      <c r="K463" s="45"/>
      <c r="L463" s="45"/>
    </row>
    <row r="464" spans="10:12" ht="13.2">
      <c r="J464" s="45"/>
      <c r="K464" s="45"/>
      <c r="L464" s="45"/>
    </row>
    <row r="465" spans="10:12" ht="13.2">
      <c r="J465" s="45"/>
      <c r="K465" s="45"/>
      <c r="L465" s="45"/>
    </row>
    <row r="466" spans="10:12" ht="13.2">
      <c r="J466" s="45"/>
      <c r="K466" s="45"/>
      <c r="L466" s="45"/>
    </row>
    <row r="467" spans="10:12" ht="13.2">
      <c r="J467" s="45"/>
      <c r="K467" s="45"/>
      <c r="L467" s="45"/>
    </row>
    <row r="468" spans="10:12" ht="13.2">
      <c r="J468" s="45"/>
      <c r="K468" s="45"/>
      <c r="L468" s="45"/>
    </row>
    <row r="469" spans="10:12" ht="13.2">
      <c r="J469" s="45"/>
      <c r="K469" s="45"/>
      <c r="L469" s="45"/>
    </row>
    <row r="470" spans="10:12" ht="13.2">
      <c r="J470" s="45"/>
      <c r="K470" s="45"/>
      <c r="L470" s="45"/>
    </row>
    <row r="471" spans="10:12" ht="13.2">
      <c r="J471" s="45"/>
      <c r="K471" s="45"/>
      <c r="L471" s="45"/>
    </row>
    <row r="472" spans="10:12" ht="13.2">
      <c r="J472" s="45"/>
      <c r="K472" s="45"/>
      <c r="L472" s="45"/>
    </row>
    <row r="473" spans="10:12" ht="13.2">
      <c r="J473" s="45"/>
      <c r="K473" s="45"/>
      <c r="L473" s="45"/>
    </row>
    <row r="474" spans="10:12" ht="13.2">
      <c r="J474" s="45"/>
      <c r="K474" s="45"/>
      <c r="L474" s="45"/>
    </row>
    <row r="475" spans="10:12" ht="13.2">
      <c r="J475" s="45"/>
      <c r="K475" s="45"/>
      <c r="L475" s="45"/>
    </row>
    <row r="476" spans="10:12" ht="13.2">
      <c r="J476" s="45"/>
      <c r="K476" s="45"/>
      <c r="L476" s="45"/>
    </row>
    <row r="477" spans="10:12" ht="13.2">
      <c r="J477" s="45"/>
      <c r="K477" s="45"/>
      <c r="L477" s="45"/>
    </row>
    <row r="478" spans="10:12" ht="13.2">
      <c r="J478" s="45"/>
      <c r="K478" s="45"/>
      <c r="L478" s="45"/>
    </row>
    <row r="479" spans="10:12" ht="13.2">
      <c r="J479" s="45"/>
      <c r="K479" s="45"/>
      <c r="L479" s="45"/>
    </row>
    <row r="480" spans="10:12" ht="13.2">
      <c r="J480" s="45"/>
      <c r="K480" s="45"/>
      <c r="L480" s="45"/>
    </row>
    <row r="481" spans="10:12" ht="13.2">
      <c r="J481" s="45"/>
      <c r="K481" s="45"/>
      <c r="L481" s="45"/>
    </row>
    <row r="482" spans="10:12" ht="13.2">
      <c r="J482" s="45"/>
      <c r="K482" s="45"/>
      <c r="L482" s="45"/>
    </row>
    <row r="483" spans="10:12" ht="13.2">
      <c r="J483" s="45"/>
      <c r="K483" s="45"/>
      <c r="L483" s="45"/>
    </row>
    <row r="484" spans="10:12" ht="13.2">
      <c r="J484" s="45"/>
      <c r="K484" s="45"/>
      <c r="L484" s="45"/>
    </row>
    <row r="485" spans="10:12" ht="13.2">
      <c r="J485" s="45"/>
      <c r="K485" s="45"/>
      <c r="L485" s="45"/>
    </row>
    <row r="486" spans="10:12" ht="13.2">
      <c r="J486" s="45"/>
      <c r="K486" s="45"/>
      <c r="L486" s="45"/>
    </row>
    <row r="487" spans="10:12" ht="13.2">
      <c r="J487" s="45"/>
      <c r="K487" s="45"/>
      <c r="L487" s="45"/>
    </row>
    <row r="488" spans="10:12" ht="13.2">
      <c r="J488" s="45"/>
      <c r="K488" s="45"/>
      <c r="L488" s="45"/>
    </row>
    <row r="489" spans="10:12" ht="13.2">
      <c r="J489" s="45"/>
      <c r="K489" s="45"/>
      <c r="L489" s="45"/>
    </row>
    <row r="490" spans="10:12" ht="13.2">
      <c r="J490" s="45"/>
      <c r="K490" s="45"/>
      <c r="L490" s="45"/>
    </row>
    <row r="491" spans="10:12" ht="13.2">
      <c r="J491" s="45"/>
      <c r="K491" s="45"/>
      <c r="L491" s="45"/>
    </row>
    <row r="492" spans="10:12" ht="13.2">
      <c r="J492" s="45"/>
      <c r="K492" s="45"/>
      <c r="L492" s="45"/>
    </row>
    <row r="493" spans="10:12" ht="13.2">
      <c r="J493" s="45"/>
      <c r="K493" s="45"/>
      <c r="L493" s="45"/>
    </row>
    <row r="494" spans="10:12" ht="13.2">
      <c r="J494" s="45"/>
      <c r="K494" s="45"/>
      <c r="L494" s="45"/>
    </row>
    <row r="495" spans="10:12" ht="13.2">
      <c r="J495" s="45"/>
      <c r="K495" s="45"/>
      <c r="L495" s="45"/>
    </row>
    <row r="496" spans="10:12" ht="13.2">
      <c r="J496" s="45"/>
      <c r="K496" s="45"/>
      <c r="L496" s="45"/>
    </row>
    <row r="497" spans="10:12" ht="13.2">
      <c r="J497" s="45"/>
      <c r="K497" s="45"/>
      <c r="L497" s="45"/>
    </row>
    <row r="498" spans="10:12" ht="13.2">
      <c r="J498" s="45"/>
      <c r="K498" s="45"/>
      <c r="L498" s="45"/>
    </row>
    <row r="499" spans="10:12" ht="13.2">
      <c r="J499" s="45"/>
      <c r="K499" s="45"/>
      <c r="L499" s="45"/>
    </row>
    <row r="500" spans="10:12" ht="13.2">
      <c r="J500" s="45"/>
      <c r="K500" s="45"/>
      <c r="L500" s="45"/>
    </row>
    <row r="501" spans="10:12" ht="13.2">
      <c r="J501" s="45"/>
      <c r="K501" s="45"/>
      <c r="L501" s="45"/>
    </row>
    <row r="502" spans="10:12" ht="13.2">
      <c r="J502" s="45"/>
      <c r="K502" s="45"/>
      <c r="L502" s="45"/>
    </row>
    <row r="503" spans="10:12" ht="13.2">
      <c r="J503" s="45"/>
      <c r="K503" s="45"/>
      <c r="L503" s="45"/>
    </row>
    <row r="504" spans="10:12" ht="13.2">
      <c r="J504" s="45"/>
      <c r="K504" s="45"/>
      <c r="L504" s="45"/>
    </row>
    <row r="505" spans="10:12" ht="13.2">
      <c r="J505" s="45"/>
      <c r="K505" s="45"/>
      <c r="L505" s="45"/>
    </row>
    <row r="506" spans="10:12" ht="13.2">
      <c r="J506" s="45"/>
      <c r="K506" s="45"/>
      <c r="L506" s="45"/>
    </row>
    <row r="507" spans="10:12" ht="13.2">
      <c r="J507" s="45"/>
      <c r="K507" s="45"/>
      <c r="L507" s="45"/>
    </row>
    <row r="508" spans="10:12" ht="13.2">
      <c r="J508" s="45"/>
      <c r="K508" s="45"/>
      <c r="L508" s="45"/>
    </row>
    <row r="509" spans="10:12" ht="13.2">
      <c r="J509" s="45"/>
      <c r="K509" s="45"/>
      <c r="L509" s="45"/>
    </row>
    <row r="510" spans="10:12" ht="13.2">
      <c r="J510" s="45"/>
      <c r="K510" s="45"/>
      <c r="L510" s="45"/>
    </row>
    <row r="511" spans="10:12" ht="13.2">
      <c r="J511" s="45"/>
      <c r="K511" s="45"/>
      <c r="L511" s="45"/>
    </row>
    <row r="512" spans="10:12" ht="13.2">
      <c r="J512" s="45"/>
      <c r="K512" s="45"/>
      <c r="L512" s="45"/>
    </row>
    <row r="513" spans="10:12" ht="13.2">
      <c r="J513" s="45"/>
      <c r="K513" s="45"/>
      <c r="L513" s="45"/>
    </row>
    <row r="514" spans="10:12" ht="13.2">
      <c r="J514" s="45"/>
      <c r="K514" s="45"/>
      <c r="L514" s="45"/>
    </row>
    <row r="515" spans="10:12" ht="13.2">
      <c r="J515" s="45"/>
      <c r="K515" s="45"/>
      <c r="L515" s="45"/>
    </row>
    <row r="516" spans="10:12" ht="13.2">
      <c r="J516" s="45"/>
      <c r="K516" s="45"/>
      <c r="L516" s="45"/>
    </row>
    <row r="517" spans="10:12" ht="13.2">
      <c r="J517" s="45"/>
      <c r="K517" s="45"/>
      <c r="L517" s="45"/>
    </row>
    <row r="518" spans="10:12" ht="13.2">
      <c r="J518" s="45"/>
      <c r="K518" s="45"/>
      <c r="L518" s="45"/>
    </row>
    <row r="519" spans="10:12" ht="13.2">
      <c r="J519" s="45"/>
      <c r="K519" s="45"/>
      <c r="L519" s="45"/>
    </row>
    <row r="520" spans="10:12" ht="13.2">
      <c r="J520" s="45"/>
      <c r="K520" s="45"/>
      <c r="L520" s="45"/>
    </row>
    <row r="521" spans="10:12" ht="13.2">
      <c r="J521" s="45"/>
      <c r="K521" s="45"/>
      <c r="L521" s="45"/>
    </row>
    <row r="522" spans="10:12" ht="13.2">
      <c r="J522" s="45"/>
      <c r="K522" s="45"/>
      <c r="L522" s="45"/>
    </row>
    <row r="523" spans="10:12" ht="13.2">
      <c r="J523" s="45"/>
      <c r="K523" s="45"/>
      <c r="L523" s="45"/>
    </row>
    <row r="524" spans="10:12" ht="13.2">
      <c r="J524" s="45"/>
      <c r="K524" s="45"/>
      <c r="L524" s="45"/>
    </row>
    <row r="525" spans="10:12" ht="13.2">
      <c r="J525" s="45"/>
      <c r="K525" s="45"/>
      <c r="L525" s="45"/>
    </row>
    <row r="526" spans="10:12" ht="13.2">
      <c r="J526" s="45"/>
      <c r="K526" s="45"/>
      <c r="L526" s="45"/>
    </row>
    <row r="527" spans="10:12" ht="13.2">
      <c r="J527" s="45"/>
      <c r="K527" s="45"/>
      <c r="L527" s="45"/>
    </row>
    <row r="528" spans="10:12" ht="13.2">
      <c r="J528" s="45"/>
      <c r="K528" s="45"/>
      <c r="L528" s="45"/>
    </row>
    <row r="529" spans="10:12" ht="13.2">
      <c r="J529" s="45"/>
      <c r="K529" s="45"/>
      <c r="L529" s="45"/>
    </row>
    <row r="530" spans="10:12" ht="13.2">
      <c r="J530" s="45"/>
      <c r="K530" s="45"/>
      <c r="L530" s="45"/>
    </row>
    <row r="531" spans="10:12" ht="13.2">
      <c r="J531" s="45"/>
      <c r="K531" s="45"/>
      <c r="L531" s="45"/>
    </row>
    <row r="532" spans="10:12" ht="13.2">
      <c r="J532" s="45"/>
      <c r="K532" s="45"/>
      <c r="L532" s="45"/>
    </row>
    <row r="533" spans="10:12" ht="13.2">
      <c r="J533" s="45"/>
      <c r="K533" s="45"/>
      <c r="L533" s="45"/>
    </row>
    <row r="534" spans="10:12" ht="13.2">
      <c r="J534" s="45"/>
      <c r="K534" s="45"/>
      <c r="L534" s="45"/>
    </row>
    <row r="535" spans="10:12" ht="13.2">
      <c r="J535" s="45"/>
      <c r="K535" s="45"/>
      <c r="L535" s="45"/>
    </row>
    <row r="536" spans="10:12" ht="13.2">
      <c r="J536" s="45"/>
      <c r="K536" s="45"/>
      <c r="L536" s="45"/>
    </row>
    <row r="537" spans="10:12" ht="13.2">
      <c r="J537" s="45"/>
      <c r="K537" s="45"/>
      <c r="L537" s="45"/>
    </row>
    <row r="538" spans="10:12" ht="13.2">
      <c r="J538" s="45"/>
      <c r="K538" s="45"/>
      <c r="L538" s="45"/>
    </row>
    <row r="539" spans="10:12" ht="13.2">
      <c r="J539" s="45"/>
      <c r="K539" s="45"/>
      <c r="L539" s="45"/>
    </row>
    <row r="540" spans="10:12" ht="13.2">
      <c r="J540" s="45"/>
      <c r="K540" s="45"/>
      <c r="L540" s="45"/>
    </row>
    <row r="541" spans="10:12" ht="13.2">
      <c r="J541" s="45"/>
      <c r="K541" s="45"/>
      <c r="L541" s="45"/>
    </row>
    <row r="542" spans="10:12" ht="13.2">
      <c r="J542" s="45"/>
      <c r="K542" s="45"/>
      <c r="L542" s="45"/>
    </row>
    <row r="543" spans="10:12" ht="13.2">
      <c r="J543" s="45"/>
      <c r="K543" s="45"/>
      <c r="L543" s="45"/>
    </row>
    <row r="544" spans="10:12" ht="13.2">
      <c r="J544" s="45"/>
      <c r="K544" s="45"/>
      <c r="L544" s="45"/>
    </row>
    <row r="545" spans="10:12" ht="13.2">
      <c r="J545" s="45"/>
      <c r="K545" s="45"/>
      <c r="L545" s="45"/>
    </row>
    <row r="546" spans="10:12" ht="13.2">
      <c r="J546" s="45"/>
      <c r="K546" s="45"/>
      <c r="L546" s="45"/>
    </row>
    <row r="547" spans="10:12" ht="13.2">
      <c r="J547" s="45"/>
      <c r="K547" s="45"/>
      <c r="L547" s="45"/>
    </row>
    <row r="548" spans="10:12" ht="13.2">
      <c r="J548" s="45"/>
      <c r="K548" s="45"/>
      <c r="L548" s="45"/>
    </row>
    <row r="549" spans="10:12" ht="13.2">
      <c r="J549" s="45"/>
      <c r="K549" s="45"/>
      <c r="L549" s="45"/>
    </row>
    <row r="550" spans="10:12" ht="13.2">
      <c r="J550" s="45"/>
      <c r="K550" s="45"/>
      <c r="L550" s="45"/>
    </row>
    <row r="551" spans="10:12" ht="13.2">
      <c r="J551" s="45"/>
      <c r="K551" s="45"/>
      <c r="L551" s="45"/>
    </row>
    <row r="552" spans="10:12" ht="13.2">
      <c r="J552" s="45"/>
      <c r="K552" s="45"/>
      <c r="L552" s="45"/>
    </row>
    <row r="553" spans="10:12" ht="13.2">
      <c r="J553" s="45"/>
      <c r="K553" s="45"/>
      <c r="L553" s="45"/>
    </row>
    <row r="554" spans="10:12" ht="13.2">
      <c r="J554" s="45"/>
      <c r="K554" s="45"/>
      <c r="L554" s="45"/>
    </row>
    <row r="555" spans="10:12" ht="13.2">
      <c r="J555" s="45"/>
      <c r="K555" s="45"/>
      <c r="L555" s="45"/>
    </row>
    <row r="556" spans="10:12" ht="13.2">
      <c r="J556" s="45"/>
      <c r="K556" s="45"/>
      <c r="L556" s="45"/>
    </row>
    <row r="557" spans="10:12" ht="13.2">
      <c r="J557" s="45"/>
      <c r="K557" s="45"/>
      <c r="L557" s="45"/>
    </row>
    <row r="558" spans="10:12" ht="13.2">
      <c r="J558" s="45"/>
      <c r="K558" s="45"/>
      <c r="L558" s="45"/>
    </row>
    <row r="559" spans="10:12" ht="13.2">
      <c r="J559" s="45"/>
      <c r="K559" s="45"/>
      <c r="L559" s="45"/>
    </row>
    <row r="560" spans="10:12" ht="13.2">
      <c r="J560" s="45"/>
      <c r="K560" s="45"/>
      <c r="L560" s="45"/>
    </row>
    <row r="561" spans="10:12" ht="13.2">
      <c r="J561" s="45"/>
      <c r="K561" s="45"/>
      <c r="L561" s="45"/>
    </row>
    <row r="562" spans="10:12" ht="13.2">
      <c r="J562" s="45"/>
      <c r="K562" s="45"/>
      <c r="L562" s="45"/>
    </row>
    <row r="563" spans="10:12" ht="13.2">
      <c r="J563" s="45"/>
      <c r="K563" s="45"/>
      <c r="L563" s="45"/>
    </row>
    <row r="564" spans="10:12" ht="13.2">
      <c r="J564" s="45"/>
      <c r="K564" s="45"/>
      <c r="L564" s="45"/>
    </row>
    <row r="565" spans="10:12" ht="13.2">
      <c r="J565" s="45"/>
      <c r="K565" s="45"/>
      <c r="L565" s="45"/>
    </row>
    <row r="566" spans="10:12" ht="13.2">
      <c r="J566" s="45"/>
      <c r="K566" s="45"/>
      <c r="L566" s="45"/>
    </row>
    <row r="567" spans="10:12" ht="13.2">
      <c r="J567" s="45"/>
      <c r="K567" s="45"/>
      <c r="L567" s="45"/>
    </row>
    <row r="568" spans="10:12" ht="13.2">
      <c r="J568" s="45"/>
      <c r="K568" s="45"/>
      <c r="L568" s="45"/>
    </row>
    <row r="569" spans="10:12" ht="13.2">
      <c r="J569" s="45"/>
      <c r="K569" s="45"/>
      <c r="L569" s="45"/>
    </row>
    <row r="570" spans="10:12" ht="13.2">
      <c r="J570" s="45"/>
      <c r="K570" s="45"/>
      <c r="L570" s="45"/>
    </row>
    <row r="571" spans="10:12" ht="13.2">
      <c r="J571" s="45"/>
      <c r="K571" s="45"/>
      <c r="L571" s="45"/>
    </row>
    <row r="572" spans="10:12" ht="13.2">
      <c r="J572" s="45"/>
      <c r="K572" s="45"/>
      <c r="L572" s="45"/>
    </row>
    <row r="573" spans="10:12" ht="13.2">
      <c r="J573" s="45"/>
      <c r="K573" s="45"/>
      <c r="L573" s="45"/>
    </row>
    <row r="574" spans="10:12" ht="13.2">
      <c r="J574" s="45"/>
      <c r="K574" s="45"/>
      <c r="L574" s="45"/>
    </row>
    <row r="575" spans="10:12" ht="13.2">
      <c r="J575" s="45"/>
      <c r="K575" s="45"/>
      <c r="L575" s="45"/>
    </row>
    <row r="576" spans="10:12" ht="13.2">
      <c r="J576" s="45"/>
      <c r="K576" s="45"/>
      <c r="L576" s="45"/>
    </row>
    <row r="577" spans="10:12" ht="13.2">
      <c r="J577" s="45"/>
      <c r="K577" s="45"/>
      <c r="L577" s="45"/>
    </row>
    <row r="578" spans="10:12" ht="13.2">
      <c r="J578" s="45"/>
      <c r="K578" s="45"/>
      <c r="L578" s="45"/>
    </row>
    <row r="579" spans="10:12" ht="13.2">
      <c r="J579" s="45"/>
      <c r="K579" s="45"/>
      <c r="L579" s="45"/>
    </row>
    <row r="580" spans="10:12" ht="13.2">
      <c r="J580" s="45"/>
      <c r="K580" s="45"/>
      <c r="L580" s="45"/>
    </row>
    <row r="581" spans="10:12" ht="13.2">
      <c r="J581" s="45"/>
      <c r="K581" s="45"/>
      <c r="L581" s="45"/>
    </row>
    <row r="582" spans="10:12" ht="13.2">
      <c r="J582" s="45"/>
      <c r="K582" s="45"/>
      <c r="L582" s="45"/>
    </row>
    <row r="583" spans="10:12" ht="13.2">
      <c r="J583" s="45"/>
      <c r="K583" s="45"/>
      <c r="L583" s="45"/>
    </row>
    <row r="584" spans="10:12" ht="13.2">
      <c r="J584" s="45"/>
      <c r="K584" s="45"/>
      <c r="L584" s="45"/>
    </row>
    <row r="585" spans="10:12" ht="13.2">
      <c r="J585" s="45"/>
      <c r="K585" s="45"/>
      <c r="L585" s="45"/>
    </row>
    <row r="586" spans="10:12" ht="13.2">
      <c r="J586" s="45"/>
      <c r="K586" s="45"/>
      <c r="L586" s="45"/>
    </row>
    <row r="587" spans="10:12" ht="13.2">
      <c r="J587" s="45"/>
      <c r="K587" s="45"/>
      <c r="L587" s="45"/>
    </row>
    <row r="588" spans="10:12" ht="13.2">
      <c r="J588" s="45"/>
      <c r="K588" s="45"/>
      <c r="L588" s="45"/>
    </row>
    <row r="589" spans="10:12" ht="13.2">
      <c r="J589" s="45"/>
      <c r="K589" s="45"/>
      <c r="L589" s="45"/>
    </row>
    <row r="590" spans="10:12" ht="13.2">
      <c r="J590" s="45"/>
      <c r="K590" s="45"/>
      <c r="L590" s="45"/>
    </row>
    <row r="591" spans="10:12" ht="13.2">
      <c r="J591" s="45"/>
      <c r="K591" s="45"/>
      <c r="L591" s="45"/>
    </row>
    <row r="592" spans="10:12" ht="13.2">
      <c r="J592" s="45"/>
      <c r="K592" s="45"/>
      <c r="L592" s="45"/>
    </row>
    <row r="593" spans="10:12" ht="13.2">
      <c r="J593" s="45"/>
      <c r="K593" s="45"/>
      <c r="L593" s="45"/>
    </row>
    <row r="594" spans="10:12" ht="13.2">
      <c r="J594" s="45"/>
      <c r="K594" s="45"/>
      <c r="L594" s="45"/>
    </row>
    <row r="595" spans="10:12" ht="13.2">
      <c r="J595" s="45"/>
      <c r="K595" s="45"/>
      <c r="L595" s="45"/>
    </row>
    <row r="596" spans="10:12" ht="13.2">
      <c r="J596" s="45"/>
      <c r="K596" s="45"/>
      <c r="L596" s="45"/>
    </row>
    <row r="597" spans="10:12" ht="13.2">
      <c r="J597" s="45"/>
      <c r="K597" s="45"/>
      <c r="L597" s="45"/>
    </row>
    <row r="598" spans="10:12" ht="13.2">
      <c r="J598" s="45"/>
      <c r="K598" s="45"/>
      <c r="L598" s="45"/>
    </row>
    <row r="599" spans="10:12" ht="13.2">
      <c r="J599" s="45"/>
      <c r="K599" s="45"/>
      <c r="L599" s="45"/>
    </row>
    <row r="600" spans="10:12" ht="13.2">
      <c r="J600" s="45"/>
      <c r="K600" s="45"/>
      <c r="L600" s="45"/>
    </row>
    <row r="601" spans="10:12" ht="13.2">
      <c r="J601" s="45"/>
      <c r="K601" s="45"/>
      <c r="L601" s="45"/>
    </row>
    <row r="602" spans="10:12" ht="13.2">
      <c r="J602" s="45"/>
      <c r="K602" s="45"/>
      <c r="L602" s="45"/>
    </row>
    <row r="603" spans="10:12" ht="13.2">
      <c r="J603" s="45"/>
      <c r="K603" s="45"/>
      <c r="L603" s="45"/>
    </row>
    <row r="604" spans="10:12" ht="13.2">
      <c r="J604" s="45"/>
      <c r="K604" s="45"/>
      <c r="L604" s="45"/>
    </row>
    <row r="605" spans="10:12" ht="13.2">
      <c r="J605" s="45"/>
      <c r="K605" s="45"/>
      <c r="L605" s="45"/>
    </row>
    <row r="606" spans="10:12" ht="13.2">
      <c r="J606" s="45"/>
      <c r="K606" s="45"/>
      <c r="L606" s="45"/>
    </row>
    <row r="607" spans="10:12" ht="13.2">
      <c r="J607" s="45"/>
      <c r="K607" s="45"/>
      <c r="L607" s="45"/>
    </row>
    <row r="608" spans="10:12" ht="13.2">
      <c r="J608" s="45"/>
      <c r="K608" s="45"/>
      <c r="L608" s="45"/>
    </row>
    <row r="609" spans="10:12" ht="13.2">
      <c r="J609" s="45"/>
      <c r="K609" s="45"/>
      <c r="L609" s="45"/>
    </row>
    <row r="610" spans="10:12" ht="13.2">
      <c r="J610" s="45"/>
      <c r="K610" s="45"/>
      <c r="L610" s="45"/>
    </row>
    <row r="611" spans="10:12" ht="13.2">
      <c r="J611" s="45"/>
      <c r="K611" s="45"/>
      <c r="L611" s="45"/>
    </row>
    <row r="612" spans="10:12" ht="13.2">
      <c r="J612" s="45"/>
      <c r="K612" s="45"/>
      <c r="L612" s="45"/>
    </row>
    <row r="613" spans="10:12" ht="13.2">
      <c r="J613" s="45"/>
      <c r="K613" s="45"/>
      <c r="L613" s="45"/>
    </row>
    <row r="614" spans="10:12" ht="13.2">
      <c r="J614" s="45"/>
      <c r="K614" s="45"/>
      <c r="L614" s="45"/>
    </row>
    <row r="615" spans="10:12" ht="13.2">
      <c r="J615" s="45"/>
      <c r="K615" s="45"/>
      <c r="L615" s="45"/>
    </row>
    <row r="616" spans="10:12" ht="13.2">
      <c r="J616" s="45"/>
      <c r="K616" s="45"/>
      <c r="L616" s="45"/>
    </row>
    <row r="617" spans="10:12" ht="13.2">
      <c r="J617" s="45"/>
      <c r="K617" s="45"/>
      <c r="L617" s="45"/>
    </row>
    <row r="618" spans="10:12" ht="13.2">
      <c r="J618" s="45"/>
      <c r="K618" s="45"/>
      <c r="L618" s="45"/>
    </row>
    <row r="619" spans="10:12" ht="13.2">
      <c r="J619" s="45"/>
      <c r="K619" s="45"/>
      <c r="L619" s="45"/>
    </row>
    <row r="620" spans="10:12" ht="13.2">
      <c r="J620" s="45"/>
      <c r="K620" s="45"/>
      <c r="L620" s="45"/>
    </row>
    <row r="621" spans="10:12" ht="13.2">
      <c r="J621" s="45"/>
      <c r="K621" s="45"/>
      <c r="L621" s="45"/>
    </row>
    <row r="622" spans="10:12" ht="13.2">
      <c r="J622" s="45"/>
      <c r="K622" s="45"/>
      <c r="L622" s="45"/>
    </row>
    <row r="623" spans="10:12" ht="13.2">
      <c r="J623" s="45"/>
      <c r="K623" s="45"/>
      <c r="L623" s="45"/>
    </row>
    <row r="624" spans="10:12" ht="13.2">
      <c r="J624" s="45"/>
      <c r="K624" s="45"/>
      <c r="L624" s="45"/>
    </row>
    <row r="625" spans="10:12" ht="13.2">
      <c r="J625" s="45"/>
      <c r="K625" s="45"/>
      <c r="L625" s="45"/>
    </row>
    <row r="626" spans="10:12" ht="13.2">
      <c r="J626" s="45"/>
      <c r="K626" s="45"/>
      <c r="L626" s="45"/>
    </row>
    <row r="627" spans="10:12" ht="13.2">
      <c r="J627" s="45"/>
      <c r="K627" s="45"/>
      <c r="L627" s="45"/>
    </row>
    <row r="628" spans="10:12" ht="13.2">
      <c r="J628" s="45"/>
      <c r="K628" s="45"/>
      <c r="L628" s="45"/>
    </row>
    <row r="629" spans="10:12" ht="13.2">
      <c r="J629" s="45"/>
      <c r="K629" s="45"/>
      <c r="L629" s="45"/>
    </row>
    <row r="630" spans="10:12" ht="13.2">
      <c r="J630" s="45"/>
      <c r="K630" s="45"/>
      <c r="L630" s="45"/>
    </row>
    <row r="631" spans="10:12" ht="13.2">
      <c r="J631" s="45"/>
      <c r="K631" s="45"/>
      <c r="L631" s="45"/>
    </row>
    <row r="632" spans="10:12" ht="13.2">
      <c r="J632" s="45"/>
      <c r="K632" s="45"/>
      <c r="L632" s="45"/>
    </row>
    <row r="633" spans="10:12" ht="13.2">
      <c r="J633" s="45"/>
      <c r="K633" s="45"/>
      <c r="L633" s="45"/>
    </row>
    <row r="634" spans="10:12" ht="13.2">
      <c r="J634" s="45"/>
      <c r="K634" s="45"/>
      <c r="L634" s="45"/>
    </row>
    <row r="635" spans="10:12" ht="13.2">
      <c r="J635" s="45"/>
      <c r="K635" s="45"/>
      <c r="L635" s="45"/>
    </row>
    <row r="636" spans="10:12" ht="13.2">
      <c r="J636" s="45"/>
      <c r="K636" s="45"/>
      <c r="L636" s="45"/>
    </row>
    <row r="637" spans="10:12" ht="13.2">
      <c r="J637" s="45"/>
      <c r="K637" s="45"/>
      <c r="L637" s="45"/>
    </row>
    <row r="638" spans="10:12" ht="13.2">
      <c r="J638" s="45"/>
      <c r="K638" s="45"/>
      <c r="L638" s="45"/>
    </row>
    <row r="639" spans="10:12" ht="13.2">
      <c r="J639" s="45"/>
      <c r="K639" s="45"/>
      <c r="L639" s="45"/>
    </row>
    <row r="640" spans="10:12" ht="13.2">
      <c r="J640" s="45"/>
      <c r="K640" s="45"/>
      <c r="L640" s="45"/>
    </row>
    <row r="641" spans="10:12" ht="13.2">
      <c r="J641" s="45"/>
      <c r="K641" s="45"/>
      <c r="L641" s="45"/>
    </row>
    <row r="642" spans="10:12" ht="13.2">
      <c r="J642" s="45"/>
      <c r="K642" s="45"/>
      <c r="L642" s="45"/>
    </row>
    <row r="643" spans="10:12" ht="13.2">
      <c r="J643" s="45"/>
      <c r="K643" s="45"/>
      <c r="L643" s="45"/>
    </row>
    <row r="644" spans="10:12" ht="13.2">
      <c r="J644" s="45"/>
      <c r="K644" s="45"/>
      <c r="L644" s="45"/>
    </row>
    <row r="645" spans="10:12" ht="13.2">
      <c r="J645" s="45"/>
      <c r="K645" s="45"/>
      <c r="L645" s="45"/>
    </row>
    <row r="646" spans="10:12" ht="13.2">
      <c r="J646" s="45"/>
      <c r="K646" s="45"/>
      <c r="L646" s="45"/>
    </row>
    <row r="647" spans="10:12" ht="13.2">
      <c r="J647" s="45"/>
      <c r="K647" s="45"/>
      <c r="L647" s="45"/>
    </row>
    <row r="648" spans="10:12" ht="13.2">
      <c r="J648" s="45"/>
      <c r="K648" s="45"/>
      <c r="L648" s="45"/>
    </row>
    <row r="649" spans="10:12" ht="13.2">
      <c r="J649" s="45"/>
      <c r="K649" s="45"/>
      <c r="L649" s="45"/>
    </row>
    <row r="650" spans="10:12" ht="13.2">
      <c r="J650" s="45"/>
      <c r="K650" s="45"/>
      <c r="L650" s="45"/>
    </row>
    <row r="651" spans="10:12" ht="13.2">
      <c r="J651" s="45"/>
      <c r="K651" s="45"/>
      <c r="L651" s="45"/>
    </row>
    <row r="652" spans="10:12" ht="13.2">
      <c r="J652" s="45"/>
      <c r="K652" s="45"/>
      <c r="L652" s="45"/>
    </row>
    <row r="653" spans="10:12" ht="13.2">
      <c r="J653" s="45"/>
      <c r="K653" s="45"/>
      <c r="L653" s="45"/>
    </row>
    <row r="654" spans="10:12" ht="13.2">
      <c r="J654" s="45"/>
      <c r="K654" s="45"/>
      <c r="L654" s="45"/>
    </row>
    <row r="655" spans="10:12" ht="13.2">
      <c r="J655" s="45"/>
      <c r="K655" s="45"/>
      <c r="L655" s="45"/>
    </row>
    <row r="656" spans="10:12" ht="13.2">
      <c r="J656" s="45"/>
      <c r="K656" s="45"/>
      <c r="L656" s="45"/>
    </row>
    <row r="657" spans="10:12" ht="13.2">
      <c r="J657" s="45"/>
      <c r="K657" s="45"/>
      <c r="L657" s="45"/>
    </row>
    <row r="658" spans="10:12" ht="13.2">
      <c r="J658" s="45"/>
      <c r="K658" s="45"/>
      <c r="L658" s="45"/>
    </row>
    <row r="659" spans="10:12" ht="13.2">
      <c r="J659" s="45"/>
      <c r="K659" s="45"/>
      <c r="L659" s="45"/>
    </row>
    <row r="660" spans="10:12" ht="13.2">
      <c r="J660" s="45"/>
      <c r="K660" s="45"/>
      <c r="L660" s="45"/>
    </row>
    <row r="661" spans="10:12" ht="13.2">
      <c r="J661" s="45"/>
      <c r="K661" s="45"/>
      <c r="L661" s="45"/>
    </row>
    <row r="662" spans="10:12" ht="13.2">
      <c r="J662" s="45"/>
      <c r="K662" s="45"/>
      <c r="L662" s="45"/>
    </row>
    <row r="663" spans="10:12" ht="13.2">
      <c r="J663" s="45"/>
      <c r="K663" s="45"/>
      <c r="L663" s="45"/>
    </row>
    <row r="664" spans="10:12" ht="13.2">
      <c r="J664" s="45"/>
      <c r="K664" s="45"/>
      <c r="L664" s="45"/>
    </row>
    <row r="665" spans="10:12" ht="13.2">
      <c r="J665" s="45"/>
      <c r="K665" s="45"/>
      <c r="L665" s="45"/>
    </row>
    <row r="666" spans="10:12" ht="13.2">
      <c r="J666" s="45"/>
      <c r="K666" s="45"/>
      <c r="L666" s="45"/>
    </row>
    <row r="667" spans="10:12" ht="13.2">
      <c r="J667" s="45"/>
      <c r="K667" s="45"/>
      <c r="L667" s="45"/>
    </row>
    <row r="668" spans="10:12" ht="13.2">
      <c r="J668" s="45"/>
      <c r="K668" s="45"/>
      <c r="L668" s="45"/>
    </row>
    <row r="669" spans="10:12" ht="13.2">
      <c r="J669" s="45"/>
      <c r="K669" s="45"/>
      <c r="L669" s="45"/>
    </row>
    <row r="670" spans="10:12" ht="13.2">
      <c r="J670" s="45"/>
      <c r="K670" s="45"/>
      <c r="L670" s="45"/>
    </row>
    <row r="671" spans="10:12" ht="13.2">
      <c r="J671" s="45"/>
      <c r="K671" s="45"/>
      <c r="L671" s="45"/>
    </row>
    <row r="672" spans="10:12" ht="13.2">
      <c r="J672" s="45"/>
      <c r="K672" s="45"/>
      <c r="L672" s="45"/>
    </row>
    <row r="673" spans="10:12" ht="13.2">
      <c r="J673" s="45"/>
      <c r="K673" s="45"/>
      <c r="L673" s="45"/>
    </row>
    <row r="674" spans="10:12" ht="13.2">
      <c r="J674" s="45"/>
      <c r="K674" s="45"/>
      <c r="L674" s="45"/>
    </row>
    <row r="675" spans="10:12" ht="13.2">
      <c r="J675" s="45"/>
      <c r="K675" s="45"/>
      <c r="L675" s="45"/>
    </row>
    <row r="676" spans="10:12" ht="13.2">
      <c r="J676" s="45"/>
      <c r="K676" s="45"/>
      <c r="L676" s="45"/>
    </row>
    <row r="677" spans="10:12" ht="13.2">
      <c r="J677" s="45"/>
      <c r="K677" s="45"/>
      <c r="L677" s="45"/>
    </row>
    <row r="678" spans="10:12" ht="13.2">
      <c r="J678" s="45"/>
      <c r="K678" s="45"/>
      <c r="L678" s="45"/>
    </row>
    <row r="679" spans="10:12" ht="13.2">
      <c r="J679" s="45"/>
      <c r="K679" s="45"/>
      <c r="L679" s="45"/>
    </row>
    <row r="680" spans="10:12" ht="13.2">
      <c r="J680" s="45"/>
      <c r="K680" s="45"/>
      <c r="L680" s="45"/>
    </row>
    <row r="681" spans="10:12" ht="13.2">
      <c r="J681" s="45"/>
      <c r="K681" s="45"/>
      <c r="L681" s="45"/>
    </row>
    <row r="682" spans="10:12" ht="13.2">
      <c r="J682" s="45"/>
      <c r="K682" s="45"/>
      <c r="L682" s="45"/>
    </row>
    <row r="683" spans="10:12" ht="13.2">
      <c r="J683" s="45"/>
      <c r="K683" s="45"/>
      <c r="L683" s="45"/>
    </row>
    <row r="684" spans="10:12" ht="13.2">
      <c r="J684" s="45"/>
      <c r="K684" s="45"/>
      <c r="L684" s="45"/>
    </row>
    <row r="685" spans="10:12" ht="13.2">
      <c r="J685" s="45"/>
      <c r="K685" s="45"/>
      <c r="L685" s="45"/>
    </row>
    <row r="686" spans="10:12" ht="13.2">
      <c r="J686" s="45"/>
      <c r="K686" s="45"/>
      <c r="L686" s="45"/>
    </row>
    <row r="687" spans="10:12" ht="13.2">
      <c r="J687" s="45"/>
      <c r="K687" s="45"/>
      <c r="L687" s="45"/>
    </row>
    <row r="688" spans="10:12" ht="13.2">
      <c r="J688" s="45"/>
      <c r="K688" s="45"/>
      <c r="L688" s="45"/>
    </row>
    <row r="689" spans="10:12" ht="13.2">
      <c r="J689" s="45"/>
      <c r="K689" s="45"/>
      <c r="L689" s="45"/>
    </row>
    <row r="690" spans="10:12" ht="13.2">
      <c r="J690" s="45"/>
      <c r="K690" s="45"/>
      <c r="L690" s="45"/>
    </row>
    <row r="691" spans="10:12" ht="13.2">
      <c r="J691" s="45"/>
      <c r="K691" s="45"/>
      <c r="L691" s="45"/>
    </row>
    <row r="692" spans="10:12" ht="13.2">
      <c r="J692" s="45"/>
      <c r="K692" s="45"/>
      <c r="L692" s="45"/>
    </row>
    <row r="693" spans="10:12" ht="13.2">
      <c r="J693" s="45"/>
      <c r="K693" s="45"/>
      <c r="L693" s="45"/>
    </row>
    <row r="694" spans="10:12" ht="13.2">
      <c r="J694" s="45"/>
      <c r="K694" s="45"/>
      <c r="L694" s="45"/>
    </row>
    <row r="695" spans="10:12" ht="13.2">
      <c r="J695" s="45"/>
      <c r="K695" s="45"/>
      <c r="L695" s="45"/>
    </row>
    <row r="696" spans="10:12" ht="13.2">
      <c r="J696" s="45"/>
      <c r="K696" s="45"/>
      <c r="L696" s="45"/>
    </row>
    <row r="697" spans="10:12" ht="13.2">
      <c r="J697" s="45"/>
      <c r="K697" s="45"/>
      <c r="L697" s="45"/>
    </row>
    <row r="698" spans="10:12" ht="13.2">
      <c r="J698" s="45"/>
      <c r="K698" s="45"/>
      <c r="L698" s="45"/>
    </row>
    <row r="699" spans="10:12" ht="13.2">
      <c r="J699" s="45"/>
      <c r="K699" s="45"/>
      <c r="L699" s="45"/>
    </row>
    <row r="700" spans="10:12" ht="13.2">
      <c r="J700" s="45"/>
      <c r="K700" s="45"/>
      <c r="L700" s="45"/>
    </row>
    <row r="701" spans="10:12" ht="13.2">
      <c r="J701" s="45"/>
      <c r="K701" s="45"/>
      <c r="L701" s="45"/>
    </row>
    <row r="702" spans="10:12" ht="13.2">
      <c r="J702" s="45"/>
      <c r="K702" s="45"/>
      <c r="L702" s="45"/>
    </row>
    <row r="703" spans="10:12" ht="13.2">
      <c r="J703" s="45"/>
      <c r="K703" s="45"/>
      <c r="L703" s="45"/>
    </row>
    <row r="704" spans="10:12" ht="13.2">
      <c r="J704" s="45"/>
      <c r="K704" s="45"/>
      <c r="L704" s="45"/>
    </row>
    <row r="705" spans="10:12" ht="13.2">
      <c r="J705" s="45"/>
      <c r="K705" s="45"/>
      <c r="L705" s="45"/>
    </row>
    <row r="706" spans="10:12" ht="13.2">
      <c r="J706" s="45"/>
      <c r="K706" s="45"/>
      <c r="L706" s="45"/>
    </row>
    <row r="707" spans="10:12" ht="13.2">
      <c r="J707" s="45"/>
      <c r="K707" s="45"/>
      <c r="L707" s="45"/>
    </row>
    <row r="708" spans="10:12" ht="13.2">
      <c r="J708" s="45"/>
      <c r="K708" s="45"/>
      <c r="L708" s="45"/>
    </row>
    <row r="709" spans="10:12" ht="13.2">
      <c r="J709" s="45"/>
      <c r="K709" s="45"/>
      <c r="L709" s="45"/>
    </row>
    <row r="710" spans="10:12" ht="13.2">
      <c r="J710" s="45"/>
      <c r="K710" s="45"/>
      <c r="L710" s="45"/>
    </row>
    <row r="711" spans="10:12" ht="13.2">
      <c r="J711" s="45"/>
      <c r="K711" s="45"/>
      <c r="L711" s="45"/>
    </row>
    <row r="712" spans="10:12" ht="13.2">
      <c r="J712" s="45"/>
      <c r="K712" s="45"/>
      <c r="L712" s="45"/>
    </row>
    <row r="713" spans="10:12" ht="13.2">
      <c r="J713" s="45"/>
      <c r="K713" s="45"/>
      <c r="L713" s="45"/>
    </row>
    <row r="714" spans="10:12" ht="13.2">
      <c r="J714" s="45"/>
      <c r="K714" s="45"/>
      <c r="L714" s="45"/>
    </row>
    <row r="715" spans="10:12" ht="13.2">
      <c r="J715" s="45"/>
      <c r="K715" s="45"/>
      <c r="L715" s="45"/>
    </row>
    <row r="716" spans="10:12" ht="13.2">
      <c r="J716" s="45"/>
      <c r="K716" s="45"/>
      <c r="L716" s="45"/>
    </row>
    <row r="717" spans="10:12" ht="13.2">
      <c r="J717" s="45"/>
      <c r="K717" s="45"/>
      <c r="L717" s="45"/>
    </row>
    <row r="718" spans="10:12" ht="13.2">
      <c r="J718" s="45"/>
      <c r="K718" s="45"/>
      <c r="L718" s="45"/>
    </row>
    <row r="719" spans="10:12" ht="13.2">
      <c r="J719" s="45"/>
      <c r="K719" s="45"/>
      <c r="L719" s="45"/>
    </row>
    <row r="720" spans="10:12" ht="13.2">
      <c r="J720" s="45"/>
      <c r="K720" s="45"/>
      <c r="L720" s="45"/>
    </row>
    <row r="721" spans="10:12" ht="13.2">
      <c r="J721" s="45"/>
      <c r="K721" s="45"/>
      <c r="L721" s="45"/>
    </row>
    <row r="722" spans="10:12" ht="13.2">
      <c r="J722" s="45"/>
      <c r="K722" s="45"/>
      <c r="L722" s="45"/>
    </row>
    <row r="723" spans="10:12" ht="13.2">
      <c r="J723" s="45"/>
      <c r="K723" s="45"/>
      <c r="L723" s="45"/>
    </row>
    <row r="724" spans="10:12" ht="13.2">
      <c r="J724" s="45"/>
      <c r="K724" s="45"/>
      <c r="L724" s="45"/>
    </row>
    <row r="725" spans="10:12" ht="13.2">
      <c r="J725" s="45"/>
      <c r="K725" s="45"/>
      <c r="L725" s="45"/>
    </row>
    <row r="726" spans="10:12" ht="13.2">
      <c r="J726" s="45"/>
      <c r="K726" s="45"/>
      <c r="L726" s="45"/>
    </row>
    <row r="727" spans="10:12" ht="13.2">
      <c r="J727" s="45"/>
      <c r="K727" s="45"/>
      <c r="L727" s="45"/>
    </row>
    <row r="728" spans="10:12" ht="13.2">
      <c r="J728" s="45"/>
      <c r="K728" s="45"/>
      <c r="L728" s="45"/>
    </row>
    <row r="729" spans="10:12" ht="13.2">
      <c r="J729" s="45"/>
      <c r="K729" s="45"/>
      <c r="L729" s="45"/>
    </row>
    <row r="730" spans="10:12" ht="13.2">
      <c r="J730" s="45"/>
      <c r="K730" s="45"/>
      <c r="L730" s="45"/>
    </row>
    <row r="731" spans="10:12" ht="13.2">
      <c r="J731" s="45"/>
      <c r="K731" s="45"/>
      <c r="L731" s="45"/>
    </row>
    <row r="732" spans="10:12" ht="13.2">
      <c r="J732" s="45"/>
      <c r="K732" s="45"/>
      <c r="L732" s="45"/>
    </row>
    <row r="733" spans="10:12" ht="13.2">
      <c r="J733" s="45"/>
      <c r="K733" s="45"/>
      <c r="L733" s="45"/>
    </row>
    <row r="734" spans="10:12" ht="13.2">
      <c r="J734" s="45"/>
      <c r="K734" s="45"/>
      <c r="L734" s="45"/>
    </row>
    <row r="735" spans="10:12" ht="13.2">
      <c r="J735" s="45"/>
      <c r="K735" s="45"/>
      <c r="L735" s="45"/>
    </row>
    <row r="736" spans="10:12" ht="13.2">
      <c r="J736" s="45"/>
      <c r="K736" s="45"/>
      <c r="L736" s="45"/>
    </row>
    <row r="737" spans="10:12" ht="13.2">
      <c r="J737" s="45"/>
      <c r="K737" s="45"/>
      <c r="L737" s="45"/>
    </row>
    <row r="738" spans="10:12" ht="13.2">
      <c r="J738" s="45"/>
      <c r="K738" s="45"/>
      <c r="L738" s="45"/>
    </row>
    <row r="739" spans="10:12" ht="13.2">
      <c r="J739" s="45"/>
      <c r="K739" s="45"/>
      <c r="L739" s="45"/>
    </row>
    <row r="740" spans="10:12" ht="13.2">
      <c r="J740" s="45"/>
      <c r="K740" s="45"/>
      <c r="L740" s="45"/>
    </row>
    <row r="741" spans="10:12" ht="13.2">
      <c r="J741" s="45"/>
      <c r="K741" s="45"/>
      <c r="L741" s="45"/>
    </row>
    <row r="742" spans="10:12" ht="13.2">
      <c r="J742" s="45"/>
      <c r="K742" s="45"/>
      <c r="L742" s="45"/>
    </row>
    <row r="743" spans="10:12" ht="13.2">
      <c r="J743" s="45"/>
      <c r="K743" s="45"/>
      <c r="L743" s="45"/>
    </row>
    <row r="744" spans="10:12" ht="13.2">
      <c r="J744" s="45"/>
      <c r="K744" s="45"/>
      <c r="L744" s="45"/>
    </row>
    <row r="745" spans="10:12" ht="13.2">
      <c r="J745" s="45"/>
      <c r="K745" s="45"/>
      <c r="L745" s="45"/>
    </row>
    <row r="746" spans="10:12" ht="13.2">
      <c r="J746" s="45"/>
      <c r="K746" s="45"/>
      <c r="L746" s="45"/>
    </row>
    <row r="747" spans="10:12" ht="13.2">
      <c r="J747" s="45"/>
      <c r="K747" s="45"/>
      <c r="L747" s="45"/>
    </row>
    <row r="748" spans="10:12" ht="13.2">
      <c r="J748" s="45"/>
      <c r="K748" s="45"/>
      <c r="L748" s="45"/>
    </row>
    <row r="749" spans="10:12" ht="13.2">
      <c r="J749" s="45"/>
      <c r="K749" s="45"/>
      <c r="L749" s="45"/>
    </row>
    <row r="750" spans="10:12" ht="13.2">
      <c r="J750" s="45"/>
      <c r="K750" s="45"/>
      <c r="L750" s="45"/>
    </row>
    <row r="751" spans="10:12" ht="13.2">
      <c r="J751" s="45"/>
      <c r="K751" s="45"/>
      <c r="L751" s="45"/>
    </row>
    <row r="752" spans="10:12" ht="13.2">
      <c r="J752" s="45"/>
      <c r="K752" s="45"/>
      <c r="L752" s="45"/>
    </row>
    <row r="753" spans="10:12" ht="13.2">
      <c r="J753" s="45"/>
      <c r="K753" s="45"/>
      <c r="L753" s="45"/>
    </row>
    <row r="754" spans="10:12" ht="13.2">
      <c r="J754" s="45"/>
      <c r="K754" s="45"/>
      <c r="L754" s="45"/>
    </row>
    <row r="755" spans="10:12" ht="13.2">
      <c r="J755" s="45"/>
      <c r="K755" s="45"/>
      <c r="L755" s="45"/>
    </row>
    <row r="756" spans="10:12" ht="13.2">
      <c r="J756" s="45"/>
      <c r="K756" s="45"/>
      <c r="L756" s="45"/>
    </row>
    <row r="757" spans="10:12" ht="13.2">
      <c r="J757" s="45"/>
      <c r="K757" s="45"/>
      <c r="L757" s="45"/>
    </row>
    <row r="758" spans="10:12" ht="13.2">
      <c r="J758" s="45"/>
      <c r="K758" s="45"/>
      <c r="L758" s="45"/>
    </row>
    <row r="759" spans="10:12" ht="13.2">
      <c r="J759" s="45"/>
      <c r="K759" s="45"/>
      <c r="L759" s="45"/>
    </row>
    <row r="760" spans="10:12" ht="13.2">
      <c r="J760" s="45"/>
      <c r="K760" s="45"/>
      <c r="L760" s="45"/>
    </row>
    <row r="761" spans="10:12" ht="13.2">
      <c r="J761" s="45"/>
      <c r="K761" s="45"/>
      <c r="L761" s="45"/>
    </row>
    <row r="762" spans="10:12" ht="13.2">
      <c r="J762" s="45"/>
      <c r="K762" s="45"/>
      <c r="L762" s="45"/>
    </row>
    <row r="763" spans="10:12" ht="13.2">
      <c r="J763" s="45"/>
      <c r="K763" s="45"/>
      <c r="L763" s="45"/>
    </row>
    <row r="764" spans="10:12" ht="13.2">
      <c r="J764" s="45"/>
      <c r="K764" s="45"/>
      <c r="L764" s="45"/>
    </row>
    <row r="765" spans="10:12" ht="13.2">
      <c r="J765" s="45"/>
      <c r="K765" s="45"/>
      <c r="L765" s="45"/>
    </row>
    <row r="766" spans="10:12" ht="13.2">
      <c r="J766" s="45"/>
      <c r="K766" s="45"/>
      <c r="L766" s="45"/>
    </row>
    <row r="767" spans="10:12" ht="13.2">
      <c r="J767" s="45"/>
      <c r="K767" s="45"/>
      <c r="L767" s="45"/>
    </row>
    <row r="768" spans="10:12" ht="13.2">
      <c r="J768" s="45"/>
      <c r="K768" s="45"/>
      <c r="L768" s="45"/>
    </row>
    <row r="769" spans="10:12" ht="13.2">
      <c r="J769" s="45"/>
      <c r="K769" s="45"/>
      <c r="L769" s="45"/>
    </row>
    <row r="770" spans="10:12" ht="13.2">
      <c r="J770" s="45"/>
      <c r="K770" s="45"/>
      <c r="L770" s="45"/>
    </row>
    <row r="771" spans="10:12" ht="13.2">
      <c r="J771" s="45"/>
      <c r="K771" s="45"/>
      <c r="L771" s="45"/>
    </row>
    <row r="772" spans="10:12" ht="13.2">
      <c r="J772" s="45"/>
      <c r="K772" s="45"/>
      <c r="L772" s="45"/>
    </row>
    <row r="773" spans="10:12" ht="13.2">
      <c r="J773" s="45"/>
      <c r="K773" s="45"/>
      <c r="L773" s="45"/>
    </row>
    <row r="774" spans="10:12" ht="13.2">
      <c r="J774" s="45"/>
      <c r="K774" s="45"/>
      <c r="L774" s="45"/>
    </row>
    <row r="775" spans="10:12" ht="13.2">
      <c r="J775" s="45"/>
      <c r="K775" s="45"/>
      <c r="L775" s="45"/>
    </row>
    <row r="776" spans="10:12" ht="13.2">
      <c r="J776" s="45"/>
      <c r="K776" s="45"/>
      <c r="L776" s="45"/>
    </row>
    <row r="777" spans="10:12" ht="13.2">
      <c r="J777" s="45"/>
      <c r="K777" s="45"/>
      <c r="L777" s="45"/>
    </row>
    <row r="778" spans="10:12" ht="13.2">
      <c r="J778" s="45"/>
      <c r="K778" s="45"/>
      <c r="L778" s="45"/>
    </row>
    <row r="779" spans="10:12" ht="13.2">
      <c r="J779" s="45"/>
      <c r="K779" s="45"/>
      <c r="L779" s="45"/>
    </row>
    <row r="780" spans="10:12" ht="13.2">
      <c r="J780" s="45"/>
      <c r="K780" s="45"/>
      <c r="L780" s="45"/>
    </row>
    <row r="781" spans="10:12" ht="13.2">
      <c r="J781" s="45"/>
      <c r="K781" s="45"/>
      <c r="L781" s="45"/>
    </row>
    <row r="782" spans="10:12" ht="13.2">
      <c r="J782" s="45"/>
      <c r="K782" s="45"/>
      <c r="L782" s="45"/>
    </row>
    <row r="783" spans="10:12" ht="13.2">
      <c r="J783" s="45"/>
      <c r="K783" s="45"/>
      <c r="L783" s="45"/>
    </row>
    <row r="784" spans="10:12" ht="13.2">
      <c r="J784" s="45"/>
      <c r="K784" s="45"/>
      <c r="L784" s="45"/>
    </row>
    <row r="785" spans="10:12" ht="13.2">
      <c r="J785" s="45"/>
      <c r="K785" s="45"/>
      <c r="L785" s="45"/>
    </row>
    <row r="786" spans="10:12" ht="13.2">
      <c r="J786" s="45"/>
      <c r="K786" s="45"/>
      <c r="L786" s="45"/>
    </row>
    <row r="787" spans="10:12" ht="13.2">
      <c r="J787" s="45"/>
      <c r="K787" s="45"/>
      <c r="L787" s="45"/>
    </row>
    <row r="788" spans="10:12" ht="13.2">
      <c r="J788" s="45"/>
      <c r="K788" s="45"/>
      <c r="L788" s="45"/>
    </row>
    <row r="789" spans="10:12" ht="13.2">
      <c r="J789" s="45"/>
      <c r="K789" s="45"/>
      <c r="L789" s="45"/>
    </row>
    <row r="790" spans="10:12" ht="13.2">
      <c r="J790" s="45"/>
      <c r="K790" s="45"/>
      <c r="L790" s="45"/>
    </row>
    <row r="791" spans="10:12" ht="13.2">
      <c r="J791" s="45"/>
      <c r="K791" s="45"/>
      <c r="L791" s="45"/>
    </row>
    <row r="792" spans="10:12" ht="13.2">
      <c r="J792" s="45"/>
      <c r="K792" s="45"/>
      <c r="L792" s="45"/>
    </row>
    <row r="793" spans="10:12" ht="13.2">
      <c r="J793" s="45"/>
      <c r="K793" s="45"/>
      <c r="L793" s="45"/>
    </row>
    <row r="794" spans="10:12" ht="13.2">
      <c r="J794" s="45"/>
      <c r="K794" s="45"/>
      <c r="L794" s="45"/>
    </row>
    <row r="795" spans="10:12" ht="13.2">
      <c r="J795" s="45"/>
      <c r="K795" s="45"/>
      <c r="L795" s="45"/>
    </row>
    <row r="796" spans="10:12" ht="13.2">
      <c r="J796" s="45"/>
      <c r="K796" s="45"/>
      <c r="L796" s="45"/>
    </row>
    <row r="797" spans="10:12" ht="13.2">
      <c r="J797" s="45"/>
      <c r="K797" s="45"/>
      <c r="L797" s="45"/>
    </row>
    <row r="798" spans="10:12" ht="13.2">
      <c r="J798" s="45"/>
      <c r="K798" s="45"/>
      <c r="L798" s="45"/>
    </row>
    <row r="799" spans="10:12" ht="13.2">
      <c r="J799" s="45"/>
      <c r="K799" s="45"/>
      <c r="L799" s="45"/>
    </row>
    <row r="800" spans="10:12" ht="13.2">
      <c r="J800" s="45"/>
      <c r="K800" s="45"/>
      <c r="L800" s="45"/>
    </row>
    <row r="801" spans="10:12" ht="13.2">
      <c r="J801" s="45"/>
      <c r="K801" s="45"/>
      <c r="L801" s="45"/>
    </row>
    <row r="802" spans="10:12" ht="13.2">
      <c r="J802" s="45"/>
      <c r="K802" s="45"/>
      <c r="L802" s="45"/>
    </row>
    <row r="803" spans="10:12" ht="13.2">
      <c r="J803" s="45"/>
      <c r="K803" s="45"/>
      <c r="L803" s="45"/>
    </row>
    <row r="804" spans="10:12" ht="13.2">
      <c r="J804" s="45"/>
      <c r="K804" s="45"/>
      <c r="L804" s="45"/>
    </row>
    <row r="805" spans="10:12" ht="13.2">
      <c r="J805" s="45"/>
      <c r="K805" s="45"/>
      <c r="L805" s="45"/>
    </row>
    <row r="806" spans="10:12" ht="13.2">
      <c r="J806" s="45"/>
      <c r="K806" s="45"/>
      <c r="L806" s="45"/>
    </row>
    <row r="807" spans="10:12" ht="13.2">
      <c r="J807" s="45"/>
      <c r="K807" s="45"/>
      <c r="L807" s="45"/>
    </row>
    <row r="808" spans="10:12" ht="13.2">
      <c r="J808" s="45"/>
      <c r="K808" s="45"/>
      <c r="L808" s="45"/>
    </row>
    <row r="809" spans="10:12" ht="13.2">
      <c r="J809" s="45"/>
      <c r="K809" s="45"/>
      <c r="L809" s="45"/>
    </row>
    <row r="810" spans="10:12" ht="13.2">
      <c r="J810" s="45"/>
      <c r="K810" s="45"/>
      <c r="L810" s="45"/>
    </row>
    <row r="811" spans="10:12" ht="13.2">
      <c r="J811" s="45"/>
      <c r="K811" s="45"/>
      <c r="L811" s="45"/>
    </row>
    <row r="812" spans="10:12" ht="13.2">
      <c r="J812" s="45"/>
      <c r="K812" s="45"/>
      <c r="L812" s="45"/>
    </row>
    <row r="813" spans="10:12" ht="13.2">
      <c r="J813" s="45"/>
      <c r="K813" s="45"/>
      <c r="L813" s="45"/>
    </row>
    <row r="814" spans="10:12" ht="13.2">
      <c r="J814" s="45"/>
      <c r="K814" s="45"/>
      <c r="L814" s="45"/>
    </row>
    <row r="815" spans="10:12" ht="13.2">
      <c r="J815" s="45"/>
      <c r="K815" s="45"/>
      <c r="L815" s="45"/>
    </row>
    <row r="816" spans="10:12" ht="13.2">
      <c r="J816" s="45"/>
      <c r="K816" s="45"/>
      <c r="L816" s="45"/>
    </row>
    <row r="817" spans="10:12" ht="13.2">
      <c r="J817" s="45"/>
      <c r="K817" s="45"/>
      <c r="L817" s="45"/>
    </row>
    <row r="818" spans="10:12" ht="13.2">
      <c r="J818" s="45"/>
      <c r="K818" s="45"/>
      <c r="L818" s="45"/>
    </row>
    <row r="819" spans="10:12" ht="13.2">
      <c r="J819" s="45"/>
      <c r="K819" s="45"/>
      <c r="L819" s="45"/>
    </row>
    <row r="820" spans="10:12" ht="13.2">
      <c r="J820" s="45"/>
      <c r="K820" s="45"/>
      <c r="L820" s="45"/>
    </row>
    <row r="821" spans="10:12" ht="13.2">
      <c r="J821" s="45"/>
      <c r="K821" s="45"/>
      <c r="L821" s="45"/>
    </row>
    <row r="822" spans="10:12" ht="13.2">
      <c r="J822" s="45"/>
      <c r="K822" s="45"/>
      <c r="L822" s="45"/>
    </row>
    <row r="823" spans="10:12" ht="13.2">
      <c r="J823" s="45"/>
      <c r="K823" s="45"/>
      <c r="L823" s="45"/>
    </row>
    <row r="824" spans="10:12" ht="13.2">
      <c r="J824" s="45"/>
      <c r="K824" s="45"/>
      <c r="L824" s="45"/>
    </row>
    <row r="825" spans="10:12" ht="13.2">
      <c r="J825" s="45"/>
      <c r="K825" s="45"/>
      <c r="L825" s="45"/>
    </row>
    <row r="826" spans="10:12" ht="13.2">
      <c r="J826" s="45"/>
      <c r="K826" s="45"/>
      <c r="L826" s="45"/>
    </row>
    <row r="827" spans="10:12" ht="13.2">
      <c r="J827" s="45"/>
      <c r="K827" s="45"/>
      <c r="L827" s="45"/>
    </row>
    <row r="828" spans="10:12" ht="13.2">
      <c r="J828" s="45"/>
      <c r="K828" s="45"/>
      <c r="L828" s="45"/>
    </row>
    <row r="829" spans="10:12" ht="13.2">
      <c r="J829" s="45"/>
      <c r="K829" s="45"/>
      <c r="L829" s="45"/>
    </row>
    <row r="830" spans="10:12" ht="13.2">
      <c r="J830" s="45"/>
      <c r="K830" s="45"/>
      <c r="L830" s="45"/>
    </row>
    <row r="831" spans="10:12" ht="13.2">
      <c r="J831" s="45"/>
      <c r="K831" s="45"/>
      <c r="L831" s="45"/>
    </row>
    <row r="832" spans="10:12" ht="13.2">
      <c r="J832" s="45"/>
      <c r="K832" s="45"/>
      <c r="L832" s="45"/>
    </row>
    <row r="833" spans="10:12" ht="13.2">
      <c r="J833" s="45"/>
      <c r="K833" s="45"/>
      <c r="L833" s="45"/>
    </row>
    <row r="834" spans="10:12" ht="13.2">
      <c r="J834" s="45"/>
      <c r="K834" s="45"/>
      <c r="L834" s="45"/>
    </row>
    <row r="835" spans="10:12" ht="13.2">
      <c r="J835" s="45"/>
      <c r="K835" s="45"/>
      <c r="L835" s="45"/>
    </row>
    <row r="836" spans="10:12" ht="13.2">
      <c r="J836" s="45"/>
      <c r="K836" s="45"/>
      <c r="L836" s="45"/>
    </row>
    <row r="837" spans="10:12" ht="13.2">
      <c r="J837" s="45"/>
      <c r="K837" s="45"/>
      <c r="L837" s="45"/>
    </row>
    <row r="838" spans="10:12" ht="13.2">
      <c r="J838" s="45"/>
      <c r="K838" s="45"/>
      <c r="L838" s="45"/>
    </row>
    <row r="839" spans="10:12" ht="13.2">
      <c r="J839" s="45"/>
      <c r="K839" s="45"/>
      <c r="L839" s="45"/>
    </row>
    <row r="840" spans="10:12" ht="13.2">
      <c r="J840" s="45"/>
      <c r="K840" s="45"/>
      <c r="L840" s="45"/>
    </row>
    <row r="841" spans="10:12" ht="13.2">
      <c r="J841" s="45"/>
      <c r="K841" s="45"/>
      <c r="L841" s="45"/>
    </row>
    <row r="842" spans="10:12" ht="13.2">
      <c r="J842" s="45"/>
      <c r="K842" s="45"/>
      <c r="L842" s="45"/>
    </row>
    <row r="843" spans="10:12" ht="13.2">
      <c r="J843" s="45"/>
      <c r="K843" s="45"/>
      <c r="L843" s="45"/>
    </row>
    <row r="844" spans="10:12" ht="13.2">
      <c r="J844" s="45"/>
      <c r="K844" s="45"/>
      <c r="L844" s="45"/>
    </row>
    <row r="845" spans="10:12" ht="13.2">
      <c r="J845" s="45"/>
      <c r="K845" s="45"/>
      <c r="L845" s="45"/>
    </row>
    <row r="846" spans="10:12" ht="13.2">
      <c r="J846" s="45"/>
      <c r="K846" s="45"/>
      <c r="L846" s="45"/>
    </row>
    <row r="847" spans="10:12" ht="13.2">
      <c r="J847" s="45"/>
      <c r="K847" s="45"/>
      <c r="L847" s="45"/>
    </row>
    <row r="848" spans="10:12" ht="13.2">
      <c r="J848" s="45"/>
      <c r="K848" s="45"/>
      <c r="L848" s="45"/>
    </row>
    <row r="849" spans="10:12" ht="13.2">
      <c r="J849" s="45"/>
      <c r="K849" s="45"/>
      <c r="L849" s="45"/>
    </row>
    <row r="850" spans="10:12" ht="13.2">
      <c r="J850" s="45"/>
      <c r="K850" s="45"/>
      <c r="L850" s="45"/>
    </row>
    <row r="851" spans="10:12" ht="13.2">
      <c r="J851" s="45"/>
      <c r="K851" s="45"/>
      <c r="L851" s="45"/>
    </row>
    <row r="852" spans="10:12" ht="13.2">
      <c r="J852" s="45"/>
      <c r="K852" s="45"/>
      <c r="L852" s="45"/>
    </row>
    <row r="853" spans="10:12" ht="13.2">
      <c r="J853" s="45"/>
      <c r="K853" s="45"/>
      <c r="L853" s="45"/>
    </row>
    <row r="854" spans="10:12" ht="13.2">
      <c r="J854" s="45"/>
      <c r="K854" s="45"/>
      <c r="L854" s="45"/>
    </row>
    <row r="855" spans="10:12" ht="13.2">
      <c r="J855" s="45"/>
      <c r="K855" s="45"/>
      <c r="L855" s="45"/>
    </row>
    <row r="856" spans="10:12" ht="13.2">
      <c r="J856" s="45"/>
      <c r="K856" s="45"/>
      <c r="L856" s="45"/>
    </row>
    <row r="857" spans="10:12" ht="13.2">
      <c r="J857" s="45"/>
      <c r="K857" s="45"/>
      <c r="L857" s="45"/>
    </row>
    <row r="858" spans="10:12" ht="13.2">
      <c r="J858" s="45"/>
      <c r="K858" s="45"/>
      <c r="L858" s="45"/>
    </row>
    <row r="859" spans="10:12" ht="13.2">
      <c r="J859" s="45"/>
      <c r="K859" s="45"/>
      <c r="L859" s="45"/>
    </row>
    <row r="860" spans="10:12" ht="13.2">
      <c r="J860" s="45"/>
      <c r="K860" s="45"/>
      <c r="L860" s="45"/>
    </row>
    <row r="861" spans="10:12" ht="13.2">
      <c r="J861" s="45"/>
      <c r="K861" s="45"/>
      <c r="L861" s="45"/>
    </row>
    <row r="862" spans="10:12" ht="13.2">
      <c r="J862" s="45"/>
      <c r="K862" s="45"/>
      <c r="L862" s="45"/>
    </row>
    <row r="863" spans="10:12" ht="13.2">
      <c r="J863" s="45"/>
      <c r="K863" s="45"/>
      <c r="L863" s="45"/>
    </row>
    <row r="864" spans="10:12" ht="13.2">
      <c r="J864" s="45"/>
      <c r="K864" s="45"/>
      <c r="L864" s="45"/>
    </row>
    <row r="865" spans="10:12" ht="13.2">
      <c r="J865" s="45"/>
      <c r="K865" s="45"/>
      <c r="L865" s="45"/>
    </row>
    <row r="866" spans="10:12" ht="13.2">
      <c r="J866" s="45"/>
      <c r="K866" s="45"/>
      <c r="L866" s="45"/>
    </row>
    <row r="867" spans="10:12" ht="13.2">
      <c r="J867" s="45"/>
      <c r="K867" s="45"/>
      <c r="L867" s="45"/>
    </row>
    <row r="868" spans="10:12" ht="13.2">
      <c r="J868" s="45"/>
      <c r="K868" s="45"/>
      <c r="L868" s="45"/>
    </row>
    <row r="869" spans="10:12" ht="13.2">
      <c r="J869" s="45"/>
      <c r="K869" s="45"/>
      <c r="L869" s="45"/>
    </row>
    <row r="870" spans="10:12" ht="13.2">
      <c r="J870" s="45"/>
      <c r="K870" s="45"/>
      <c r="L870" s="45"/>
    </row>
    <row r="871" spans="10:12" ht="13.2">
      <c r="J871" s="45"/>
      <c r="K871" s="45"/>
      <c r="L871" s="45"/>
    </row>
    <row r="872" spans="10:12" ht="13.2">
      <c r="J872" s="45"/>
      <c r="K872" s="45"/>
      <c r="L872" s="45"/>
    </row>
    <row r="873" spans="10:12" ht="13.2">
      <c r="J873" s="45"/>
      <c r="K873" s="45"/>
      <c r="L873" s="45"/>
    </row>
    <row r="874" spans="10:12" ht="13.2">
      <c r="J874" s="45"/>
      <c r="K874" s="45"/>
      <c r="L874" s="45"/>
    </row>
    <row r="875" spans="10:12" ht="13.2">
      <c r="J875" s="45"/>
      <c r="K875" s="45"/>
      <c r="L875" s="45"/>
    </row>
    <row r="876" spans="10:12" ht="13.2">
      <c r="J876" s="45"/>
      <c r="K876" s="45"/>
      <c r="L876" s="45"/>
    </row>
    <row r="877" spans="10:12" ht="13.2">
      <c r="J877" s="45"/>
      <c r="K877" s="45"/>
      <c r="L877" s="45"/>
    </row>
    <row r="878" spans="10:12" ht="13.2">
      <c r="J878" s="45"/>
      <c r="K878" s="45"/>
      <c r="L878" s="45"/>
    </row>
    <row r="879" spans="10:12" ht="13.2">
      <c r="J879" s="45"/>
      <c r="K879" s="45"/>
      <c r="L879" s="45"/>
    </row>
    <row r="880" spans="10:12" ht="13.2">
      <c r="J880" s="45"/>
      <c r="K880" s="45"/>
      <c r="L880" s="45"/>
    </row>
    <row r="881" spans="10:12" ht="13.2">
      <c r="J881" s="45"/>
      <c r="K881" s="45"/>
      <c r="L881" s="45"/>
    </row>
    <row r="882" spans="10:12" ht="13.2">
      <c r="J882" s="45"/>
      <c r="K882" s="45"/>
      <c r="L882" s="45"/>
    </row>
    <row r="883" spans="10:12" ht="13.2">
      <c r="J883" s="45"/>
      <c r="K883" s="45"/>
      <c r="L883" s="45"/>
    </row>
    <row r="884" spans="10:12" ht="13.2">
      <c r="J884" s="45"/>
      <c r="K884" s="45"/>
      <c r="L884" s="45"/>
    </row>
    <row r="885" spans="10:12" ht="13.2">
      <c r="J885" s="45"/>
      <c r="K885" s="45"/>
      <c r="L885" s="45"/>
    </row>
    <row r="886" spans="10:12" ht="13.2">
      <c r="J886" s="45"/>
      <c r="K886" s="45"/>
      <c r="L886" s="45"/>
    </row>
    <row r="887" spans="10:12" ht="13.2">
      <c r="J887" s="45"/>
      <c r="K887" s="45"/>
      <c r="L887" s="45"/>
    </row>
    <row r="888" spans="10:12" ht="13.2">
      <c r="J888" s="45"/>
      <c r="K888" s="45"/>
      <c r="L888" s="45"/>
    </row>
    <row r="889" spans="10:12" ht="13.2">
      <c r="J889" s="45"/>
      <c r="K889" s="45"/>
      <c r="L889" s="45"/>
    </row>
    <row r="890" spans="10:12" ht="13.2">
      <c r="J890" s="45"/>
      <c r="K890" s="45"/>
      <c r="L890" s="45"/>
    </row>
    <row r="891" spans="10:12" ht="13.2">
      <c r="J891" s="45"/>
      <c r="K891" s="45"/>
      <c r="L891" s="45"/>
    </row>
    <row r="892" spans="10:12" ht="13.2">
      <c r="J892" s="45"/>
      <c r="K892" s="45"/>
      <c r="L892" s="45"/>
    </row>
    <row r="893" spans="10:12" ht="13.2">
      <c r="J893" s="45"/>
      <c r="K893" s="45"/>
      <c r="L893" s="45"/>
    </row>
    <row r="894" spans="10:12" ht="13.2">
      <c r="J894" s="45"/>
      <c r="K894" s="45"/>
      <c r="L894" s="45"/>
    </row>
    <row r="895" spans="10:12" ht="13.2">
      <c r="J895" s="45"/>
      <c r="K895" s="45"/>
      <c r="L895" s="45"/>
    </row>
    <row r="896" spans="10:12" ht="13.2">
      <c r="J896" s="45"/>
      <c r="K896" s="45"/>
      <c r="L896" s="45"/>
    </row>
    <row r="897" spans="10:12" ht="13.2">
      <c r="J897" s="45"/>
      <c r="K897" s="45"/>
      <c r="L897" s="45"/>
    </row>
    <row r="898" spans="10:12" ht="13.2">
      <c r="J898" s="45"/>
      <c r="K898" s="45"/>
      <c r="L898" s="45"/>
    </row>
    <row r="899" spans="10:12" ht="13.2">
      <c r="J899" s="45"/>
      <c r="K899" s="45"/>
      <c r="L899" s="45"/>
    </row>
    <row r="900" spans="10:12" ht="13.2">
      <c r="J900" s="45"/>
      <c r="K900" s="45"/>
      <c r="L900" s="45"/>
    </row>
    <row r="901" spans="10:12" ht="13.2">
      <c r="J901" s="45"/>
      <c r="K901" s="45"/>
      <c r="L901" s="45"/>
    </row>
    <row r="902" spans="10:12" ht="13.2">
      <c r="J902" s="45"/>
      <c r="K902" s="45"/>
      <c r="L902" s="45"/>
    </row>
    <row r="903" spans="10:12" ht="13.2">
      <c r="J903" s="45"/>
      <c r="K903" s="45"/>
      <c r="L903" s="45"/>
    </row>
    <row r="904" spans="10:12" ht="13.2">
      <c r="J904" s="45"/>
      <c r="K904" s="45"/>
      <c r="L904" s="45"/>
    </row>
    <row r="905" spans="10:12" ht="13.2">
      <c r="J905" s="45"/>
      <c r="K905" s="45"/>
      <c r="L905" s="45"/>
    </row>
    <row r="906" spans="10:12" ht="13.2">
      <c r="J906" s="45"/>
      <c r="K906" s="45"/>
      <c r="L906" s="45"/>
    </row>
    <row r="907" spans="10:12" ht="13.2">
      <c r="J907" s="45"/>
      <c r="K907" s="45"/>
      <c r="L907" s="45"/>
    </row>
    <row r="908" spans="10:12" ht="13.2">
      <c r="J908" s="45"/>
      <c r="K908" s="45"/>
      <c r="L908" s="45"/>
    </row>
    <row r="909" spans="10:12" ht="13.2">
      <c r="J909" s="45"/>
      <c r="K909" s="45"/>
      <c r="L909" s="45"/>
    </row>
    <row r="910" spans="10:12" ht="13.2">
      <c r="J910" s="45"/>
      <c r="K910" s="45"/>
      <c r="L910" s="45"/>
    </row>
    <row r="911" spans="10:12" ht="13.2">
      <c r="J911" s="45"/>
      <c r="K911" s="45"/>
      <c r="L911" s="45"/>
    </row>
    <row r="912" spans="10:12" ht="13.2">
      <c r="J912" s="45"/>
      <c r="K912" s="45"/>
      <c r="L912" s="45"/>
    </row>
    <row r="913" spans="10:12" ht="13.2">
      <c r="J913" s="45"/>
      <c r="K913" s="45"/>
      <c r="L913" s="45"/>
    </row>
    <row r="914" spans="10:12" ht="13.2">
      <c r="J914" s="45"/>
      <c r="K914" s="45"/>
      <c r="L914" s="45"/>
    </row>
    <row r="915" spans="10:12" ht="13.2">
      <c r="J915" s="45"/>
      <c r="K915" s="45"/>
      <c r="L915" s="45"/>
    </row>
    <row r="916" spans="10:12" ht="13.2">
      <c r="J916" s="45"/>
      <c r="K916" s="45"/>
      <c r="L916" s="45"/>
    </row>
    <row r="917" spans="10:12" ht="13.2">
      <c r="J917" s="45"/>
      <c r="K917" s="45"/>
      <c r="L917" s="45"/>
    </row>
    <row r="918" spans="10:12" ht="13.2">
      <c r="J918" s="45"/>
      <c r="K918" s="45"/>
      <c r="L918" s="45"/>
    </row>
    <row r="919" spans="10:12" ht="13.2">
      <c r="J919" s="45"/>
      <c r="K919" s="45"/>
      <c r="L919" s="45"/>
    </row>
    <row r="920" spans="10:12" ht="13.2">
      <c r="J920" s="45"/>
      <c r="K920" s="45"/>
      <c r="L920" s="45"/>
    </row>
    <row r="921" spans="10:12" ht="13.2">
      <c r="J921" s="45"/>
      <c r="K921" s="45"/>
      <c r="L921" s="45"/>
    </row>
    <row r="922" spans="10:12" ht="13.2">
      <c r="J922" s="45"/>
      <c r="K922" s="45"/>
      <c r="L922" s="45"/>
    </row>
    <row r="923" spans="10:12" ht="13.2">
      <c r="J923" s="45"/>
      <c r="K923" s="45"/>
      <c r="L923" s="45"/>
    </row>
    <row r="924" spans="10:12" ht="13.2">
      <c r="J924" s="45"/>
      <c r="K924" s="45"/>
      <c r="L924" s="45"/>
    </row>
    <row r="925" spans="10:12" ht="13.2">
      <c r="J925" s="45"/>
      <c r="K925" s="45"/>
      <c r="L925" s="45"/>
    </row>
    <row r="926" spans="10:12" ht="13.2">
      <c r="J926" s="45"/>
      <c r="K926" s="45"/>
      <c r="L926" s="45"/>
    </row>
    <row r="927" spans="10:12" ht="13.2">
      <c r="J927" s="45"/>
      <c r="K927" s="45"/>
      <c r="L927" s="45"/>
    </row>
    <row r="928" spans="10:12" ht="13.2">
      <c r="J928" s="45"/>
      <c r="K928" s="45"/>
      <c r="L928" s="45"/>
    </row>
    <row r="929" spans="10:12" ht="13.2">
      <c r="J929" s="45"/>
      <c r="K929" s="45"/>
      <c r="L929" s="45"/>
    </row>
    <row r="930" spans="10:12" ht="13.2">
      <c r="J930" s="45"/>
      <c r="K930" s="45"/>
      <c r="L930" s="45"/>
    </row>
    <row r="931" spans="10:12" ht="13.2">
      <c r="J931" s="45"/>
      <c r="K931" s="45"/>
      <c r="L931" s="45"/>
    </row>
    <row r="932" spans="10:12" ht="13.2">
      <c r="J932" s="45"/>
      <c r="K932" s="45"/>
      <c r="L932" s="45"/>
    </row>
    <row r="933" spans="10:12" ht="13.2">
      <c r="J933" s="45"/>
      <c r="K933" s="45"/>
      <c r="L933" s="45"/>
    </row>
    <row r="934" spans="10:12" ht="13.2">
      <c r="J934" s="45"/>
      <c r="K934" s="45"/>
      <c r="L934" s="45"/>
    </row>
    <row r="935" spans="10:12" ht="13.2">
      <c r="J935" s="45"/>
      <c r="K935" s="45"/>
      <c r="L935" s="45"/>
    </row>
    <row r="936" spans="10:12" ht="13.2">
      <c r="J936" s="45"/>
      <c r="K936" s="45"/>
      <c r="L936" s="45"/>
    </row>
    <row r="937" spans="10:12" ht="13.2">
      <c r="J937" s="45"/>
      <c r="K937" s="45"/>
      <c r="L937" s="45"/>
    </row>
    <row r="938" spans="10:12" ht="13.2">
      <c r="J938" s="45"/>
      <c r="K938" s="45"/>
      <c r="L938" s="45"/>
    </row>
    <row r="939" spans="10:12" ht="13.2">
      <c r="J939" s="45"/>
      <c r="K939" s="45"/>
      <c r="L939" s="45"/>
    </row>
    <row r="940" spans="10:12" ht="13.2">
      <c r="J940" s="45"/>
      <c r="K940" s="45"/>
      <c r="L940" s="45"/>
    </row>
    <row r="941" spans="10:12" ht="13.2">
      <c r="J941" s="45"/>
      <c r="K941" s="45"/>
      <c r="L941" s="45"/>
    </row>
    <row r="942" spans="10:12" ht="13.2">
      <c r="J942" s="45"/>
      <c r="K942" s="45"/>
      <c r="L942" s="45"/>
    </row>
    <row r="943" spans="10:12" ht="13.2">
      <c r="J943" s="45"/>
      <c r="K943" s="45"/>
      <c r="L943" s="45"/>
    </row>
    <row r="944" spans="10:12" ht="13.2">
      <c r="J944" s="45"/>
      <c r="K944" s="45"/>
      <c r="L944" s="45"/>
    </row>
    <row r="945" spans="10:12" ht="13.2">
      <c r="J945" s="45"/>
      <c r="K945" s="45"/>
      <c r="L945" s="45"/>
    </row>
    <row r="946" spans="10:12" ht="13.2">
      <c r="J946" s="45"/>
      <c r="K946" s="45"/>
      <c r="L946" s="45"/>
    </row>
    <row r="947" spans="10:12" ht="13.2">
      <c r="J947" s="45"/>
      <c r="K947" s="45"/>
      <c r="L947" s="45"/>
    </row>
    <row r="948" spans="10:12" ht="13.2">
      <c r="J948" s="45"/>
      <c r="K948" s="45"/>
      <c r="L948" s="45"/>
    </row>
    <row r="949" spans="10:12" ht="13.2">
      <c r="J949" s="45"/>
      <c r="K949" s="45"/>
      <c r="L949" s="45"/>
    </row>
    <row r="950" spans="10:12" ht="13.2">
      <c r="J950" s="45"/>
      <c r="K950" s="45"/>
      <c r="L950" s="45"/>
    </row>
    <row r="951" spans="10:12" ht="13.2">
      <c r="J951" s="45"/>
      <c r="K951" s="45"/>
      <c r="L951" s="45"/>
    </row>
    <row r="952" spans="10:12" ht="13.2">
      <c r="J952" s="45"/>
      <c r="K952" s="45"/>
      <c r="L952" s="45"/>
    </row>
    <row r="953" spans="10:12" ht="13.2">
      <c r="J953" s="45"/>
      <c r="K953" s="45"/>
      <c r="L953" s="45"/>
    </row>
    <row r="954" spans="10:12" ht="13.2">
      <c r="J954" s="45"/>
      <c r="K954" s="45"/>
      <c r="L954" s="45"/>
    </row>
    <row r="955" spans="10:12" ht="13.2">
      <c r="J955" s="45"/>
      <c r="K955" s="45"/>
      <c r="L955" s="45"/>
    </row>
    <row r="956" spans="10:12" ht="13.2">
      <c r="J956" s="45"/>
      <c r="K956" s="45"/>
      <c r="L956" s="45"/>
    </row>
    <row r="957" spans="10:12" ht="13.2">
      <c r="J957" s="45"/>
      <c r="K957" s="45"/>
      <c r="L957" s="45"/>
    </row>
    <row r="958" spans="10:12" ht="13.2">
      <c r="J958" s="45"/>
      <c r="K958" s="45"/>
      <c r="L958" s="45"/>
    </row>
    <row r="959" spans="10:12" ht="13.2">
      <c r="J959" s="45"/>
      <c r="K959" s="45"/>
      <c r="L959" s="45"/>
    </row>
    <row r="960" spans="10:12" ht="13.2">
      <c r="J960" s="45"/>
      <c r="K960" s="45"/>
      <c r="L960" s="45"/>
    </row>
    <row r="961" spans="10:12" ht="13.2">
      <c r="J961" s="45"/>
      <c r="K961" s="45"/>
      <c r="L961" s="45"/>
    </row>
    <row r="962" spans="10:12" ht="13.2">
      <c r="J962" s="45"/>
      <c r="K962" s="45"/>
      <c r="L962" s="45"/>
    </row>
    <row r="963" spans="10:12" ht="13.2">
      <c r="J963" s="45"/>
      <c r="K963" s="45"/>
      <c r="L963" s="45"/>
    </row>
    <row r="964" spans="10:12" ht="13.2">
      <c r="J964" s="45"/>
      <c r="K964" s="45"/>
      <c r="L964" s="45"/>
    </row>
    <row r="965" spans="10:12" ht="13.2">
      <c r="J965" s="45"/>
      <c r="K965" s="45"/>
      <c r="L965" s="45"/>
    </row>
    <row r="966" spans="10:12" ht="13.2">
      <c r="J966" s="45"/>
      <c r="K966" s="45"/>
      <c r="L966" s="45"/>
    </row>
    <row r="967" spans="10:12" ht="13.2">
      <c r="J967" s="45"/>
      <c r="K967" s="45"/>
      <c r="L967" s="45"/>
    </row>
    <row r="968" spans="10:12" ht="13.2">
      <c r="J968" s="45"/>
      <c r="K968" s="45"/>
      <c r="L968" s="45"/>
    </row>
    <row r="969" spans="10:12" ht="13.2">
      <c r="J969" s="45"/>
      <c r="K969" s="45"/>
      <c r="L969" s="45"/>
    </row>
    <row r="970" spans="10:12" ht="13.2">
      <c r="J970" s="45"/>
      <c r="K970" s="45"/>
      <c r="L970" s="45"/>
    </row>
    <row r="971" spans="10:12" ht="13.2">
      <c r="J971" s="45"/>
      <c r="K971" s="45"/>
      <c r="L971" s="45"/>
    </row>
    <row r="972" spans="10:12" ht="13.2">
      <c r="J972" s="45"/>
      <c r="K972" s="45"/>
      <c r="L972" s="45"/>
    </row>
    <row r="973" spans="10:12" ht="13.2">
      <c r="J973" s="45"/>
      <c r="K973" s="45"/>
      <c r="L973" s="45"/>
    </row>
    <row r="974" spans="10:12" ht="13.2">
      <c r="J974" s="45"/>
      <c r="K974" s="45"/>
      <c r="L974" s="45"/>
    </row>
    <row r="975" spans="10:12" ht="13.2">
      <c r="J975" s="45"/>
      <c r="K975" s="45"/>
      <c r="L975" s="45"/>
    </row>
  </sheetData>
  <autoFilter ref="A1:H154" xr:uid="{00000000-0009-0000-0000-000008000000}">
    <sortState xmlns:xlrd2="http://schemas.microsoft.com/office/spreadsheetml/2017/richdata2" ref="A2:H154">
      <sortCondition descending="1" ref="H1:H154"/>
    </sortState>
  </autoFilter>
  <hyperlinks>
    <hyperlink ref="G3" r:id="rId1" xr:uid="{00000000-0004-0000-0800-000000000000}"/>
    <hyperlink ref="G4" r:id="rId2" xr:uid="{00000000-0004-0000-0800-000001000000}"/>
    <hyperlink ref="G5" r:id="rId3" xr:uid="{00000000-0004-0000-0800-000002000000}"/>
    <hyperlink ref="G6" r:id="rId4" xr:uid="{00000000-0004-0000-0800-000003000000}"/>
    <hyperlink ref="G7" r:id="rId5" xr:uid="{00000000-0004-0000-0800-000004000000}"/>
    <hyperlink ref="G8" r:id="rId6" xr:uid="{00000000-0004-0000-0800-000005000000}"/>
    <hyperlink ref="G9" r:id="rId7" xr:uid="{00000000-0004-0000-0800-000006000000}"/>
    <hyperlink ref="G13" r:id="rId8" xr:uid="{00000000-0004-0000-0800-000007000000}"/>
    <hyperlink ref="G14" r:id="rId9" xr:uid="{00000000-0004-0000-0800-000008000000}"/>
    <hyperlink ref="G15" r:id="rId10" location="google_vignette" xr:uid="{00000000-0004-0000-0800-000009000000}"/>
    <hyperlink ref="G23" r:id="rId11" location="section=Solubility" xr:uid="{00000000-0004-0000-0800-00000A000000}"/>
    <hyperlink ref="G30" r:id="rId12" xr:uid="{00000000-0004-0000-0800-00000B000000}"/>
    <hyperlink ref="G31" r:id="rId13" xr:uid="{00000000-0004-0000-0800-00000C000000}"/>
    <hyperlink ref="G32" r:id="rId14" xr:uid="{00000000-0004-0000-0800-00000D000000}"/>
    <hyperlink ref="G35" r:id="rId15" xr:uid="{00000000-0004-0000-0800-00000E000000}"/>
    <hyperlink ref="G40" r:id="rId16" xr:uid="{00000000-0004-0000-0800-00000F000000}"/>
    <hyperlink ref="G42" r:id="rId17" xr:uid="{00000000-0004-0000-0800-000010000000}"/>
    <hyperlink ref="G43" r:id="rId18" xr:uid="{00000000-0004-0000-0800-000011000000}"/>
    <hyperlink ref="G45" r:id="rId19" xr:uid="{00000000-0004-0000-0800-000012000000}"/>
    <hyperlink ref="G50" r:id="rId20" xr:uid="{00000000-0004-0000-0800-000013000000}"/>
    <hyperlink ref="G53" r:id="rId21" xr:uid="{00000000-0004-0000-0800-000014000000}"/>
    <hyperlink ref="G57" r:id="rId22" xr:uid="{00000000-0004-0000-0800-000015000000}"/>
    <hyperlink ref="G59" r:id="rId23" xr:uid="{00000000-0004-0000-0800-000016000000}"/>
    <hyperlink ref="G62" r:id="rId24" xr:uid="{00000000-0004-0000-0800-000017000000}"/>
    <hyperlink ref="G64" r:id="rId25" location="section=Solubility" xr:uid="{00000000-0004-0000-0800-000018000000}"/>
    <hyperlink ref="G66" r:id="rId26" xr:uid="{00000000-0004-0000-0800-000019000000}"/>
    <hyperlink ref="G73" r:id="rId27" xr:uid="{00000000-0004-0000-0800-00001A000000}"/>
    <hyperlink ref="G75" r:id="rId28" xr:uid="{00000000-0004-0000-0800-00001B000000}"/>
    <hyperlink ref="G76" r:id="rId29" xr:uid="{00000000-0004-0000-0800-00001C000000}"/>
    <hyperlink ref="G77" r:id="rId30" xr:uid="{00000000-0004-0000-0800-00001D000000}"/>
    <hyperlink ref="G79" r:id="rId31" xr:uid="{00000000-0004-0000-0800-00001E000000}"/>
    <hyperlink ref="G83" r:id="rId32" xr:uid="{00000000-0004-0000-0800-00001F000000}"/>
    <hyperlink ref="G86" r:id="rId33" xr:uid="{00000000-0004-0000-0800-000020000000}"/>
    <hyperlink ref="G87" r:id="rId34" xr:uid="{00000000-0004-0000-0800-000021000000}"/>
    <hyperlink ref="G89" r:id="rId35" xr:uid="{00000000-0004-0000-0800-000022000000}"/>
    <hyperlink ref="G94" r:id="rId36" xr:uid="{00000000-0004-0000-0800-000023000000}"/>
    <hyperlink ref="G96" r:id="rId37" xr:uid="{00000000-0004-0000-0800-000024000000}"/>
    <hyperlink ref="G99" r:id="rId38" xr:uid="{00000000-0004-0000-0800-000025000000}"/>
    <hyperlink ref="G100" r:id="rId39" xr:uid="{00000000-0004-0000-0800-000026000000}"/>
    <hyperlink ref="G102" r:id="rId40" xr:uid="{00000000-0004-0000-0800-000027000000}"/>
    <hyperlink ref="G104" r:id="rId41" xr:uid="{00000000-0004-0000-0800-000028000000}"/>
    <hyperlink ref="G105" r:id="rId42" xr:uid="{00000000-0004-0000-0800-000029000000}"/>
    <hyperlink ref="G107" r:id="rId43" xr:uid="{00000000-0004-0000-0800-00002A000000}"/>
    <hyperlink ref="G108" r:id="rId44" xr:uid="{00000000-0004-0000-0800-00002B000000}"/>
    <hyperlink ref="G110" r:id="rId45" xr:uid="{00000000-0004-0000-0800-00002C000000}"/>
    <hyperlink ref="G111" r:id="rId46" xr:uid="{00000000-0004-0000-0800-00002D000000}"/>
    <hyperlink ref="G113" r:id="rId47" xr:uid="{00000000-0004-0000-0800-00002E000000}"/>
    <hyperlink ref="G118" r:id="rId48" xr:uid="{00000000-0004-0000-0800-00002F000000}"/>
    <hyperlink ref="G119" r:id="rId49" xr:uid="{00000000-0004-0000-0800-000030000000}"/>
    <hyperlink ref="G120" r:id="rId50" location=":~:text=Yolk,is%20no%20CO2%20loss." xr:uid="{00000000-0004-0000-0800-000031000000}"/>
    <hyperlink ref="G122" r:id="rId51" xr:uid="{00000000-0004-0000-0800-000032000000}"/>
    <hyperlink ref="G123" r:id="rId52" xr:uid="{00000000-0004-0000-0800-000033000000}"/>
    <hyperlink ref="G124" r:id="rId53" xr:uid="{00000000-0004-0000-0800-000034000000}"/>
    <hyperlink ref="G125" r:id="rId54" xr:uid="{00000000-0004-0000-0800-000035000000}"/>
    <hyperlink ref="G126" r:id="rId55" xr:uid="{00000000-0004-0000-0800-000036000000}"/>
    <hyperlink ref="G127" r:id="rId56" xr:uid="{00000000-0004-0000-0800-000037000000}"/>
    <hyperlink ref="G128" r:id="rId57" xr:uid="{00000000-0004-0000-0800-000038000000}"/>
    <hyperlink ref="G129" r:id="rId58" xr:uid="{00000000-0004-0000-0800-000039000000}"/>
    <hyperlink ref="G130" r:id="rId59" xr:uid="{00000000-0004-0000-0800-00003A000000}"/>
    <hyperlink ref="G131" r:id="rId60" location="section=Solubility" xr:uid="{00000000-0004-0000-0800-00003B000000}"/>
    <hyperlink ref="G132" r:id="rId61" xr:uid="{00000000-0004-0000-0800-00003C000000}"/>
    <hyperlink ref="G134" r:id="rId62" xr:uid="{00000000-0004-0000-0800-00003D000000}"/>
    <hyperlink ref="G136" r:id="rId63" xr:uid="{00000000-0004-0000-0800-00003E000000}"/>
    <hyperlink ref="G137" r:id="rId64" xr:uid="{00000000-0004-0000-0800-00003F000000}"/>
    <hyperlink ref="G138" r:id="rId65" location=":~:text=Table_title:%20Key%20Differences%20Table_content:%20header:%20%7C%20Form,1%20tsp%20%E2%89%88%201%20fresh%20sprig%20%7C" xr:uid="{00000000-0004-0000-0800-000040000000}"/>
    <hyperlink ref="G139" r:id="rId66" xr:uid="{00000000-0004-0000-0800-000041000000}"/>
    <hyperlink ref="G140" r:id="rId67" xr:uid="{00000000-0004-0000-0800-000042000000}"/>
    <hyperlink ref="G141" r:id="rId68" xr:uid="{00000000-0004-0000-0800-000043000000}"/>
    <hyperlink ref="G142" r:id="rId69" xr:uid="{00000000-0004-0000-0800-000044000000}"/>
    <hyperlink ref="G143" r:id="rId70" location="google_vignette" xr:uid="{00000000-0004-0000-0800-000045000000}"/>
    <hyperlink ref="G144" r:id="rId71" xr:uid="{00000000-0004-0000-0800-000046000000}"/>
    <hyperlink ref="G145" r:id="rId72" xr:uid="{00000000-0004-0000-0800-000047000000}"/>
    <hyperlink ref="G147" r:id="rId73" xr:uid="{00000000-0004-0000-0800-000048000000}"/>
    <hyperlink ref="G148" r:id="rId74" xr:uid="{00000000-0004-0000-0800-000049000000}"/>
    <hyperlink ref="G149" r:id="rId75" xr:uid="{00000000-0004-0000-0800-00004A000000}"/>
    <hyperlink ref="G150" r:id="rId76" xr:uid="{00000000-0004-0000-0800-00004B000000}"/>
    <hyperlink ref="G151" r:id="rId77" xr:uid="{00000000-0004-0000-0800-00004C000000}"/>
    <hyperlink ref="G152" r:id="rId78" xr:uid="{00000000-0004-0000-0800-00004D000000}"/>
    <hyperlink ref="G153" r:id="rId79" location=":~:text=A%20standard%20cinnamon%20stick%20measures,contact%20with%20heat%20or%20liquid." xr:uid="{00000000-0004-0000-0800-00004E000000}"/>
    <hyperlink ref="G154" r:id="rId80" xr:uid="{00000000-0004-0000-0800-00004F000000}"/>
  </hyperlinks>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N374"/>
  <sheetViews>
    <sheetView topLeftCell="A13" workbookViewId="0"/>
  </sheetViews>
  <sheetFormatPr defaultColWidth="12.6640625" defaultRowHeight="15.75" customHeight="1"/>
  <cols>
    <col min="3" max="3" width="15.88671875" customWidth="1"/>
  </cols>
  <sheetData>
    <row r="1" spans="1:14" ht="14.4">
      <c r="C1" s="53"/>
      <c r="D1" s="2"/>
      <c r="H1" s="10"/>
      <c r="I1" s="10"/>
      <c r="J1" s="10"/>
      <c r="K1" s="10"/>
      <c r="L1" s="10" t="s">
        <v>1941</v>
      </c>
      <c r="N1" s="10">
        <v>63</v>
      </c>
    </row>
    <row r="2" spans="1:14" ht="26.4">
      <c r="A2" s="46" t="s">
        <v>638</v>
      </c>
      <c r="B2" s="46" t="s">
        <v>1723</v>
      </c>
      <c r="C2" s="46" t="s">
        <v>1724</v>
      </c>
      <c r="D2" s="46" t="s">
        <v>701</v>
      </c>
      <c r="E2" s="47" t="s">
        <v>1725</v>
      </c>
      <c r="F2" s="47" t="s">
        <v>1726</v>
      </c>
      <c r="G2" s="47" t="s">
        <v>1727</v>
      </c>
      <c r="H2" s="46" t="s">
        <v>1728</v>
      </c>
      <c r="I2" s="98"/>
      <c r="J2" s="98"/>
      <c r="K2" s="98"/>
      <c r="L2" s="2"/>
      <c r="M2" s="2"/>
    </row>
    <row r="3" spans="1:14" ht="15.75" customHeight="1">
      <c r="A3" s="50" t="s">
        <v>646</v>
      </c>
      <c r="B3" s="60">
        <v>87</v>
      </c>
      <c r="C3" s="61" t="s">
        <v>1849</v>
      </c>
      <c r="D3" s="60" t="s">
        <v>1850</v>
      </c>
      <c r="E3" s="62">
        <v>1.38</v>
      </c>
      <c r="F3" s="63"/>
      <c r="G3" s="83" t="s">
        <v>1743</v>
      </c>
      <c r="H3" s="60">
        <f>102.5*1.38+5*E3*9/2+63</f>
        <v>235.5</v>
      </c>
      <c r="I3" s="1"/>
      <c r="J3" s="1"/>
      <c r="K3" s="1"/>
      <c r="L3" s="1" t="s">
        <v>646</v>
      </c>
      <c r="M3" s="4">
        <v>87</v>
      </c>
    </row>
    <row r="4" spans="1:14" ht="15.75" customHeight="1">
      <c r="A4" s="50" t="s">
        <v>1440</v>
      </c>
      <c r="B4" s="51">
        <v>62</v>
      </c>
      <c r="C4" s="52" t="s">
        <v>1917</v>
      </c>
      <c r="D4" s="51" t="s">
        <v>1918</v>
      </c>
      <c r="E4" s="53">
        <v>0.47</v>
      </c>
      <c r="F4" s="53" t="s">
        <v>1737</v>
      </c>
      <c r="G4" s="55" t="s">
        <v>1919</v>
      </c>
      <c r="H4" s="50">
        <f>(3/2)*5*0.47+2.5*0.47</f>
        <v>4.6999999999999993</v>
      </c>
      <c r="I4" s="1"/>
      <c r="J4" s="1"/>
      <c r="K4" s="1"/>
      <c r="L4" s="1" t="s">
        <v>1440</v>
      </c>
      <c r="M4" s="4">
        <v>62</v>
      </c>
    </row>
    <row r="5" spans="1:14" ht="15.75" customHeight="1">
      <c r="A5" s="50" t="s">
        <v>737</v>
      </c>
      <c r="B5" s="51">
        <v>56</v>
      </c>
      <c r="C5" s="52" t="s">
        <v>1813</v>
      </c>
      <c r="D5" s="51">
        <f>4+3+2+2+3+4+1+1+8+2+3+3+4+4+4+2+2+1+5+8+3+11+3+3+4+2+3+3+2+4+4+6+3+2+3+6+3+3+5+4+3+2+5+6+2+2+2+2+1+4+1+3+4+4+3+4+2</f>
        <v>193</v>
      </c>
      <c r="E5" s="53" t="s">
        <v>1737</v>
      </c>
      <c r="F5" s="53">
        <v>4.4000000000000004</v>
      </c>
      <c r="G5" s="55" t="s">
        <v>1740</v>
      </c>
      <c r="H5" s="50">
        <f>4.4*193</f>
        <v>849.2</v>
      </c>
      <c r="I5" s="1"/>
      <c r="J5" s="1"/>
      <c r="K5" s="1"/>
      <c r="L5" s="1" t="s">
        <v>737</v>
      </c>
      <c r="M5" s="4">
        <v>56</v>
      </c>
    </row>
    <row r="6" spans="1:14" ht="15.75" customHeight="1">
      <c r="A6" s="50" t="s">
        <v>651</v>
      </c>
      <c r="B6" s="51">
        <v>55</v>
      </c>
      <c r="C6" s="52" t="s">
        <v>1749</v>
      </c>
      <c r="D6" s="51">
        <f>1+1+1+2+2+1+2+1+1+2+1+1/2+1/2+1/4+1+1+1+1+1+1+1+1+1+1+1+1+1+1+2+1+1+1+1+1+1+1+1/2+1+1+1/4+1/2+2+1+1+1+1+1+1+1+2+1+1+1+1+2</f>
        <v>59.5</v>
      </c>
      <c r="E6" s="53" t="s">
        <v>1737</v>
      </c>
      <c r="F6" s="53">
        <v>70</v>
      </c>
      <c r="G6" s="55" t="s">
        <v>1740</v>
      </c>
      <c r="H6" s="50">
        <f>70*D6</f>
        <v>4165</v>
      </c>
      <c r="I6" s="1"/>
      <c r="J6" s="1"/>
      <c r="K6" s="1"/>
      <c r="L6" s="1" t="s">
        <v>651</v>
      </c>
      <c r="M6" s="4">
        <v>55</v>
      </c>
    </row>
    <row r="7" spans="1:14" ht="15.75" customHeight="1">
      <c r="A7" s="50" t="s">
        <v>733</v>
      </c>
      <c r="B7" s="51">
        <v>49</v>
      </c>
      <c r="C7" s="52" t="s">
        <v>1744</v>
      </c>
      <c r="D7" s="51" t="s">
        <v>1745</v>
      </c>
      <c r="E7" s="53">
        <v>0.92700000000000005</v>
      </c>
      <c r="F7" s="53" t="s">
        <v>1737</v>
      </c>
      <c r="G7" s="55" t="s">
        <v>1743</v>
      </c>
      <c r="H7" s="50">
        <f>(5225+15)*E7</f>
        <v>4857.4800000000005</v>
      </c>
      <c r="I7" s="1"/>
      <c r="J7" s="1"/>
      <c r="K7" s="1"/>
      <c r="L7" s="1" t="s">
        <v>733</v>
      </c>
      <c r="M7" s="4">
        <v>49</v>
      </c>
    </row>
    <row r="8" spans="1:14" ht="15.75" customHeight="1">
      <c r="A8" s="50" t="s">
        <v>1421</v>
      </c>
      <c r="B8" s="51">
        <v>43</v>
      </c>
      <c r="C8" s="52" t="s">
        <v>1942</v>
      </c>
      <c r="D8" s="51" t="s">
        <v>1776</v>
      </c>
      <c r="E8" s="53">
        <f>(0.919+0.909)/2</f>
        <v>0.91400000000000003</v>
      </c>
      <c r="F8" s="53" t="s">
        <v>1737</v>
      </c>
      <c r="G8" s="55" t="s">
        <v>1777</v>
      </c>
      <c r="H8" s="50">
        <f>(2210)*E8+6*5*E8</f>
        <v>2047.3600000000001</v>
      </c>
      <c r="I8" s="1"/>
      <c r="J8" s="1"/>
      <c r="K8" s="1"/>
      <c r="L8" s="1" t="s">
        <v>1421</v>
      </c>
      <c r="M8" s="4">
        <v>43</v>
      </c>
    </row>
    <row r="9" spans="1:14" ht="15.75" customHeight="1">
      <c r="A9" s="50" t="s">
        <v>1449</v>
      </c>
      <c r="B9" s="51">
        <v>36</v>
      </c>
      <c r="C9" s="52" t="s">
        <v>1829</v>
      </c>
      <c r="D9" s="51" t="s">
        <v>1830</v>
      </c>
      <c r="E9" s="53">
        <v>0.11</v>
      </c>
      <c r="F9" s="53" t="s">
        <v>1737</v>
      </c>
      <c r="G9" s="55" t="s">
        <v>1777</v>
      </c>
      <c r="H9" s="50">
        <f>511+285*E9</f>
        <v>542.35</v>
      </c>
      <c r="I9" s="1"/>
      <c r="J9" s="1"/>
      <c r="K9" s="1"/>
      <c r="L9" s="1" t="s">
        <v>1449</v>
      </c>
      <c r="M9" s="4">
        <v>36</v>
      </c>
    </row>
    <row r="10" spans="1:14" ht="15.75" customHeight="1">
      <c r="A10" s="50" t="s">
        <v>652</v>
      </c>
      <c r="B10" s="51">
        <v>29</v>
      </c>
      <c r="C10" s="52" t="s">
        <v>1943</v>
      </c>
      <c r="D10" s="51" t="s">
        <v>1787</v>
      </c>
      <c r="E10" s="53">
        <v>1.022</v>
      </c>
      <c r="F10" s="53" t="s">
        <v>1737</v>
      </c>
      <c r="G10" s="55" t="s">
        <v>1743</v>
      </c>
      <c r="H10" s="50">
        <f>1452+90*0.911</f>
        <v>1533.99</v>
      </c>
      <c r="I10" s="1"/>
      <c r="J10" s="1"/>
      <c r="K10" s="1"/>
      <c r="L10" s="1" t="s">
        <v>652</v>
      </c>
      <c r="M10" s="4">
        <v>29</v>
      </c>
    </row>
    <row r="11" spans="1:14" ht="15.75" customHeight="1">
      <c r="A11" s="50" t="s">
        <v>653</v>
      </c>
      <c r="B11" s="51">
        <v>28</v>
      </c>
      <c r="C11" s="52" t="s">
        <v>1735</v>
      </c>
      <c r="D11" s="51" t="s">
        <v>1736</v>
      </c>
      <c r="E11" s="53">
        <v>1</v>
      </c>
      <c r="F11" s="53" t="s">
        <v>1737</v>
      </c>
      <c r="G11" s="53" t="s">
        <v>1737</v>
      </c>
      <c r="H11" s="50">
        <v>14445</v>
      </c>
      <c r="I11" s="1"/>
      <c r="J11" s="1"/>
      <c r="K11" s="1"/>
      <c r="L11" s="1" t="s">
        <v>653</v>
      </c>
      <c r="M11" s="4">
        <v>28</v>
      </c>
    </row>
    <row r="12" spans="1:14" ht="15.75" customHeight="1">
      <c r="A12" s="50" t="s">
        <v>658</v>
      </c>
      <c r="B12" s="51">
        <v>24</v>
      </c>
      <c r="C12" s="52" t="s">
        <v>1738</v>
      </c>
      <c r="D12" s="51" t="s">
        <v>1944</v>
      </c>
      <c r="E12" s="53" t="s">
        <v>1737</v>
      </c>
      <c r="F12" s="53">
        <v>100</v>
      </c>
      <c r="G12" s="55" t="s">
        <v>1740</v>
      </c>
      <c r="H12" s="50">
        <f>46*100+1991</f>
        <v>6591</v>
      </c>
      <c r="I12" s="1"/>
      <c r="J12" s="1"/>
      <c r="K12" s="1"/>
      <c r="L12" s="1" t="s">
        <v>658</v>
      </c>
      <c r="M12" s="4">
        <v>24</v>
      </c>
    </row>
    <row r="13" spans="1:14" ht="15.75" customHeight="1">
      <c r="A13" s="50" t="s">
        <v>1463</v>
      </c>
      <c r="B13" s="51">
        <v>21</v>
      </c>
      <c r="C13" s="52" t="s">
        <v>1750</v>
      </c>
      <c r="D13" s="51" t="s">
        <v>1751</v>
      </c>
      <c r="E13" s="53">
        <f>(0.48+0.58+0.67+0.521)/4</f>
        <v>0.56274999999999997</v>
      </c>
      <c r="F13" s="53" t="s">
        <v>1737</v>
      </c>
      <c r="G13" s="55" t="s">
        <v>1743</v>
      </c>
      <c r="H13" s="50">
        <f>30*E13+3982</f>
        <v>3998.8825000000002</v>
      </c>
      <c r="I13" s="1"/>
      <c r="J13" s="1"/>
      <c r="K13" s="1"/>
      <c r="L13" s="1" t="s">
        <v>1463</v>
      </c>
      <c r="M13" s="4">
        <v>21</v>
      </c>
    </row>
    <row r="14" spans="1:14" ht="15.75" customHeight="1">
      <c r="A14" s="75" t="s">
        <v>1495</v>
      </c>
      <c r="B14" s="76">
        <v>15</v>
      </c>
      <c r="C14" s="77" t="s">
        <v>1800</v>
      </c>
      <c r="D14" s="76" t="s">
        <v>1945</v>
      </c>
      <c r="E14" s="53">
        <v>1.02</v>
      </c>
      <c r="F14" s="53">
        <v>84</v>
      </c>
      <c r="G14" s="55" t="s">
        <v>1802</v>
      </c>
      <c r="H14" s="50">
        <f>30*1.02+84*14</f>
        <v>1206.5999999999999</v>
      </c>
      <c r="I14" s="1"/>
      <c r="J14" s="1"/>
      <c r="K14" s="1"/>
      <c r="L14" s="1" t="s">
        <v>1495</v>
      </c>
      <c r="M14" s="4">
        <v>15</v>
      </c>
    </row>
    <row r="15" spans="1:14" ht="15.75" customHeight="1">
      <c r="A15" s="50" t="s">
        <v>640</v>
      </c>
      <c r="B15" s="51">
        <v>13</v>
      </c>
      <c r="C15" s="52" t="s">
        <v>1741</v>
      </c>
      <c r="D15" s="51" t="s">
        <v>1742</v>
      </c>
      <c r="E15" s="53">
        <v>1.04</v>
      </c>
      <c r="F15" s="53" t="s">
        <v>1737</v>
      </c>
      <c r="G15" s="55" t="s">
        <v>1743</v>
      </c>
      <c r="H15" s="50">
        <f>4625*1.04</f>
        <v>4810</v>
      </c>
      <c r="I15" s="1"/>
      <c r="J15" s="1"/>
      <c r="K15" s="1"/>
      <c r="L15" s="1" t="s">
        <v>640</v>
      </c>
      <c r="M15" s="4">
        <v>13</v>
      </c>
    </row>
    <row r="16" spans="1:14" ht="15.75" customHeight="1">
      <c r="A16" s="50" t="s">
        <v>642</v>
      </c>
      <c r="B16" s="51">
        <v>13</v>
      </c>
      <c r="C16" s="52" t="s">
        <v>1799</v>
      </c>
      <c r="D16" s="51">
        <v>27</v>
      </c>
      <c r="E16" s="53" t="s">
        <v>1737</v>
      </c>
      <c r="F16" s="53">
        <v>45</v>
      </c>
      <c r="G16" s="53" t="s">
        <v>1740</v>
      </c>
      <c r="H16" s="50">
        <f>27*45</f>
        <v>1215</v>
      </c>
      <c r="I16" s="1"/>
      <c r="J16" s="1"/>
      <c r="K16" s="1"/>
      <c r="L16" s="1" t="s">
        <v>642</v>
      </c>
      <c r="M16" s="4">
        <v>13</v>
      </c>
    </row>
    <row r="17" spans="1:13" ht="15.75" customHeight="1">
      <c r="A17" s="75" t="s">
        <v>711</v>
      </c>
      <c r="B17" s="76">
        <v>12</v>
      </c>
      <c r="C17" s="77" t="s">
        <v>1911</v>
      </c>
      <c r="D17" s="76">
        <v>22</v>
      </c>
      <c r="E17" s="53">
        <v>0.25</v>
      </c>
      <c r="F17" s="53"/>
      <c r="G17" s="55" t="s">
        <v>1912</v>
      </c>
      <c r="H17" s="50">
        <f>22*0.25</f>
        <v>5.5</v>
      </c>
      <c r="I17" s="1"/>
      <c r="J17" s="1"/>
      <c r="K17" s="1"/>
      <c r="L17" s="1" t="s">
        <v>711</v>
      </c>
      <c r="M17" s="4">
        <v>12</v>
      </c>
    </row>
    <row r="18" spans="1:13" ht="15.75" customHeight="1">
      <c r="A18" s="50" t="s">
        <v>1445</v>
      </c>
      <c r="B18" s="51">
        <v>10</v>
      </c>
      <c r="C18" s="52" t="s">
        <v>1798</v>
      </c>
      <c r="D18" s="51">
        <v>1229</v>
      </c>
      <c r="E18" s="53">
        <f>170+225+85+113+113+57+226+115+125</f>
        <v>1229</v>
      </c>
      <c r="F18" s="53" t="s">
        <v>1737</v>
      </c>
      <c r="G18" s="53" t="s">
        <v>1737</v>
      </c>
      <c r="H18" s="50">
        <v>1229</v>
      </c>
      <c r="I18" s="1"/>
      <c r="J18" s="1"/>
      <c r="K18" s="1"/>
      <c r="L18" s="1" t="s">
        <v>1445</v>
      </c>
      <c r="M18" s="4">
        <v>10</v>
      </c>
    </row>
    <row r="19" spans="1:13" ht="15.75" customHeight="1">
      <c r="A19" s="50" t="s">
        <v>1635</v>
      </c>
      <c r="B19" s="51">
        <v>9</v>
      </c>
      <c r="C19" s="52" t="s">
        <v>1870</v>
      </c>
      <c r="D19" s="51" t="s">
        <v>1946</v>
      </c>
      <c r="E19" s="53" t="s">
        <v>1737</v>
      </c>
      <c r="F19" s="53" t="s">
        <v>1737</v>
      </c>
      <c r="G19" s="53" t="s">
        <v>1737</v>
      </c>
      <c r="H19" s="50">
        <v>128</v>
      </c>
      <c r="I19" s="1"/>
      <c r="J19" s="1"/>
      <c r="K19" s="1"/>
      <c r="L19" s="1" t="s">
        <v>1635</v>
      </c>
      <c r="M19" s="4">
        <v>9</v>
      </c>
    </row>
    <row r="20" spans="1:13" ht="15.75" customHeight="1">
      <c r="A20" s="69" t="s">
        <v>1457</v>
      </c>
      <c r="B20" s="70">
        <v>10</v>
      </c>
      <c r="C20" s="71" t="s">
        <v>1947</v>
      </c>
      <c r="D20" s="70" t="s">
        <v>1894</v>
      </c>
      <c r="E20" s="73">
        <v>0.44</v>
      </c>
      <c r="F20" s="72" t="s">
        <v>1737</v>
      </c>
      <c r="G20" s="74" t="s">
        <v>1743</v>
      </c>
      <c r="H20" s="70">
        <f>26+45*0.44</f>
        <v>45.8</v>
      </c>
      <c r="I20" s="20"/>
      <c r="J20" s="20"/>
      <c r="K20" s="20"/>
      <c r="L20" s="99" t="s">
        <v>1457</v>
      </c>
      <c r="M20" s="100">
        <v>8</v>
      </c>
    </row>
    <row r="21" spans="1:13" ht="15.75" customHeight="1">
      <c r="A21" s="50" t="s">
        <v>1454</v>
      </c>
      <c r="B21" s="51">
        <v>9</v>
      </c>
      <c r="C21" s="52" t="s">
        <v>1756</v>
      </c>
      <c r="D21" s="51" t="s">
        <v>1757</v>
      </c>
      <c r="E21" s="53" t="s">
        <v>1737</v>
      </c>
      <c r="F21" s="53">
        <v>60</v>
      </c>
      <c r="G21" s="55" t="s">
        <v>1740</v>
      </c>
      <c r="H21" s="50">
        <f>2932+4*60</f>
        <v>3172</v>
      </c>
      <c r="I21" s="1"/>
      <c r="J21" s="1"/>
      <c r="K21" s="1"/>
      <c r="L21" s="1" t="s">
        <v>1454</v>
      </c>
      <c r="M21" s="4">
        <v>9</v>
      </c>
    </row>
    <row r="22" spans="1:13" ht="15.75" customHeight="1">
      <c r="A22" s="50" t="s">
        <v>1485</v>
      </c>
      <c r="B22" s="51">
        <v>9</v>
      </c>
      <c r="C22" s="52" t="s">
        <v>1837</v>
      </c>
      <c r="D22" s="51" t="s">
        <v>1838</v>
      </c>
      <c r="E22" s="53" t="s">
        <v>1737</v>
      </c>
      <c r="F22" s="53" t="s">
        <v>1737</v>
      </c>
      <c r="G22" s="53" t="s">
        <v>1737</v>
      </c>
      <c r="H22" s="50">
        <v>465</v>
      </c>
      <c r="I22" s="1"/>
      <c r="J22" s="1"/>
      <c r="K22" s="1"/>
      <c r="L22" s="1" t="s">
        <v>1485</v>
      </c>
      <c r="M22" s="4">
        <v>9</v>
      </c>
    </row>
    <row r="23" spans="1:13" ht="15.75" customHeight="1">
      <c r="A23" s="50" t="s">
        <v>712</v>
      </c>
      <c r="B23" s="51">
        <v>9</v>
      </c>
      <c r="C23" s="52" t="s">
        <v>1857</v>
      </c>
      <c r="D23" s="51">
        <v>212.5</v>
      </c>
      <c r="E23" s="53">
        <v>0.89</v>
      </c>
      <c r="F23" s="53" t="s">
        <v>1737</v>
      </c>
      <c r="G23" s="87" t="s">
        <v>1743</v>
      </c>
      <c r="H23" s="50">
        <f>D23*E23</f>
        <v>189.125</v>
      </c>
      <c r="I23" s="1"/>
      <c r="J23" s="1"/>
      <c r="K23" s="1"/>
      <c r="L23" s="1" t="s">
        <v>712</v>
      </c>
      <c r="M23" s="4">
        <v>9</v>
      </c>
    </row>
    <row r="24" spans="1:13" ht="15.75" customHeight="1">
      <c r="A24" s="59" t="s">
        <v>709</v>
      </c>
      <c r="B24" s="60">
        <v>9</v>
      </c>
      <c r="C24" s="61" t="s">
        <v>1758</v>
      </c>
      <c r="D24" s="60" t="s">
        <v>1759</v>
      </c>
      <c r="E24" s="62">
        <f>(0.053+6+12.4+26.5)/4</f>
        <v>11.238250000000001</v>
      </c>
      <c r="F24" s="63" t="s">
        <v>1737</v>
      </c>
      <c r="G24" s="65" t="s">
        <v>1760</v>
      </c>
      <c r="H24" s="60">
        <f>11.23825*12+2776</f>
        <v>2910.8589999999999</v>
      </c>
      <c r="I24" s="1"/>
      <c r="J24" s="1"/>
      <c r="K24" s="1"/>
      <c r="L24" s="1" t="s">
        <v>709</v>
      </c>
      <c r="M24" s="4">
        <v>9</v>
      </c>
    </row>
    <row r="25" spans="1:13" ht="15.75" customHeight="1">
      <c r="A25" s="75" t="s">
        <v>1471</v>
      </c>
      <c r="B25" s="76">
        <v>8</v>
      </c>
      <c r="C25" s="77" t="s">
        <v>1873</v>
      </c>
      <c r="D25" s="76" t="s">
        <v>1874</v>
      </c>
      <c r="E25" s="81">
        <v>1.23</v>
      </c>
      <c r="F25" s="81" t="s">
        <v>1737</v>
      </c>
      <c r="G25" s="82" t="s">
        <v>1875</v>
      </c>
      <c r="H25" s="75">
        <f>88+30*1.23</f>
        <v>124.9</v>
      </c>
      <c r="I25" s="1"/>
      <c r="J25" s="1"/>
      <c r="K25" s="1"/>
      <c r="L25" s="1" t="s">
        <v>1471</v>
      </c>
      <c r="M25" s="4">
        <v>8</v>
      </c>
    </row>
    <row r="26" spans="1:13" ht="15.75" customHeight="1">
      <c r="A26" s="59" t="s">
        <v>667</v>
      </c>
      <c r="B26" s="60">
        <v>8</v>
      </c>
      <c r="C26" s="61" t="s">
        <v>1948</v>
      </c>
      <c r="D26" s="60">
        <v>3330</v>
      </c>
      <c r="E26" s="62">
        <v>1</v>
      </c>
      <c r="F26" s="63" t="s">
        <v>1737</v>
      </c>
      <c r="G26" s="63" t="s">
        <v>1737</v>
      </c>
      <c r="H26" s="60">
        <v>3330</v>
      </c>
      <c r="I26" s="20"/>
      <c r="J26" s="20"/>
      <c r="K26" s="20"/>
      <c r="L26" s="99" t="s">
        <v>667</v>
      </c>
      <c r="M26" s="100">
        <v>8</v>
      </c>
    </row>
    <row r="27" spans="1:13" ht="57.6">
      <c r="A27" s="50" t="s">
        <v>1473</v>
      </c>
      <c r="B27" s="51">
        <v>8</v>
      </c>
      <c r="C27" s="52" t="s">
        <v>1766</v>
      </c>
      <c r="D27" s="51">
        <f>1680+660</f>
        <v>2340</v>
      </c>
      <c r="E27" s="53">
        <v>1</v>
      </c>
      <c r="F27" s="53" t="s">
        <v>1737</v>
      </c>
      <c r="G27" s="53" t="s">
        <v>1737</v>
      </c>
      <c r="H27" s="50">
        <v>2460</v>
      </c>
      <c r="I27" s="1"/>
      <c r="J27" s="1"/>
      <c r="K27" s="1"/>
      <c r="L27" s="1" t="s">
        <v>1473</v>
      </c>
      <c r="M27" s="4">
        <v>8</v>
      </c>
    </row>
    <row r="28" spans="1:13" ht="57.6">
      <c r="A28" s="50" t="s">
        <v>663</v>
      </c>
      <c r="B28" s="51">
        <v>7</v>
      </c>
      <c r="C28" s="52" t="s">
        <v>1761</v>
      </c>
      <c r="D28" s="51" t="s">
        <v>1762</v>
      </c>
      <c r="E28" s="53">
        <v>1.02</v>
      </c>
      <c r="F28" s="53" t="s">
        <v>1737</v>
      </c>
      <c r="G28" s="55" t="s">
        <v>1763</v>
      </c>
      <c r="H28" s="50">
        <f>2583*E28</f>
        <v>2634.66</v>
      </c>
      <c r="I28" s="1"/>
      <c r="J28" s="1"/>
      <c r="K28" s="1"/>
      <c r="L28" s="1" t="s">
        <v>663</v>
      </c>
      <c r="M28" s="4">
        <v>7</v>
      </c>
    </row>
    <row r="29" spans="1:13" ht="43.2">
      <c r="A29" s="50" t="s">
        <v>1467</v>
      </c>
      <c r="B29" s="51">
        <v>7</v>
      </c>
      <c r="C29" s="52" t="s">
        <v>1810</v>
      </c>
      <c r="D29" s="51" t="s">
        <v>1811</v>
      </c>
      <c r="E29" s="53">
        <v>0.99399999999999999</v>
      </c>
      <c r="F29" s="53"/>
      <c r="G29" s="53" t="s">
        <v>1743</v>
      </c>
      <c r="H29" s="50">
        <f>935*0.994</f>
        <v>929.39</v>
      </c>
      <c r="I29" s="1"/>
      <c r="J29" s="1"/>
      <c r="K29" s="1"/>
      <c r="L29" s="1" t="s">
        <v>1467</v>
      </c>
      <c r="M29" s="4">
        <v>7</v>
      </c>
    </row>
    <row r="30" spans="1:13" ht="43.2">
      <c r="A30" s="50" t="s">
        <v>1483</v>
      </c>
      <c r="B30" s="51">
        <v>7</v>
      </c>
      <c r="C30" s="52" t="s">
        <v>1803</v>
      </c>
      <c r="D30" s="51">
        <v>1145</v>
      </c>
      <c r="E30" s="53" t="s">
        <v>1737</v>
      </c>
      <c r="F30" s="53" t="s">
        <v>1737</v>
      </c>
      <c r="G30" s="53" t="s">
        <v>1737</v>
      </c>
      <c r="H30" s="50">
        <v>1145</v>
      </c>
      <c r="I30" s="1"/>
      <c r="J30" s="1"/>
      <c r="K30" s="1"/>
      <c r="L30" s="1" t="s">
        <v>1483</v>
      </c>
      <c r="M30" s="4">
        <v>7</v>
      </c>
    </row>
    <row r="31" spans="1:13" ht="28.8">
      <c r="A31" s="50" t="s">
        <v>675</v>
      </c>
      <c r="B31" s="51">
        <v>7</v>
      </c>
      <c r="C31" s="52" t="s">
        <v>1748</v>
      </c>
      <c r="D31" s="51" t="s">
        <v>1949</v>
      </c>
      <c r="E31" s="53" t="s">
        <v>1737</v>
      </c>
      <c r="F31" s="53">
        <v>140</v>
      </c>
      <c r="G31" s="55" t="s">
        <v>1740</v>
      </c>
      <c r="H31" s="50">
        <f>17*140+2525</f>
        <v>4905</v>
      </c>
      <c r="I31" s="1"/>
      <c r="J31" s="1"/>
      <c r="K31" s="1"/>
      <c r="L31" s="1" t="s">
        <v>675</v>
      </c>
      <c r="M31" s="4">
        <v>7</v>
      </c>
    </row>
    <row r="32" spans="1:13" ht="43.2">
      <c r="A32" s="50" t="s">
        <v>1585</v>
      </c>
      <c r="B32" s="51">
        <v>6</v>
      </c>
      <c r="C32" s="52" t="s">
        <v>1950</v>
      </c>
      <c r="D32" s="51" t="s">
        <v>1779</v>
      </c>
      <c r="E32" s="53" t="s">
        <v>1737</v>
      </c>
      <c r="F32" s="53" t="s">
        <v>1737</v>
      </c>
      <c r="G32" s="53" t="s">
        <v>1737</v>
      </c>
      <c r="H32" s="50">
        <v>1760</v>
      </c>
      <c r="I32" s="1"/>
      <c r="J32" s="1"/>
      <c r="K32" s="1"/>
      <c r="L32" s="1" t="s">
        <v>1585</v>
      </c>
      <c r="M32" s="4">
        <v>6</v>
      </c>
    </row>
    <row r="33" spans="1:13" ht="14.4">
      <c r="A33" s="50" t="s">
        <v>1475</v>
      </c>
      <c r="B33" s="51">
        <v>6</v>
      </c>
      <c r="C33" s="61" t="s">
        <v>1834</v>
      </c>
      <c r="D33" s="51">
        <v>9</v>
      </c>
      <c r="E33" s="53" t="s">
        <v>1737</v>
      </c>
      <c r="F33" s="53">
        <v>55</v>
      </c>
      <c r="G33" s="55" t="s">
        <v>1740</v>
      </c>
      <c r="H33" s="60">
        <f>9*55</f>
        <v>495</v>
      </c>
      <c r="I33" s="1"/>
      <c r="J33" s="1"/>
      <c r="K33" s="1"/>
      <c r="L33" s="1" t="s">
        <v>1951</v>
      </c>
      <c r="M33" s="4">
        <v>6</v>
      </c>
    </row>
    <row r="34" spans="1:13" ht="28.8">
      <c r="A34" s="50" t="s">
        <v>694</v>
      </c>
      <c r="B34" s="51">
        <v>6</v>
      </c>
      <c r="C34" s="52" t="s">
        <v>1885</v>
      </c>
      <c r="D34" s="51" t="s">
        <v>1886</v>
      </c>
      <c r="E34" s="53">
        <v>0.54</v>
      </c>
      <c r="F34" s="53" t="s">
        <v>1737</v>
      </c>
      <c r="G34" s="53" t="s">
        <v>1743</v>
      </c>
      <c r="H34" s="50">
        <f>88+10*0.54</f>
        <v>93.4</v>
      </c>
      <c r="I34" s="1"/>
      <c r="J34" s="1"/>
      <c r="K34" s="1"/>
      <c r="L34" s="1" t="s">
        <v>694</v>
      </c>
      <c r="M34" s="4">
        <v>6</v>
      </c>
    </row>
    <row r="35" spans="1:13" ht="28.8">
      <c r="A35" s="50" t="s">
        <v>1450</v>
      </c>
      <c r="B35" s="51">
        <v>6</v>
      </c>
      <c r="C35" s="52" t="s">
        <v>1771</v>
      </c>
      <c r="D35" s="51" t="s">
        <v>1772</v>
      </c>
      <c r="E35" s="53" t="s">
        <v>1737</v>
      </c>
      <c r="F35" s="53" t="s">
        <v>1737</v>
      </c>
      <c r="G35" s="53" t="s">
        <v>1737</v>
      </c>
      <c r="H35" s="50">
        <v>2189</v>
      </c>
      <c r="I35" s="1"/>
      <c r="J35" s="1"/>
      <c r="K35" s="1"/>
      <c r="L35" s="1" t="s">
        <v>1450</v>
      </c>
      <c r="M35" s="4">
        <v>6</v>
      </c>
    </row>
    <row r="36" spans="1:13" ht="28.8">
      <c r="A36" s="50" t="s">
        <v>1535</v>
      </c>
      <c r="B36" s="51">
        <v>6</v>
      </c>
      <c r="C36" s="52" t="s">
        <v>1793</v>
      </c>
      <c r="D36" s="51">
        <v>1353</v>
      </c>
      <c r="E36" s="53" t="s">
        <v>1737</v>
      </c>
      <c r="F36" s="53" t="s">
        <v>1737</v>
      </c>
      <c r="G36" s="53" t="s">
        <v>1737</v>
      </c>
      <c r="H36" s="50">
        <v>1353</v>
      </c>
      <c r="I36" s="1"/>
      <c r="J36" s="1"/>
      <c r="K36" s="1"/>
      <c r="L36" s="1" t="s">
        <v>1535</v>
      </c>
      <c r="M36" s="4">
        <v>6</v>
      </c>
    </row>
    <row r="37" spans="1:13" ht="28.8">
      <c r="A37" s="50" t="s">
        <v>700</v>
      </c>
      <c r="B37" s="51">
        <v>6</v>
      </c>
      <c r="C37" s="52" t="s">
        <v>1815</v>
      </c>
      <c r="D37" s="51" t="s">
        <v>1816</v>
      </c>
      <c r="E37" s="53" t="s">
        <v>1737</v>
      </c>
      <c r="F37" s="53" t="s">
        <v>1737</v>
      </c>
      <c r="G37" s="53" t="s">
        <v>1737</v>
      </c>
      <c r="H37" s="50">
        <f>216+162+108+115+95+81</f>
        <v>777</v>
      </c>
      <c r="I37" s="1"/>
      <c r="J37" s="1"/>
      <c r="K37" s="1"/>
      <c r="L37" s="1" t="s">
        <v>700</v>
      </c>
      <c r="M37" s="4">
        <v>6</v>
      </c>
    </row>
    <row r="38" spans="1:13" ht="28.8">
      <c r="A38" s="50" t="s">
        <v>641</v>
      </c>
      <c r="B38" s="51">
        <v>5</v>
      </c>
      <c r="C38" s="52" t="s">
        <v>1851</v>
      </c>
      <c r="D38" s="51" t="s">
        <v>1852</v>
      </c>
      <c r="E38" s="53">
        <v>0.95</v>
      </c>
      <c r="F38" s="53" t="s">
        <v>1737</v>
      </c>
      <c r="G38" s="53" t="s">
        <v>1743</v>
      </c>
      <c r="H38" s="50">
        <f>7*1/2+30*0.95+200</f>
        <v>232</v>
      </c>
      <c r="I38" s="1"/>
      <c r="J38" s="1"/>
      <c r="K38" s="1"/>
      <c r="L38" s="1" t="s">
        <v>641</v>
      </c>
      <c r="M38" s="4">
        <v>5</v>
      </c>
    </row>
    <row r="39" spans="1:13" ht="14.4">
      <c r="A39" s="50" t="s">
        <v>581</v>
      </c>
      <c r="B39" s="51">
        <v>5</v>
      </c>
      <c r="C39" s="52" t="s">
        <v>1952</v>
      </c>
      <c r="D39" s="51">
        <v>18</v>
      </c>
      <c r="E39" s="53" t="s">
        <v>1737</v>
      </c>
      <c r="F39" s="53">
        <v>75</v>
      </c>
      <c r="G39" s="55" t="s">
        <v>1740</v>
      </c>
      <c r="H39" s="50">
        <f>75*18</f>
        <v>1350</v>
      </c>
      <c r="I39" s="1"/>
      <c r="J39" s="1"/>
      <c r="K39" s="1"/>
      <c r="L39" s="1" t="s">
        <v>581</v>
      </c>
      <c r="M39" s="4">
        <v>5</v>
      </c>
    </row>
    <row r="40" spans="1:13" ht="43.2">
      <c r="A40" s="75" t="s">
        <v>1588</v>
      </c>
      <c r="B40" s="76">
        <v>5</v>
      </c>
      <c r="C40" s="77" t="s">
        <v>1788</v>
      </c>
      <c r="D40" s="77" t="s">
        <v>1789</v>
      </c>
      <c r="E40" s="81" t="s">
        <v>1737</v>
      </c>
      <c r="F40" s="81">
        <v>20</v>
      </c>
      <c r="G40" s="82" t="s">
        <v>1740</v>
      </c>
      <c r="H40" s="75">
        <f>20*20+2*42+680+350</f>
        <v>1514</v>
      </c>
      <c r="I40" s="1"/>
      <c r="J40" s="1"/>
      <c r="K40" s="1"/>
      <c r="L40" s="1" t="s">
        <v>1588</v>
      </c>
      <c r="M40" s="4">
        <v>5</v>
      </c>
    </row>
    <row r="41" spans="1:13" ht="28.8">
      <c r="A41" s="50" t="s">
        <v>1661</v>
      </c>
      <c r="B41" s="51">
        <v>5</v>
      </c>
      <c r="C41" s="52" t="s">
        <v>1746</v>
      </c>
      <c r="D41" s="51" t="s">
        <v>1747</v>
      </c>
      <c r="E41" s="53" t="s">
        <v>1737</v>
      </c>
      <c r="F41" s="53">
        <v>120</v>
      </c>
      <c r="G41" s="55" t="s">
        <v>1740</v>
      </c>
      <c r="H41" s="50">
        <f>120*8+3357</f>
        <v>4317</v>
      </c>
      <c r="I41" s="1"/>
      <c r="J41" s="1"/>
      <c r="K41" s="1"/>
      <c r="L41" s="1" t="s">
        <v>1661</v>
      </c>
      <c r="M41" s="4">
        <v>5</v>
      </c>
    </row>
    <row r="42" spans="1:13" ht="28.8">
      <c r="A42" s="50" t="s">
        <v>1516</v>
      </c>
      <c r="B42" s="51">
        <v>5</v>
      </c>
      <c r="C42" s="52" t="s">
        <v>1783</v>
      </c>
      <c r="D42" s="51">
        <v>1725</v>
      </c>
      <c r="E42" s="53" t="s">
        <v>1737</v>
      </c>
      <c r="F42" s="53" t="s">
        <v>1737</v>
      </c>
      <c r="G42" s="53" t="s">
        <v>1737</v>
      </c>
      <c r="H42" s="50">
        <v>1725</v>
      </c>
      <c r="I42" s="1"/>
      <c r="J42" s="1"/>
      <c r="K42" s="1"/>
      <c r="L42" s="1" t="s">
        <v>1516</v>
      </c>
      <c r="M42" s="4">
        <v>5</v>
      </c>
    </row>
    <row r="43" spans="1:13" ht="28.8">
      <c r="A43" s="50" t="s">
        <v>1551</v>
      </c>
      <c r="B43" s="51">
        <v>5</v>
      </c>
      <c r="C43" s="52" t="s">
        <v>1867</v>
      </c>
      <c r="D43" s="51" t="s">
        <v>1868</v>
      </c>
      <c r="E43" s="53">
        <v>0.95</v>
      </c>
      <c r="F43" s="53" t="s">
        <v>1737</v>
      </c>
      <c r="G43" s="55" t="s">
        <v>1869</v>
      </c>
      <c r="H43" s="50">
        <f>135*0.95</f>
        <v>128.25</v>
      </c>
      <c r="I43" s="1"/>
      <c r="J43" s="1"/>
      <c r="K43" s="1"/>
      <c r="L43" s="1" t="s">
        <v>1551</v>
      </c>
      <c r="M43" s="4">
        <v>5</v>
      </c>
    </row>
    <row r="44" spans="1:13" ht="14.4">
      <c r="A44" s="75" t="s">
        <v>1456</v>
      </c>
      <c r="B44" s="76">
        <v>5</v>
      </c>
      <c r="C44" s="77" t="s">
        <v>1845</v>
      </c>
      <c r="D44" s="76">
        <v>6</v>
      </c>
      <c r="E44" s="81" t="s">
        <v>1737</v>
      </c>
      <c r="F44" s="81">
        <v>46</v>
      </c>
      <c r="G44" s="82" t="s">
        <v>1846</v>
      </c>
      <c r="H44" s="75">
        <f>46*6</f>
        <v>276</v>
      </c>
      <c r="I44" s="1"/>
      <c r="J44" s="1"/>
      <c r="K44" s="1"/>
      <c r="L44" s="1" t="s">
        <v>1456</v>
      </c>
      <c r="M44" s="4">
        <v>5</v>
      </c>
    </row>
    <row r="45" spans="1:13" ht="14.4">
      <c r="A45" s="53" t="s">
        <v>1636</v>
      </c>
      <c r="B45" s="53">
        <v>5</v>
      </c>
      <c r="C45" s="53" t="s">
        <v>1755</v>
      </c>
      <c r="D45" s="53">
        <f>700+907+907+226+454</f>
        <v>3194</v>
      </c>
      <c r="E45" s="53"/>
      <c r="F45" s="53"/>
      <c r="G45" s="53"/>
      <c r="H45" s="53">
        <v>3194</v>
      </c>
      <c r="I45" s="1"/>
      <c r="J45" s="1"/>
      <c r="K45" s="1"/>
      <c r="L45" s="10" t="s">
        <v>1636</v>
      </c>
      <c r="M45" s="10">
        <v>5</v>
      </c>
    </row>
    <row r="46" spans="1:13" ht="28.8">
      <c r="A46" s="75" t="s">
        <v>1472</v>
      </c>
      <c r="B46" s="76">
        <v>5</v>
      </c>
      <c r="C46" s="77" t="s">
        <v>1879</v>
      </c>
      <c r="D46" s="76" t="s">
        <v>1953</v>
      </c>
      <c r="E46" s="81">
        <v>1.01</v>
      </c>
      <c r="F46" s="81" t="s">
        <v>1737</v>
      </c>
      <c r="G46" s="82" t="s">
        <v>1881</v>
      </c>
      <c r="H46" s="75">
        <f>90*1.01+15</f>
        <v>105.9</v>
      </c>
      <c r="I46" s="1"/>
      <c r="J46" s="1"/>
      <c r="K46" s="1"/>
      <c r="L46" s="1" t="s">
        <v>1472</v>
      </c>
      <c r="M46" s="4">
        <v>5</v>
      </c>
    </row>
    <row r="47" spans="1:13" ht="14.4">
      <c r="A47" s="59" t="s">
        <v>1503</v>
      </c>
      <c r="B47" s="60">
        <v>4</v>
      </c>
      <c r="C47" s="59" t="s">
        <v>1903</v>
      </c>
      <c r="D47" s="59" t="s">
        <v>1904</v>
      </c>
      <c r="E47" s="59" t="s">
        <v>1737</v>
      </c>
      <c r="F47" s="59" t="s">
        <v>1737</v>
      </c>
      <c r="G47" s="59" t="s">
        <v>1954</v>
      </c>
      <c r="H47" s="60">
        <f>8+14+8+14</f>
        <v>44</v>
      </c>
      <c r="I47" s="20"/>
      <c r="J47" s="20"/>
      <c r="K47" s="20"/>
      <c r="L47" s="99" t="s">
        <v>1462</v>
      </c>
      <c r="M47" s="100">
        <v>4</v>
      </c>
    </row>
    <row r="48" spans="1:13" ht="28.8">
      <c r="A48" s="50" t="s">
        <v>1545</v>
      </c>
      <c r="B48" s="51">
        <v>4</v>
      </c>
      <c r="C48" s="52" t="s">
        <v>1914</v>
      </c>
      <c r="D48" s="51" t="s">
        <v>1915</v>
      </c>
      <c r="E48" s="53">
        <v>0.47</v>
      </c>
      <c r="F48" s="53" t="s">
        <v>1737</v>
      </c>
      <c r="G48" s="55" t="s">
        <v>1916</v>
      </c>
      <c r="H48" s="50">
        <f>8*0.47+7.5*0.47</f>
        <v>7.2850000000000001</v>
      </c>
      <c r="I48" s="1"/>
      <c r="J48" s="1"/>
      <c r="K48" s="1"/>
      <c r="L48" s="1" t="s">
        <v>1545</v>
      </c>
      <c r="M48" s="4">
        <v>4</v>
      </c>
    </row>
    <row r="49" spans="1:14" ht="28.8">
      <c r="A49" s="50" t="s">
        <v>1530</v>
      </c>
      <c r="B49" s="51">
        <v>4</v>
      </c>
      <c r="C49" s="52" t="s">
        <v>1770</v>
      </c>
      <c r="D49" s="51">
        <v>2229</v>
      </c>
      <c r="E49" s="53" t="s">
        <v>1737</v>
      </c>
      <c r="F49" s="53" t="s">
        <v>1737</v>
      </c>
      <c r="G49" s="53" t="s">
        <v>1737</v>
      </c>
      <c r="H49" s="50">
        <v>2229</v>
      </c>
      <c r="I49" s="1"/>
      <c r="J49" s="1"/>
      <c r="K49" s="1"/>
      <c r="L49" s="1" t="s">
        <v>1530</v>
      </c>
      <c r="M49" s="4">
        <v>4</v>
      </c>
    </row>
    <row r="50" spans="1:14" ht="28.8">
      <c r="A50" s="50" t="s">
        <v>1663</v>
      </c>
      <c r="B50" s="51">
        <v>4</v>
      </c>
      <c r="C50" s="52" t="s">
        <v>1782</v>
      </c>
      <c r="D50" s="51">
        <v>1858</v>
      </c>
      <c r="E50" s="53" t="s">
        <v>1737</v>
      </c>
      <c r="F50" s="53" t="s">
        <v>1737</v>
      </c>
      <c r="G50" s="53" t="s">
        <v>1737</v>
      </c>
      <c r="H50" s="50">
        <v>1858</v>
      </c>
      <c r="I50" s="1"/>
      <c r="J50" s="1"/>
      <c r="K50" s="1"/>
      <c r="L50" s="1" t="s">
        <v>1663</v>
      </c>
      <c r="M50" s="4">
        <v>4</v>
      </c>
    </row>
    <row r="51" spans="1:14" ht="14.4">
      <c r="A51" s="59" t="s">
        <v>1640</v>
      </c>
      <c r="B51" s="60">
        <v>4</v>
      </c>
      <c r="C51" s="61" t="s">
        <v>1890</v>
      </c>
      <c r="D51" s="51">
        <v>5</v>
      </c>
      <c r="E51" s="53" t="s">
        <v>1737</v>
      </c>
      <c r="F51" s="53">
        <f>0.3*45</f>
        <v>13.5</v>
      </c>
      <c r="G51" s="55" t="s">
        <v>1891</v>
      </c>
      <c r="H51" s="59">
        <f>0.3*45*5</f>
        <v>67.5</v>
      </c>
      <c r="I51" s="99"/>
      <c r="J51" s="99"/>
      <c r="K51" s="99"/>
      <c r="L51" s="99" t="s">
        <v>1640</v>
      </c>
      <c r="M51" s="100">
        <v>4</v>
      </c>
      <c r="N51" s="99"/>
    </row>
    <row r="52" spans="1:14" ht="28.8">
      <c r="A52" s="75" t="s">
        <v>657</v>
      </c>
      <c r="B52" s="76">
        <v>4</v>
      </c>
      <c r="C52" s="77" t="s">
        <v>1817</v>
      </c>
      <c r="D52" s="76" t="s">
        <v>1818</v>
      </c>
      <c r="E52" s="81">
        <v>1.03</v>
      </c>
      <c r="F52" s="81" t="s">
        <v>1737</v>
      </c>
      <c r="G52" s="82" t="s">
        <v>1819</v>
      </c>
      <c r="H52" s="75">
        <f>397+360*1.03</f>
        <v>767.8</v>
      </c>
      <c r="I52" s="1"/>
      <c r="J52" s="1"/>
      <c r="K52" s="1"/>
      <c r="L52" s="1" t="s">
        <v>657</v>
      </c>
      <c r="M52" s="4">
        <v>4</v>
      </c>
    </row>
    <row r="53" spans="1:14" ht="14.4">
      <c r="A53" s="50" t="s">
        <v>1554</v>
      </c>
      <c r="B53" s="51">
        <v>4</v>
      </c>
      <c r="C53" s="52" t="s">
        <v>1847</v>
      </c>
      <c r="D53" s="51" t="s">
        <v>1848</v>
      </c>
      <c r="E53" s="53" t="s">
        <v>1737</v>
      </c>
      <c r="F53" s="53" t="s">
        <v>1737</v>
      </c>
      <c r="G53" s="53" t="s">
        <v>1737</v>
      </c>
      <c r="H53" s="50">
        <v>265</v>
      </c>
      <c r="I53" s="1"/>
      <c r="J53" s="1"/>
      <c r="K53" s="1"/>
      <c r="L53" s="50" t="s">
        <v>1554</v>
      </c>
      <c r="M53" s="51">
        <v>4</v>
      </c>
    </row>
    <row r="54" spans="1:14" ht="28.8">
      <c r="A54" s="59" t="s">
        <v>1443</v>
      </c>
      <c r="B54" s="60">
        <v>4</v>
      </c>
      <c r="C54" s="61" t="s">
        <v>1773</v>
      </c>
      <c r="D54" s="60" t="s">
        <v>1774</v>
      </c>
      <c r="E54" s="63" t="s">
        <v>1737</v>
      </c>
      <c r="F54" s="63" t="s">
        <v>1737</v>
      </c>
      <c r="G54" s="63" t="s">
        <v>1737</v>
      </c>
      <c r="H54" s="60">
        <v>2161</v>
      </c>
      <c r="I54" s="1"/>
      <c r="J54" s="1"/>
      <c r="K54" s="1"/>
      <c r="L54" s="59" t="s">
        <v>1443</v>
      </c>
      <c r="M54" s="4">
        <v>4</v>
      </c>
    </row>
    <row r="55" spans="1:14" ht="14.4">
      <c r="A55" s="59" t="s">
        <v>1490</v>
      </c>
      <c r="B55" s="60">
        <v>3</v>
      </c>
      <c r="C55" s="61" t="s">
        <v>1955</v>
      </c>
      <c r="D55" s="60">
        <v>5</v>
      </c>
      <c r="E55" s="63" t="s">
        <v>1737</v>
      </c>
      <c r="F55" s="62">
        <v>70</v>
      </c>
      <c r="G55" s="83" t="s">
        <v>1740</v>
      </c>
      <c r="H55" s="60">
        <f>70*5</f>
        <v>350</v>
      </c>
      <c r="I55" s="20"/>
      <c r="J55" s="20"/>
      <c r="K55" s="20"/>
      <c r="L55" s="99" t="s">
        <v>1490</v>
      </c>
      <c r="M55" s="100">
        <v>3</v>
      </c>
    </row>
    <row r="56" spans="1:14" ht="14.4">
      <c r="A56" s="50" t="s">
        <v>1628</v>
      </c>
      <c r="B56" s="51">
        <v>3</v>
      </c>
      <c r="C56" s="52" t="s">
        <v>1859</v>
      </c>
      <c r="D56" s="51">
        <v>4</v>
      </c>
      <c r="E56" s="53" t="s">
        <v>1737</v>
      </c>
      <c r="F56" s="53">
        <v>55</v>
      </c>
      <c r="G56" s="55" t="s">
        <v>1740</v>
      </c>
      <c r="H56" s="50">
        <f t="shared" ref="H56:H57" si="0">3*55</f>
        <v>165</v>
      </c>
      <c r="I56" s="1"/>
      <c r="J56" s="1"/>
      <c r="K56" s="1"/>
      <c r="L56" s="1" t="s">
        <v>1628</v>
      </c>
      <c r="M56" s="4">
        <v>3</v>
      </c>
    </row>
    <row r="57" spans="1:14" ht="14.4">
      <c r="A57" s="50" t="s">
        <v>1647</v>
      </c>
      <c r="B57" s="51">
        <v>3</v>
      </c>
      <c r="C57" s="52" t="s">
        <v>1859</v>
      </c>
      <c r="D57" s="51">
        <v>4</v>
      </c>
      <c r="E57" s="53" t="s">
        <v>1737</v>
      </c>
      <c r="F57" s="53">
        <v>55</v>
      </c>
      <c r="G57" s="55" t="s">
        <v>1740</v>
      </c>
      <c r="H57" s="50">
        <f t="shared" si="0"/>
        <v>165</v>
      </c>
      <c r="I57" s="1"/>
      <c r="J57" s="1"/>
      <c r="K57" s="1"/>
      <c r="L57" s="1" t="s">
        <v>1647</v>
      </c>
      <c r="M57" s="4">
        <v>3</v>
      </c>
    </row>
    <row r="58" spans="1:14" ht="28.8">
      <c r="A58" s="50" t="s">
        <v>1424</v>
      </c>
      <c r="B58" s="51">
        <v>3</v>
      </c>
      <c r="C58" s="52" t="s">
        <v>1827</v>
      </c>
      <c r="D58" s="51" t="s">
        <v>1828</v>
      </c>
      <c r="E58" s="53">
        <f>1.02</f>
        <v>1.02</v>
      </c>
      <c r="F58" s="53" t="s">
        <v>1737</v>
      </c>
      <c r="G58" s="55" t="s">
        <v>1743</v>
      </c>
      <c r="H58" s="50">
        <f>590*1.02</f>
        <v>601.79999999999995</v>
      </c>
      <c r="I58" s="1"/>
      <c r="J58" s="1"/>
      <c r="K58" s="1"/>
      <c r="L58" s="1" t="s">
        <v>1424</v>
      </c>
      <c r="M58" s="4">
        <v>3</v>
      </c>
    </row>
    <row r="59" spans="1:14" ht="28.8">
      <c r="A59" s="50" t="s">
        <v>1448</v>
      </c>
      <c r="B59" s="51">
        <v>3</v>
      </c>
      <c r="C59" s="52" t="s">
        <v>1864</v>
      </c>
      <c r="D59" s="51" t="s">
        <v>1865</v>
      </c>
      <c r="E59" s="53">
        <v>1.01</v>
      </c>
      <c r="F59" s="53" t="s">
        <v>1737</v>
      </c>
      <c r="G59" s="55" t="s">
        <v>1866</v>
      </c>
      <c r="H59" s="50">
        <f>145*1.01</f>
        <v>146.44999999999999</v>
      </c>
      <c r="I59" s="1"/>
      <c r="J59" s="1"/>
      <c r="K59" s="1"/>
      <c r="L59" s="1" t="s">
        <v>1448</v>
      </c>
      <c r="M59" s="4">
        <v>3</v>
      </c>
    </row>
    <row r="60" spans="1:14" ht="28.8">
      <c r="A60" s="50" t="s">
        <v>1459</v>
      </c>
      <c r="B60" s="51">
        <v>3</v>
      </c>
      <c r="C60" s="52" t="s">
        <v>1752</v>
      </c>
      <c r="D60" s="51" t="s">
        <v>1753</v>
      </c>
      <c r="E60" s="53" t="s">
        <v>1737</v>
      </c>
      <c r="F60" s="53" t="s">
        <v>1737</v>
      </c>
      <c r="G60" s="53" t="s">
        <v>1737</v>
      </c>
      <c r="H60" s="50">
        <v>3757</v>
      </c>
      <c r="I60" s="1"/>
      <c r="J60" s="1"/>
      <c r="K60" s="1"/>
      <c r="L60" s="1" t="s">
        <v>1459</v>
      </c>
      <c r="M60" s="4">
        <v>3</v>
      </c>
    </row>
    <row r="61" spans="1:14" ht="28.8">
      <c r="A61" s="50" t="s">
        <v>1470</v>
      </c>
      <c r="B61" s="51">
        <v>3</v>
      </c>
      <c r="C61" s="52" t="s">
        <v>1843</v>
      </c>
      <c r="D61" s="51" t="s">
        <v>1844</v>
      </c>
      <c r="E61" s="53">
        <v>0.99</v>
      </c>
      <c r="F61" s="53" t="s">
        <v>1737</v>
      </c>
      <c r="G61" s="55" t="s">
        <v>1743</v>
      </c>
      <c r="H61" s="50">
        <f>320*0.99</f>
        <v>316.8</v>
      </c>
      <c r="I61" s="1"/>
      <c r="J61" s="1"/>
      <c r="K61" s="1"/>
      <c r="L61" s="1" t="s">
        <v>1470</v>
      </c>
      <c r="M61" s="4">
        <v>3</v>
      </c>
    </row>
    <row r="62" spans="1:14" ht="14.4">
      <c r="A62" s="50" t="s">
        <v>708</v>
      </c>
      <c r="B62" s="51">
        <v>3</v>
      </c>
      <c r="C62" s="52" t="s">
        <v>1888</v>
      </c>
      <c r="D62" s="51" t="s">
        <v>1889</v>
      </c>
      <c r="E62" s="53">
        <v>0.95</v>
      </c>
      <c r="F62" s="53" t="s">
        <v>1737</v>
      </c>
      <c r="G62" s="55" t="s">
        <v>1743</v>
      </c>
      <c r="H62" s="50">
        <f>65+15*E62</f>
        <v>79.25</v>
      </c>
      <c r="I62" s="1"/>
      <c r="J62" s="1"/>
      <c r="K62" s="1"/>
      <c r="L62" s="1" t="s">
        <v>708</v>
      </c>
      <c r="M62" s="4">
        <v>3</v>
      </c>
    </row>
    <row r="63" spans="1:14" ht="14.4">
      <c r="A63" s="50" t="s">
        <v>1543</v>
      </c>
      <c r="B63" s="51">
        <v>3</v>
      </c>
      <c r="C63" s="52" t="s">
        <v>1920</v>
      </c>
      <c r="D63" s="51" t="s">
        <v>1921</v>
      </c>
      <c r="E63" s="53">
        <v>0.48</v>
      </c>
      <c r="F63" s="53"/>
      <c r="G63" s="55" t="s">
        <v>1922</v>
      </c>
      <c r="H63" s="50">
        <f>8.75*0.48</f>
        <v>4.2</v>
      </c>
      <c r="I63" s="1"/>
      <c r="J63" s="1"/>
      <c r="K63" s="1"/>
      <c r="L63" s="1" t="s">
        <v>1543</v>
      </c>
      <c r="M63" s="4">
        <v>3</v>
      </c>
    </row>
    <row r="64" spans="1:14" ht="14.4">
      <c r="A64" s="50" t="s">
        <v>1633</v>
      </c>
      <c r="B64" s="51">
        <v>3</v>
      </c>
      <c r="C64" s="52" t="s">
        <v>1862</v>
      </c>
      <c r="D64" s="51" t="s">
        <v>1863</v>
      </c>
      <c r="E64" s="53" t="s">
        <v>1737</v>
      </c>
      <c r="F64" s="53" t="s">
        <v>1737</v>
      </c>
      <c r="G64" s="53" t="s">
        <v>1737</v>
      </c>
      <c r="H64" s="50">
        <v>149</v>
      </c>
      <c r="I64" s="1"/>
      <c r="J64" s="1"/>
      <c r="K64" s="1"/>
      <c r="L64" s="1" t="s">
        <v>1633</v>
      </c>
      <c r="M64" s="4">
        <v>3</v>
      </c>
    </row>
    <row r="65" spans="1:13" ht="14.4">
      <c r="A65" s="50" t="s">
        <v>1698</v>
      </c>
      <c r="B65" s="51">
        <v>3</v>
      </c>
      <c r="C65" s="52" t="s">
        <v>1796</v>
      </c>
      <c r="D65" s="51" t="s">
        <v>1797</v>
      </c>
      <c r="E65" s="53" t="s">
        <v>1737</v>
      </c>
      <c r="F65" s="53" t="s">
        <v>1737</v>
      </c>
      <c r="G65" s="53" t="s">
        <v>1737</v>
      </c>
      <c r="H65" s="50">
        <v>1230</v>
      </c>
      <c r="I65" s="1"/>
      <c r="J65" s="1"/>
      <c r="K65" s="1"/>
      <c r="L65" s="1" t="s">
        <v>1698</v>
      </c>
      <c r="M65" s="4">
        <v>3</v>
      </c>
    </row>
    <row r="66" spans="1:13" ht="14.4">
      <c r="A66" s="50" t="s">
        <v>1638</v>
      </c>
      <c r="B66" s="51">
        <v>3</v>
      </c>
      <c r="C66" s="52" t="s">
        <v>1804</v>
      </c>
      <c r="D66" s="51" t="s">
        <v>1805</v>
      </c>
      <c r="E66" s="53" t="s">
        <v>1737</v>
      </c>
      <c r="F66" s="53" t="s">
        <v>1737</v>
      </c>
      <c r="G66" s="53" t="s">
        <v>1737</v>
      </c>
      <c r="H66" s="50">
        <f>720+500</f>
        <v>1220</v>
      </c>
      <c r="I66" s="1"/>
      <c r="J66" s="1"/>
      <c r="K66" s="1"/>
      <c r="L66" s="1" t="s">
        <v>1638</v>
      </c>
      <c r="M66" s="4">
        <v>3</v>
      </c>
    </row>
    <row r="67" spans="1:13" ht="14.4">
      <c r="A67" s="59" t="s">
        <v>1465</v>
      </c>
      <c r="B67" s="60">
        <v>3</v>
      </c>
      <c r="C67" s="61" t="s">
        <v>1895</v>
      </c>
      <c r="D67" s="60" t="s">
        <v>1896</v>
      </c>
      <c r="E67" s="62">
        <v>1</v>
      </c>
      <c r="F67" s="89" t="s">
        <v>1737</v>
      </c>
      <c r="G67" s="65" t="s">
        <v>1897</v>
      </c>
      <c r="H67" s="50">
        <v>45</v>
      </c>
      <c r="I67" s="1"/>
      <c r="J67" s="1"/>
      <c r="K67" s="1"/>
      <c r="L67" s="99" t="s">
        <v>1465</v>
      </c>
      <c r="M67" s="100">
        <v>3</v>
      </c>
    </row>
    <row r="68" spans="1:13" ht="14.4">
      <c r="A68" s="59" t="s">
        <v>1642</v>
      </c>
      <c r="B68" s="60">
        <v>3</v>
      </c>
      <c r="C68" s="61" t="s">
        <v>1907</v>
      </c>
      <c r="D68" s="60" t="s">
        <v>1680</v>
      </c>
      <c r="E68" s="63" t="s">
        <v>1737</v>
      </c>
      <c r="F68" s="63" t="s">
        <v>1737</v>
      </c>
      <c r="G68" s="63" t="s">
        <v>1737</v>
      </c>
      <c r="H68" s="60">
        <v>18</v>
      </c>
      <c r="I68" s="1"/>
      <c r="J68" s="1"/>
      <c r="K68" s="1"/>
      <c r="L68" s="59" t="s">
        <v>1642</v>
      </c>
      <c r="M68" s="60">
        <v>3</v>
      </c>
    </row>
    <row r="69" spans="1:13" ht="14.4">
      <c r="A69" s="75" t="s">
        <v>1575</v>
      </c>
      <c r="B69" s="76">
        <v>2</v>
      </c>
      <c r="C69" s="77" t="s">
        <v>1840</v>
      </c>
      <c r="D69" s="76" t="s">
        <v>1612</v>
      </c>
      <c r="E69" s="81">
        <v>1.06</v>
      </c>
      <c r="F69" s="81" t="s">
        <v>1737</v>
      </c>
      <c r="G69" s="82" t="s">
        <v>1841</v>
      </c>
      <c r="H69" s="50">
        <f>360*1.06</f>
        <v>381.6</v>
      </c>
      <c r="I69" s="1"/>
      <c r="J69" s="1"/>
      <c r="K69" s="1"/>
      <c r="L69" s="1"/>
      <c r="M69" s="4"/>
    </row>
    <row r="70" spans="1:13" ht="14.4">
      <c r="A70" s="50" t="s">
        <v>1426</v>
      </c>
      <c r="B70" s="51">
        <v>2</v>
      </c>
      <c r="C70" s="52" t="s">
        <v>1767</v>
      </c>
      <c r="D70" s="51" t="s">
        <v>1768</v>
      </c>
      <c r="E70" s="53" t="s">
        <v>1737</v>
      </c>
      <c r="F70" s="53" t="s">
        <v>1737</v>
      </c>
      <c r="G70" s="53" t="s">
        <v>1737</v>
      </c>
      <c r="H70" s="50">
        <v>2407</v>
      </c>
      <c r="I70" s="1"/>
      <c r="J70" s="1"/>
      <c r="K70" s="1"/>
      <c r="L70" s="1"/>
      <c r="M70" s="4"/>
    </row>
    <row r="71" spans="1:13" ht="14.4">
      <c r="A71" s="50" t="s">
        <v>1435</v>
      </c>
      <c r="B71" s="51">
        <v>2</v>
      </c>
      <c r="C71" s="52" t="s">
        <v>1887</v>
      </c>
      <c r="D71" s="51">
        <v>2</v>
      </c>
      <c r="E71" s="53" t="s">
        <v>1737</v>
      </c>
      <c r="F71" s="53">
        <v>37.5</v>
      </c>
      <c r="G71" s="55" t="s">
        <v>1740</v>
      </c>
      <c r="H71" s="50">
        <f>37.5*2</f>
        <v>75</v>
      </c>
      <c r="I71" s="1"/>
      <c r="J71" s="1"/>
      <c r="K71" s="1"/>
      <c r="L71" s="1"/>
      <c r="M71" s="4"/>
    </row>
    <row r="72" spans="1:13" ht="14.4">
      <c r="A72" s="50" t="s">
        <v>1446</v>
      </c>
      <c r="B72" s="51">
        <v>2</v>
      </c>
      <c r="C72" s="67">
        <v>46023</v>
      </c>
      <c r="D72" s="51">
        <v>2</v>
      </c>
      <c r="E72" s="53" t="s">
        <v>1737</v>
      </c>
      <c r="F72" s="53" t="s">
        <v>1737</v>
      </c>
      <c r="G72" s="53" t="s">
        <v>1737</v>
      </c>
      <c r="H72" s="50">
        <v>60</v>
      </c>
      <c r="I72" s="1"/>
      <c r="J72" s="1"/>
      <c r="K72" s="1"/>
      <c r="L72" s="1"/>
      <c r="M72" s="4"/>
    </row>
    <row r="73" spans="1:13" ht="14.4">
      <c r="A73" s="50" t="s">
        <v>1469</v>
      </c>
      <c r="B73" s="51">
        <v>2</v>
      </c>
      <c r="C73" s="52" t="s">
        <v>1764</v>
      </c>
      <c r="D73" s="51" t="s">
        <v>1765</v>
      </c>
      <c r="E73" s="53" t="s">
        <v>1737</v>
      </c>
      <c r="F73" s="53" t="s">
        <v>1737</v>
      </c>
      <c r="G73" s="53" t="s">
        <v>1737</v>
      </c>
      <c r="H73" s="50">
        <v>2600</v>
      </c>
      <c r="I73" s="1"/>
      <c r="J73" s="1"/>
      <c r="K73" s="1"/>
      <c r="L73" s="1"/>
      <c r="M73" s="4"/>
    </row>
    <row r="74" spans="1:13" ht="14.4">
      <c r="A74" s="50" t="s">
        <v>1498</v>
      </c>
      <c r="B74" s="51">
        <v>2</v>
      </c>
      <c r="C74" s="52" t="s">
        <v>1853</v>
      </c>
      <c r="D74" s="51" t="s">
        <v>1854</v>
      </c>
      <c r="E74" s="53" t="s">
        <v>1737</v>
      </c>
      <c r="F74" s="53">
        <v>15</v>
      </c>
      <c r="G74" s="55" t="s">
        <v>1740</v>
      </c>
      <c r="H74" s="50">
        <f>6*15+115</f>
        <v>205</v>
      </c>
      <c r="I74" s="1"/>
      <c r="J74" s="1"/>
      <c r="K74" s="1"/>
      <c r="L74" s="1"/>
      <c r="M74" s="4"/>
    </row>
    <row r="75" spans="1:13" ht="14.4">
      <c r="A75" s="50" t="s">
        <v>1524</v>
      </c>
      <c r="B75" s="51">
        <v>2</v>
      </c>
      <c r="C75" s="52" t="s">
        <v>1824</v>
      </c>
      <c r="D75" s="51" t="s">
        <v>1825</v>
      </c>
      <c r="E75" s="53" t="s">
        <v>1737</v>
      </c>
      <c r="F75" s="53" t="s">
        <v>1737</v>
      </c>
      <c r="G75" s="53" t="s">
        <v>1737</v>
      </c>
      <c r="H75" s="50">
        <v>697</v>
      </c>
      <c r="I75" s="1"/>
      <c r="J75" s="1"/>
      <c r="K75" s="1"/>
      <c r="L75" s="1"/>
      <c r="M75" s="4"/>
    </row>
    <row r="76" spans="1:13" ht="14.4">
      <c r="A76" s="50" t="s">
        <v>1526</v>
      </c>
      <c r="B76" s="51">
        <v>2</v>
      </c>
      <c r="C76" s="52" t="s">
        <v>1835</v>
      </c>
      <c r="D76" s="51" t="s">
        <v>1836</v>
      </c>
      <c r="E76" s="53" t="s">
        <v>1737</v>
      </c>
      <c r="F76" s="53" t="s">
        <v>1737</v>
      </c>
      <c r="G76" s="53" t="s">
        <v>1737</v>
      </c>
      <c r="H76" s="50">
        <v>477</v>
      </c>
      <c r="I76" s="1"/>
      <c r="J76" s="1"/>
      <c r="K76" s="1"/>
      <c r="L76" s="1"/>
      <c r="M76" s="4"/>
    </row>
    <row r="77" spans="1:13" ht="14.4">
      <c r="A77" s="50" t="s">
        <v>1538</v>
      </c>
      <c r="B77" s="51">
        <v>2</v>
      </c>
      <c r="C77" s="52" t="s">
        <v>1832</v>
      </c>
      <c r="D77" s="51" t="s">
        <v>1833</v>
      </c>
      <c r="E77" s="53" t="s">
        <v>1737</v>
      </c>
      <c r="F77" s="53" t="s">
        <v>1737</v>
      </c>
      <c r="G77" s="53" t="s">
        <v>1737</v>
      </c>
      <c r="H77" s="50">
        <v>530</v>
      </c>
      <c r="I77" s="1"/>
      <c r="J77" s="1"/>
      <c r="K77" s="1"/>
      <c r="L77" s="1"/>
      <c r="M77" s="4"/>
    </row>
    <row r="78" spans="1:13" ht="14.4">
      <c r="A78" s="50" t="s">
        <v>1542</v>
      </c>
      <c r="B78" s="51">
        <v>2</v>
      </c>
      <c r="C78" s="52" t="s">
        <v>1860</v>
      </c>
      <c r="D78" s="51" t="s">
        <v>1861</v>
      </c>
      <c r="E78" s="53" t="s">
        <v>1737</v>
      </c>
      <c r="F78" s="53" t="s">
        <v>1737</v>
      </c>
      <c r="G78" s="53" t="s">
        <v>1737</v>
      </c>
      <c r="H78" s="50">
        <v>161</v>
      </c>
      <c r="I78" s="1"/>
      <c r="J78" s="1"/>
      <c r="K78" s="1"/>
      <c r="L78" s="1"/>
      <c r="M78" s="4"/>
    </row>
    <row r="79" spans="1:13" ht="14.4">
      <c r="A79" s="75" t="s">
        <v>1546</v>
      </c>
      <c r="B79" s="76">
        <v>2</v>
      </c>
      <c r="C79" s="77" t="s">
        <v>1926</v>
      </c>
      <c r="D79" s="76" t="s">
        <v>738</v>
      </c>
      <c r="E79" s="53">
        <v>0.56000000000000005</v>
      </c>
      <c r="F79" s="53" t="s">
        <v>1737</v>
      </c>
      <c r="G79" s="55" t="s">
        <v>1743</v>
      </c>
      <c r="H79" s="50">
        <f>5*0.56</f>
        <v>2.8000000000000003</v>
      </c>
      <c r="I79" s="1"/>
      <c r="J79" s="1"/>
      <c r="K79" s="1"/>
      <c r="L79" s="1"/>
      <c r="M79" s="4"/>
    </row>
    <row r="80" spans="1:13" ht="14.4">
      <c r="A80" s="50" t="s">
        <v>1547</v>
      </c>
      <c r="B80" s="51">
        <v>2</v>
      </c>
      <c r="C80" s="52" t="s">
        <v>1814</v>
      </c>
      <c r="D80" s="51" t="s">
        <v>1669</v>
      </c>
      <c r="E80" s="53" t="s">
        <v>1737</v>
      </c>
      <c r="F80" s="53" t="s">
        <v>1737</v>
      </c>
      <c r="G80" s="53" t="s">
        <v>1737</v>
      </c>
      <c r="H80" s="50">
        <v>800</v>
      </c>
      <c r="I80" s="1"/>
      <c r="J80" s="1"/>
      <c r="K80" s="1"/>
      <c r="L80" s="1"/>
      <c r="M80" s="4"/>
    </row>
    <row r="81" spans="1:13" ht="14.4">
      <c r="A81" s="50" t="s">
        <v>1548</v>
      </c>
      <c r="B81" s="51">
        <v>2</v>
      </c>
      <c r="C81" s="52" t="s">
        <v>1883</v>
      </c>
      <c r="D81" s="51" t="s">
        <v>1884</v>
      </c>
      <c r="E81" s="53" t="s">
        <v>1737</v>
      </c>
      <c r="F81" s="53" t="s">
        <v>1737</v>
      </c>
      <c r="G81" s="53" t="s">
        <v>1737</v>
      </c>
      <c r="H81" s="50">
        <v>95</v>
      </c>
      <c r="I81" s="1"/>
      <c r="J81" s="1"/>
      <c r="K81" s="1"/>
      <c r="L81" s="1"/>
      <c r="M81" s="4"/>
    </row>
    <row r="82" spans="1:13" ht="14.4">
      <c r="A82" s="50" t="s">
        <v>1552</v>
      </c>
      <c r="B82" s="51">
        <v>2</v>
      </c>
      <c r="C82" s="52" t="s">
        <v>1900</v>
      </c>
      <c r="D82" s="51" t="s">
        <v>1506</v>
      </c>
      <c r="E82" s="90">
        <v>1.01</v>
      </c>
      <c r="F82" s="53" t="s">
        <v>1737</v>
      </c>
      <c r="G82" s="55" t="s">
        <v>1866</v>
      </c>
      <c r="H82" s="50">
        <f>30*1.01</f>
        <v>30.3</v>
      </c>
      <c r="I82" s="1"/>
      <c r="J82" s="1"/>
      <c r="K82" s="1"/>
      <c r="L82" s="1"/>
      <c r="M82" s="4"/>
    </row>
    <row r="83" spans="1:13" ht="14.4">
      <c r="A83" s="50" t="s">
        <v>1560</v>
      </c>
      <c r="B83" s="51">
        <v>2</v>
      </c>
      <c r="C83" s="52" t="s">
        <v>1820</v>
      </c>
      <c r="D83" s="51" t="s">
        <v>1821</v>
      </c>
      <c r="E83" s="53" t="s">
        <v>1737</v>
      </c>
      <c r="F83" s="53" t="s">
        <v>1737</v>
      </c>
      <c r="G83" s="53" t="s">
        <v>1737</v>
      </c>
      <c r="H83" s="50">
        <v>754</v>
      </c>
      <c r="I83" s="1"/>
      <c r="J83" s="1"/>
      <c r="K83" s="1"/>
      <c r="L83" s="1"/>
      <c r="M83" s="4"/>
    </row>
    <row r="84" spans="1:13" ht="14.4">
      <c r="A84" s="50" t="s">
        <v>1561</v>
      </c>
      <c r="B84" s="51">
        <v>2</v>
      </c>
      <c r="C84" s="52" t="s">
        <v>1795</v>
      </c>
      <c r="D84" s="51">
        <v>1350</v>
      </c>
      <c r="E84" s="53" t="s">
        <v>1737</v>
      </c>
      <c r="F84" s="53" t="s">
        <v>1737</v>
      </c>
      <c r="G84" s="53" t="s">
        <v>1737</v>
      </c>
      <c r="H84" s="50">
        <v>1350</v>
      </c>
      <c r="I84" s="1"/>
      <c r="J84" s="1"/>
      <c r="K84" s="1"/>
      <c r="L84" s="1"/>
      <c r="M84" s="4"/>
    </row>
    <row r="85" spans="1:13" ht="14.4">
      <c r="A85" s="50" t="s">
        <v>677</v>
      </c>
      <c r="B85" s="51">
        <v>2</v>
      </c>
      <c r="C85" s="67">
        <v>46023</v>
      </c>
      <c r="D85" s="51">
        <v>2</v>
      </c>
      <c r="E85" s="53" t="s">
        <v>1737</v>
      </c>
      <c r="F85" s="53" t="s">
        <v>1737</v>
      </c>
      <c r="G85" s="53" t="s">
        <v>1737</v>
      </c>
      <c r="H85" s="50">
        <f>2*120</f>
        <v>240</v>
      </c>
      <c r="I85" s="1"/>
      <c r="J85" s="1"/>
      <c r="K85" s="1"/>
      <c r="L85" s="1"/>
      <c r="M85" s="4"/>
    </row>
    <row r="86" spans="1:13" ht="14.4">
      <c r="A86" s="50" t="s">
        <v>1567</v>
      </c>
      <c r="B86" s="51">
        <v>2</v>
      </c>
      <c r="C86" s="67">
        <v>46023</v>
      </c>
      <c r="D86" s="51">
        <v>2</v>
      </c>
      <c r="E86" s="53">
        <v>55</v>
      </c>
      <c r="F86" s="53" t="s">
        <v>1737</v>
      </c>
      <c r="G86" s="55" t="s">
        <v>1876</v>
      </c>
      <c r="H86" s="50">
        <f>55*2</f>
        <v>110</v>
      </c>
      <c r="I86" s="1"/>
      <c r="J86" s="1"/>
      <c r="K86" s="1"/>
      <c r="L86" s="1"/>
      <c r="M86" s="4"/>
    </row>
    <row r="87" spans="1:13" ht="14.4">
      <c r="A87" s="50" t="s">
        <v>1581</v>
      </c>
      <c r="B87" s="51">
        <v>2</v>
      </c>
      <c r="C87" s="52" t="s">
        <v>1826</v>
      </c>
      <c r="D87" s="51">
        <v>675</v>
      </c>
      <c r="E87" s="53" t="s">
        <v>1737</v>
      </c>
      <c r="F87" s="53" t="s">
        <v>1737</v>
      </c>
      <c r="G87" s="53" t="s">
        <v>1737</v>
      </c>
      <c r="H87" s="50">
        <v>675</v>
      </c>
      <c r="I87" s="1"/>
      <c r="J87" s="1"/>
      <c r="K87" s="1"/>
      <c r="L87" s="1"/>
      <c r="M87" s="4"/>
    </row>
    <row r="88" spans="1:13" ht="14.4">
      <c r="A88" s="50" t="s">
        <v>1701</v>
      </c>
      <c r="B88" s="51">
        <v>2</v>
      </c>
      <c r="C88" s="52" t="s">
        <v>1808</v>
      </c>
      <c r="D88" s="51" t="s">
        <v>1809</v>
      </c>
      <c r="E88" s="53" t="s">
        <v>1737</v>
      </c>
      <c r="F88" s="53" t="s">
        <v>1737</v>
      </c>
      <c r="G88" s="53" t="s">
        <v>1737</v>
      </c>
      <c r="H88" s="50">
        <v>950</v>
      </c>
      <c r="I88" s="1"/>
      <c r="J88" s="1"/>
      <c r="K88" s="1"/>
      <c r="L88" s="1"/>
      <c r="M88" s="4"/>
    </row>
    <row r="89" spans="1:13" ht="14.4">
      <c r="A89" s="50" t="s">
        <v>1615</v>
      </c>
      <c r="B89" s="51">
        <v>2</v>
      </c>
      <c r="C89" s="52" t="s">
        <v>1927</v>
      </c>
      <c r="D89" s="51" t="s">
        <v>1928</v>
      </c>
      <c r="E89" s="53" t="s">
        <v>1737</v>
      </c>
      <c r="F89" s="53" t="s">
        <v>1737</v>
      </c>
      <c r="G89" s="53" t="s">
        <v>1737</v>
      </c>
      <c r="H89" s="50">
        <f>7*3/4</f>
        <v>5.25</v>
      </c>
      <c r="I89" s="1"/>
      <c r="J89" s="1"/>
      <c r="K89" s="1"/>
      <c r="L89" s="1"/>
      <c r="M89" s="4"/>
    </row>
    <row r="90" spans="1:13" ht="14.4">
      <c r="A90" s="50" t="s">
        <v>1616</v>
      </c>
      <c r="B90" s="51">
        <v>2</v>
      </c>
      <c r="C90" s="52" t="s">
        <v>1934</v>
      </c>
      <c r="D90" s="51" t="s">
        <v>1935</v>
      </c>
      <c r="E90" s="53" t="s">
        <v>1737</v>
      </c>
      <c r="F90" s="53" t="s">
        <v>1737</v>
      </c>
      <c r="G90" s="53" t="s">
        <v>1737</v>
      </c>
      <c r="H90" s="50">
        <v>3.5</v>
      </c>
      <c r="I90" s="1"/>
      <c r="J90" s="1"/>
      <c r="K90" s="1"/>
      <c r="L90" s="1"/>
      <c r="M90" s="4"/>
    </row>
    <row r="91" spans="1:13" ht="14.4">
      <c r="A91" s="50" t="s">
        <v>1630</v>
      </c>
      <c r="B91" s="51">
        <v>2</v>
      </c>
      <c r="C91" s="52" t="s">
        <v>1855</v>
      </c>
      <c r="D91" s="51" t="s">
        <v>1856</v>
      </c>
      <c r="E91" s="53" t="s">
        <v>1737</v>
      </c>
      <c r="F91" s="53" t="s">
        <v>1737</v>
      </c>
      <c r="G91" s="53" t="s">
        <v>1737</v>
      </c>
      <c r="H91" s="50">
        <v>190</v>
      </c>
      <c r="I91" s="1"/>
      <c r="J91" s="1"/>
      <c r="K91" s="1"/>
      <c r="L91" s="1"/>
      <c r="M91" s="4"/>
    </row>
    <row r="92" spans="1:13" ht="14.4">
      <c r="A92" s="50" t="s">
        <v>1631</v>
      </c>
      <c r="B92" s="51">
        <v>2</v>
      </c>
      <c r="C92" s="52" t="s">
        <v>1898</v>
      </c>
      <c r="D92" s="51" t="s">
        <v>1898</v>
      </c>
      <c r="E92" s="53" t="s">
        <v>1737</v>
      </c>
      <c r="F92" s="53" t="s">
        <v>1737</v>
      </c>
      <c r="G92" s="53" t="s">
        <v>1737</v>
      </c>
      <c r="H92" s="50">
        <f>40+7/2</f>
        <v>43.5</v>
      </c>
      <c r="I92" s="1"/>
      <c r="J92" s="1"/>
      <c r="K92" s="1"/>
      <c r="L92" s="1"/>
      <c r="M92" s="4"/>
    </row>
    <row r="93" spans="1:13" ht="14.4">
      <c r="A93" s="50" t="s">
        <v>692</v>
      </c>
      <c r="B93" s="51">
        <v>2</v>
      </c>
      <c r="C93" s="52" t="s">
        <v>1877</v>
      </c>
      <c r="D93" s="51" t="s">
        <v>1878</v>
      </c>
      <c r="E93" s="62">
        <v>1.1200000000000001</v>
      </c>
      <c r="F93" s="63" t="s">
        <v>1737</v>
      </c>
      <c r="G93" s="63" t="s">
        <v>1743</v>
      </c>
      <c r="H93" s="50">
        <f>95*1.15</f>
        <v>109.24999999999999</v>
      </c>
      <c r="I93" s="1"/>
      <c r="J93" s="1"/>
      <c r="K93" s="1"/>
      <c r="L93" s="1"/>
      <c r="M93" s="4"/>
    </row>
    <row r="94" spans="1:13" ht="14.4">
      <c r="A94" s="75" t="s">
        <v>1646</v>
      </c>
      <c r="B94" s="76">
        <v>2</v>
      </c>
      <c r="C94" s="77" t="s">
        <v>1900</v>
      </c>
      <c r="D94" s="76" t="s">
        <v>1506</v>
      </c>
      <c r="E94" s="53">
        <v>0.92249999999999999</v>
      </c>
      <c r="F94" s="53" t="s">
        <v>1737</v>
      </c>
      <c r="G94" s="55" t="s">
        <v>1902</v>
      </c>
      <c r="H94" s="50">
        <f>30*E94</f>
        <v>27.675000000000001</v>
      </c>
      <c r="I94" s="1"/>
      <c r="J94" s="1"/>
      <c r="K94" s="1"/>
      <c r="L94" s="1"/>
      <c r="M94" s="4"/>
    </row>
    <row r="95" spans="1:13" ht="14.4">
      <c r="A95" s="50" t="s">
        <v>1648</v>
      </c>
      <c r="B95" s="51">
        <v>2</v>
      </c>
      <c r="C95" s="67">
        <v>46023</v>
      </c>
      <c r="D95" s="51">
        <v>2</v>
      </c>
      <c r="E95" s="53" t="s">
        <v>1737</v>
      </c>
      <c r="F95" s="53">
        <v>55</v>
      </c>
      <c r="G95" s="55" t="s">
        <v>1740</v>
      </c>
      <c r="H95" s="50">
        <f>55*2</f>
        <v>110</v>
      </c>
      <c r="I95" s="1"/>
      <c r="J95" s="1"/>
      <c r="K95" s="1"/>
      <c r="L95" s="1"/>
      <c r="M95" s="4"/>
    </row>
    <row r="96" spans="1:13" ht="14.4">
      <c r="A96" s="50" t="s">
        <v>662</v>
      </c>
      <c r="B96" s="51">
        <v>2</v>
      </c>
      <c r="C96" s="52" t="s">
        <v>1931</v>
      </c>
      <c r="D96" s="51" t="s">
        <v>1932</v>
      </c>
      <c r="E96" s="53">
        <v>0.2</v>
      </c>
      <c r="F96" s="53" t="s">
        <v>1737</v>
      </c>
      <c r="G96" s="87" t="s">
        <v>1933</v>
      </c>
      <c r="H96" s="101">
        <f>15*(3/2)*0.2</f>
        <v>4.5</v>
      </c>
      <c r="I96" s="1"/>
      <c r="J96" s="1"/>
      <c r="K96" s="1"/>
      <c r="L96" s="1"/>
      <c r="M96" s="4"/>
    </row>
    <row r="97" spans="1:13" ht="14.4">
      <c r="A97" s="50" t="s">
        <v>1664</v>
      </c>
      <c r="B97" s="51">
        <v>2</v>
      </c>
      <c r="C97" s="52" t="s">
        <v>1791</v>
      </c>
      <c r="D97" s="51" t="s">
        <v>1792</v>
      </c>
      <c r="E97" s="53" t="s">
        <v>1737</v>
      </c>
      <c r="F97" s="53" t="s">
        <v>1737</v>
      </c>
      <c r="G97" s="53" t="s">
        <v>1737</v>
      </c>
      <c r="H97" s="50">
        <v>1400</v>
      </c>
      <c r="I97" s="1"/>
      <c r="J97" s="1"/>
      <c r="K97" s="1"/>
      <c r="L97" s="1"/>
      <c r="M97" s="4"/>
    </row>
    <row r="98" spans="1:13" ht="14.4">
      <c r="A98" s="75" t="s">
        <v>1670</v>
      </c>
      <c r="B98" s="76">
        <v>2</v>
      </c>
      <c r="C98" s="93">
        <v>46197</v>
      </c>
      <c r="D98" s="76">
        <v>30</v>
      </c>
      <c r="E98" s="94">
        <v>0.43</v>
      </c>
      <c r="F98" s="53" t="s">
        <v>1737</v>
      </c>
      <c r="G98" s="55" t="s">
        <v>1956</v>
      </c>
      <c r="H98" s="50">
        <f>30*E98</f>
        <v>12.9</v>
      </c>
      <c r="I98" s="1"/>
      <c r="J98" s="1"/>
      <c r="K98" s="1"/>
      <c r="L98" s="1"/>
      <c r="M98" s="4"/>
    </row>
    <row r="99" spans="1:13" ht="14.4">
      <c r="A99" s="50" t="s">
        <v>1684</v>
      </c>
      <c r="B99" s="51">
        <v>2</v>
      </c>
      <c r="C99" s="52" t="s">
        <v>1872</v>
      </c>
      <c r="D99" s="88">
        <v>46144</v>
      </c>
      <c r="E99" s="53" t="s">
        <v>1737</v>
      </c>
      <c r="F99" s="53" t="s">
        <v>1737</v>
      </c>
      <c r="G99" s="53" t="s">
        <v>1737</v>
      </c>
      <c r="H99" s="50">
        <f>50*5/2</f>
        <v>125</v>
      </c>
      <c r="I99" s="1"/>
      <c r="J99" s="1"/>
      <c r="K99" s="1"/>
      <c r="L99" s="1"/>
      <c r="M99" s="4"/>
    </row>
    <row r="100" spans="1:13" ht="14.4">
      <c r="A100" s="50" t="s">
        <v>1715</v>
      </c>
      <c r="B100" s="51">
        <v>2</v>
      </c>
      <c r="C100" s="67">
        <v>46242</v>
      </c>
      <c r="D100" s="51">
        <v>16</v>
      </c>
      <c r="E100" s="53" t="s">
        <v>1737</v>
      </c>
      <c r="F100" s="53" t="s">
        <v>1737</v>
      </c>
      <c r="G100" s="53" t="s">
        <v>1737</v>
      </c>
      <c r="H100" s="50">
        <f>16*100</f>
        <v>1600</v>
      </c>
      <c r="I100" s="1"/>
      <c r="J100" s="1"/>
      <c r="K100" s="1"/>
      <c r="L100" s="1"/>
      <c r="M100" s="4"/>
    </row>
    <row r="101" spans="1:13" ht="14.4">
      <c r="A101" s="59" t="s">
        <v>1665</v>
      </c>
      <c r="B101" s="60">
        <v>2</v>
      </c>
      <c r="C101" s="61" t="s">
        <v>1858</v>
      </c>
      <c r="D101" s="60" t="s">
        <v>1673</v>
      </c>
      <c r="E101" s="53" t="s">
        <v>1737</v>
      </c>
      <c r="F101" s="53" t="s">
        <v>1737</v>
      </c>
      <c r="G101" s="53" t="s">
        <v>1737</v>
      </c>
      <c r="H101" s="50">
        <v>175</v>
      </c>
      <c r="I101" s="1"/>
      <c r="J101" s="1"/>
      <c r="K101" s="1"/>
      <c r="L101" s="1"/>
      <c r="M101" s="4"/>
    </row>
    <row r="102" spans="1:13" ht="14.4">
      <c r="A102" s="59" t="s">
        <v>1556</v>
      </c>
      <c r="B102" s="60">
        <v>2</v>
      </c>
      <c r="C102" s="102">
        <v>1.4</v>
      </c>
      <c r="D102" s="60">
        <v>5</v>
      </c>
      <c r="E102" s="63" t="s">
        <v>1737</v>
      </c>
      <c r="F102" s="62">
        <v>70</v>
      </c>
      <c r="G102" s="83" t="s">
        <v>1740</v>
      </c>
      <c r="H102" s="60">
        <f>5*70</f>
        <v>350</v>
      </c>
      <c r="I102" s="1"/>
      <c r="J102" s="1"/>
      <c r="K102" s="1"/>
      <c r="L102" s="1"/>
      <c r="M102" s="4"/>
    </row>
    <row r="103" spans="1:13" ht="14.4">
      <c r="A103" s="59" t="s">
        <v>1716</v>
      </c>
      <c r="B103" s="60">
        <v>2</v>
      </c>
      <c r="C103" s="61" t="s">
        <v>1780</v>
      </c>
      <c r="D103" s="60" t="s">
        <v>1806</v>
      </c>
      <c r="E103" s="63" t="s">
        <v>1737</v>
      </c>
      <c r="F103" s="63" t="s">
        <v>1737</v>
      </c>
      <c r="G103" s="63" t="s">
        <v>1737</v>
      </c>
      <c r="H103" s="60">
        <v>1907</v>
      </c>
      <c r="I103" s="1"/>
      <c r="J103" s="1"/>
      <c r="K103" s="1"/>
      <c r="L103" s="1"/>
      <c r="M103" s="4"/>
    </row>
    <row r="104" spans="1:13" ht="14.4">
      <c r="A104" s="50" t="s">
        <v>1677</v>
      </c>
      <c r="B104" s="51">
        <v>2</v>
      </c>
      <c r="C104" s="52">
        <v>750</v>
      </c>
      <c r="D104" s="51" t="s">
        <v>1559</v>
      </c>
      <c r="E104" s="53" t="s">
        <v>1737</v>
      </c>
      <c r="F104" s="53" t="s">
        <v>1737</v>
      </c>
      <c r="G104" s="53" t="s">
        <v>1737</v>
      </c>
      <c r="H104" s="50">
        <v>750</v>
      </c>
      <c r="I104" s="1"/>
      <c r="J104" s="1"/>
      <c r="K104" s="1"/>
      <c r="L104" s="1"/>
      <c r="M104" s="4"/>
    </row>
    <row r="105" spans="1:13" ht="14.4">
      <c r="A105" s="59" t="s">
        <v>1623</v>
      </c>
      <c r="B105" s="60">
        <v>2</v>
      </c>
      <c r="C105" s="59" t="s">
        <v>1906</v>
      </c>
      <c r="D105" s="60" t="s">
        <v>1957</v>
      </c>
      <c r="E105" s="63" t="s">
        <v>1737</v>
      </c>
      <c r="F105" s="63" t="s">
        <v>1737</v>
      </c>
      <c r="G105" s="63" t="s">
        <v>1737</v>
      </c>
      <c r="H105" s="60">
        <v>23</v>
      </c>
      <c r="I105" s="1"/>
      <c r="J105" s="1"/>
      <c r="K105" s="1"/>
      <c r="L105" s="1"/>
      <c r="M105" s="4"/>
    </row>
    <row r="106" spans="1:13" ht="14.4">
      <c r="A106" s="69" t="s">
        <v>1660</v>
      </c>
      <c r="B106" s="70">
        <v>2</v>
      </c>
      <c r="C106" s="71" t="s">
        <v>738</v>
      </c>
      <c r="D106" s="70" t="s">
        <v>738</v>
      </c>
      <c r="E106" s="62">
        <v>1.01</v>
      </c>
      <c r="F106" s="63"/>
      <c r="G106" s="83" t="s">
        <v>1913</v>
      </c>
      <c r="H106" s="60">
        <f>1.01*5</f>
        <v>5.05</v>
      </c>
      <c r="I106" s="1"/>
      <c r="J106" s="1"/>
      <c r="K106" s="1"/>
      <c r="L106" s="1"/>
      <c r="M106" s="4"/>
    </row>
    <row r="107" spans="1:13" ht="14.4">
      <c r="A107" s="69" t="s">
        <v>1692</v>
      </c>
      <c r="B107" s="70">
        <v>1</v>
      </c>
      <c r="C107" s="71" t="s">
        <v>1693</v>
      </c>
      <c r="D107" s="70" t="s">
        <v>1693</v>
      </c>
      <c r="E107" s="62">
        <v>1</v>
      </c>
      <c r="F107" s="63"/>
      <c r="G107" s="63" t="s">
        <v>1822</v>
      </c>
      <c r="H107" s="60">
        <v>750</v>
      </c>
      <c r="I107" s="1"/>
      <c r="J107" s="1"/>
      <c r="K107" s="1"/>
      <c r="L107" s="1"/>
      <c r="M107" s="4"/>
    </row>
    <row r="108" spans="1:13" ht="14.4">
      <c r="A108" s="50" t="s">
        <v>1518</v>
      </c>
      <c r="B108" s="51">
        <v>1</v>
      </c>
      <c r="C108" s="52" t="s">
        <v>1519</v>
      </c>
      <c r="D108" s="51" t="s">
        <v>1939</v>
      </c>
      <c r="E108" s="53" t="s">
        <v>1737</v>
      </c>
      <c r="F108" s="53" t="s">
        <v>1737</v>
      </c>
      <c r="G108" s="53" t="s">
        <v>1737</v>
      </c>
      <c r="H108" s="60">
        <f>1/4*5*0.64</f>
        <v>0.8</v>
      </c>
      <c r="I108" s="1"/>
      <c r="J108" s="1"/>
      <c r="K108" s="1"/>
      <c r="L108" s="1"/>
      <c r="M108" s="4"/>
    </row>
    <row r="109" spans="1:13" ht="14.4">
      <c r="A109" s="59" t="s">
        <v>1812</v>
      </c>
      <c r="B109" s="60">
        <v>1</v>
      </c>
      <c r="C109" s="61" t="s">
        <v>1497</v>
      </c>
      <c r="D109" s="60" t="s">
        <v>1497</v>
      </c>
      <c r="E109" s="63" t="s">
        <v>1737</v>
      </c>
      <c r="F109" s="63" t="s">
        <v>1737</v>
      </c>
      <c r="G109" s="63" t="s">
        <v>1737</v>
      </c>
      <c r="H109" s="60">
        <v>907</v>
      </c>
      <c r="I109" s="1"/>
      <c r="J109" s="1"/>
      <c r="K109" s="1"/>
      <c r="L109" s="1"/>
      <c r="M109" s="4"/>
    </row>
    <row r="110" spans="1:13" ht="14.4">
      <c r="A110" s="75" t="s">
        <v>1958</v>
      </c>
      <c r="B110" s="76">
        <v>1</v>
      </c>
      <c r="C110" s="77">
        <v>1</v>
      </c>
      <c r="D110" s="51">
        <v>1</v>
      </c>
      <c r="E110" s="53" t="s">
        <v>1737</v>
      </c>
      <c r="F110" s="53">
        <v>700</v>
      </c>
      <c r="G110" s="55" t="s">
        <v>1740</v>
      </c>
      <c r="H110" s="50">
        <v>700</v>
      </c>
      <c r="I110" s="1"/>
      <c r="J110" s="1"/>
      <c r="K110" s="1"/>
      <c r="L110" s="1"/>
      <c r="M110" s="4"/>
    </row>
    <row r="111" spans="1:13" ht="14.4">
      <c r="A111" s="50" t="s">
        <v>1460</v>
      </c>
      <c r="B111" s="51">
        <v>1</v>
      </c>
      <c r="C111" s="52" t="s">
        <v>1506</v>
      </c>
      <c r="D111" s="51" t="s">
        <v>1506</v>
      </c>
      <c r="E111" s="53">
        <v>1.28</v>
      </c>
      <c r="F111" s="53" t="s">
        <v>1737</v>
      </c>
      <c r="G111" s="55" t="s">
        <v>1743</v>
      </c>
      <c r="H111" s="50">
        <f>30*1.28</f>
        <v>38.4</v>
      </c>
      <c r="I111" s="1"/>
      <c r="J111" s="1"/>
      <c r="K111" s="1"/>
      <c r="L111" s="1"/>
      <c r="M111" s="4"/>
    </row>
    <row r="112" spans="1:13" ht="14.4">
      <c r="A112" s="50" t="s">
        <v>1464</v>
      </c>
      <c r="B112" s="51">
        <v>1</v>
      </c>
      <c r="C112" s="52" t="s">
        <v>1596</v>
      </c>
      <c r="D112" s="51" t="s">
        <v>1596</v>
      </c>
      <c r="E112" s="53">
        <v>0.94799999999999995</v>
      </c>
      <c r="F112" s="53" t="s">
        <v>1737</v>
      </c>
      <c r="G112" s="55" t="s">
        <v>1892</v>
      </c>
      <c r="H112" s="50">
        <f>60*E112</f>
        <v>56.879999999999995</v>
      </c>
      <c r="I112" s="1"/>
      <c r="J112" s="1"/>
      <c r="K112" s="1"/>
      <c r="L112" s="1"/>
      <c r="M112" s="4"/>
    </row>
    <row r="113" spans="1:13" ht="14.4">
      <c r="A113" s="50" t="s">
        <v>596</v>
      </c>
      <c r="B113" s="51">
        <v>1</v>
      </c>
      <c r="C113" s="52" t="s">
        <v>1506</v>
      </c>
      <c r="D113" s="51" t="s">
        <v>1506</v>
      </c>
      <c r="E113" s="53">
        <v>1.1499999999999999</v>
      </c>
      <c r="F113" s="53" t="s">
        <v>1737</v>
      </c>
      <c r="G113" s="55" t="s">
        <v>1897</v>
      </c>
      <c r="H113" s="50">
        <f>30*1.15</f>
        <v>34.5</v>
      </c>
      <c r="I113" s="1"/>
      <c r="J113" s="1"/>
      <c r="K113" s="1"/>
      <c r="L113" s="1"/>
      <c r="M113" s="4"/>
    </row>
    <row r="114" spans="1:13" ht="14.4">
      <c r="A114" s="50" t="s">
        <v>679</v>
      </c>
      <c r="B114" s="51">
        <v>1</v>
      </c>
      <c r="C114" s="52" t="s">
        <v>1606</v>
      </c>
      <c r="D114" s="51" t="s">
        <v>1606</v>
      </c>
      <c r="E114" s="53" t="s">
        <v>1737</v>
      </c>
      <c r="F114" s="53" t="s">
        <v>1737</v>
      </c>
      <c r="G114" s="53" t="s">
        <v>1737</v>
      </c>
      <c r="H114" s="50">
        <v>170</v>
      </c>
      <c r="I114" s="1"/>
      <c r="J114" s="1"/>
      <c r="K114" s="1"/>
      <c r="L114" s="1"/>
      <c r="M114" s="4"/>
    </row>
    <row r="115" spans="1:13" ht="14.4">
      <c r="A115" s="50" t="s">
        <v>1476</v>
      </c>
      <c r="B115" s="51">
        <v>1</v>
      </c>
      <c r="C115" s="52" t="s">
        <v>1557</v>
      </c>
      <c r="D115" s="51" t="s">
        <v>1557</v>
      </c>
      <c r="E115" s="53">
        <v>1.2</v>
      </c>
      <c r="F115" s="53" t="s">
        <v>1737</v>
      </c>
      <c r="G115" s="55" t="s">
        <v>1908</v>
      </c>
      <c r="H115" s="50">
        <f>12</f>
        <v>12</v>
      </c>
      <c r="I115" s="1"/>
      <c r="J115" s="1"/>
      <c r="K115" s="1"/>
      <c r="L115" s="1"/>
      <c r="M115" s="4"/>
    </row>
    <row r="116" spans="1:13" ht="14.4">
      <c r="A116" s="50" t="s">
        <v>1487</v>
      </c>
      <c r="B116" s="51">
        <v>1</v>
      </c>
      <c r="C116" s="52" t="s">
        <v>1924</v>
      </c>
      <c r="D116" s="51" t="s">
        <v>1925</v>
      </c>
      <c r="E116" s="53" t="s">
        <v>1737</v>
      </c>
      <c r="F116" s="53" t="s">
        <v>1737</v>
      </c>
      <c r="G116" s="53" t="s">
        <v>1737</v>
      </c>
      <c r="H116" s="50">
        <v>3</v>
      </c>
      <c r="I116" s="1"/>
      <c r="J116" s="1"/>
      <c r="K116" s="1"/>
      <c r="L116" s="1"/>
      <c r="M116" s="4"/>
    </row>
    <row r="117" spans="1:13" ht="14.4">
      <c r="A117" s="50" t="s">
        <v>1488</v>
      </c>
      <c r="B117" s="51">
        <v>1</v>
      </c>
      <c r="C117" s="52" t="s">
        <v>1506</v>
      </c>
      <c r="D117" s="51" t="s">
        <v>1506</v>
      </c>
      <c r="E117" s="53">
        <v>1.01</v>
      </c>
      <c r="F117" s="53" t="s">
        <v>1737</v>
      </c>
      <c r="G117" s="55" t="s">
        <v>1901</v>
      </c>
      <c r="H117" s="50">
        <f>30*1.01</f>
        <v>30.3</v>
      </c>
      <c r="I117" s="1"/>
      <c r="J117" s="1"/>
      <c r="K117" s="1"/>
      <c r="L117" s="1"/>
      <c r="M117" s="4"/>
    </row>
    <row r="118" spans="1:13" ht="14.4">
      <c r="A118" s="75" t="s">
        <v>1491</v>
      </c>
      <c r="B118" s="76">
        <v>1</v>
      </c>
      <c r="C118" s="77">
        <v>4</v>
      </c>
      <c r="D118" s="76">
        <v>4</v>
      </c>
      <c r="E118" s="81"/>
      <c r="F118" s="81">
        <v>0.82</v>
      </c>
      <c r="G118" s="82" t="s">
        <v>1923</v>
      </c>
      <c r="H118" s="75">
        <f>4*0.82</f>
        <v>3.28</v>
      </c>
      <c r="I118" s="1"/>
      <c r="J118" s="1"/>
      <c r="K118" s="1"/>
      <c r="L118" s="1"/>
      <c r="M118" s="4"/>
    </row>
    <row r="119" spans="1:13" ht="14.4">
      <c r="A119" s="50" t="s">
        <v>1500</v>
      </c>
      <c r="B119" s="51">
        <v>1</v>
      </c>
      <c r="C119" s="52">
        <v>6</v>
      </c>
      <c r="D119" s="51">
        <v>6</v>
      </c>
      <c r="E119" s="53" t="s">
        <v>1737</v>
      </c>
      <c r="F119" s="53">
        <v>70</v>
      </c>
      <c r="G119" s="55" t="s">
        <v>1740</v>
      </c>
      <c r="H119" s="50">
        <f>70*6</f>
        <v>420</v>
      </c>
      <c r="I119" s="1"/>
      <c r="J119" s="1"/>
      <c r="K119" s="1"/>
      <c r="L119" s="1"/>
      <c r="M119" s="4"/>
    </row>
    <row r="120" spans="1:13" ht="14.4">
      <c r="A120" s="50" t="s">
        <v>1501</v>
      </c>
      <c r="B120" s="51">
        <v>1</v>
      </c>
      <c r="C120" s="52" t="s">
        <v>1502</v>
      </c>
      <c r="D120" s="51" t="s">
        <v>1502</v>
      </c>
      <c r="E120" s="53" t="s">
        <v>1737</v>
      </c>
      <c r="F120" s="53" t="s">
        <v>1737</v>
      </c>
      <c r="G120" s="53" t="s">
        <v>1737</v>
      </c>
      <c r="H120" s="50">
        <v>680</v>
      </c>
      <c r="I120" s="1"/>
      <c r="J120" s="1"/>
      <c r="K120" s="1"/>
      <c r="L120" s="1"/>
      <c r="M120" s="4"/>
    </row>
    <row r="121" spans="1:13" ht="14.4">
      <c r="A121" s="50" t="s">
        <v>1507</v>
      </c>
      <c r="B121" s="51">
        <v>1</v>
      </c>
      <c r="C121" s="52" t="s">
        <v>1492</v>
      </c>
      <c r="D121" s="51" t="s">
        <v>1492</v>
      </c>
      <c r="E121" s="53">
        <v>1.008</v>
      </c>
      <c r="F121" s="53" t="s">
        <v>1737</v>
      </c>
      <c r="G121" s="55" t="s">
        <v>1743</v>
      </c>
      <c r="H121" s="50">
        <f>240*E121</f>
        <v>241.92000000000002</v>
      </c>
      <c r="I121" s="1"/>
      <c r="J121" s="1"/>
      <c r="K121" s="1"/>
      <c r="L121" s="1"/>
      <c r="M121" s="4"/>
    </row>
    <row r="122" spans="1:13" ht="14.4">
      <c r="A122" s="50" t="s">
        <v>1540</v>
      </c>
      <c r="B122" s="51">
        <v>1</v>
      </c>
      <c r="C122" s="52" t="s">
        <v>1541</v>
      </c>
      <c r="D122" s="51" t="s">
        <v>1806</v>
      </c>
      <c r="E122" s="53" t="s">
        <v>1737</v>
      </c>
      <c r="F122" s="53" t="s">
        <v>1737</v>
      </c>
      <c r="G122" s="53" t="s">
        <v>1737</v>
      </c>
      <c r="H122" s="50">
        <v>1000</v>
      </c>
      <c r="I122" s="1"/>
      <c r="J122" s="1"/>
      <c r="K122" s="1"/>
      <c r="L122" s="1"/>
      <c r="M122" s="4"/>
    </row>
    <row r="123" spans="1:13" ht="14.4">
      <c r="A123" s="50" t="s">
        <v>1558</v>
      </c>
      <c r="B123" s="51">
        <v>1</v>
      </c>
      <c r="C123" s="52" t="s">
        <v>1559</v>
      </c>
      <c r="D123" s="51" t="s">
        <v>1559</v>
      </c>
      <c r="E123" s="53" t="s">
        <v>1737</v>
      </c>
      <c r="F123" s="53" t="s">
        <v>1737</v>
      </c>
      <c r="G123" s="53" t="s">
        <v>1737</v>
      </c>
      <c r="H123" s="50">
        <v>300</v>
      </c>
      <c r="I123" s="1"/>
      <c r="J123" s="1"/>
      <c r="K123" s="1"/>
      <c r="L123" s="1"/>
      <c r="M123" s="4"/>
    </row>
    <row r="124" spans="1:13" ht="14.4">
      <c r="A124" s="50" t="s">
        <v>678</v>
      </c>
      <c r="B124" s="51">
        <v>1</v>
      </c>
      <c r="C124" s="52">
        <v>6</v>
      </c>
      <c r="D124" s="51">
        <v>6</v>
      </c>
      <c r="E124" s="53" t="s">
        <v>1737</v>
      </c>
      <c r="F124" s="53">
        <v>180</v>
      </c>
      <c r="G124" s="55" t="s">
        <v>1740</v>
      </c>
      <c r="H124" s="50">
        <f>180*6</f>
        <v>1080</v>
      </c>
      <c r="I124" s="1"/>
      <c r="J124" s="1"/>
      <c r="K124" s="1"/>
      <c r="L124" s="1"/>
      <c r="M124" s="4"/>
    </row>
    <row r="125" spans="1:13" ht="14.4">
      <c r="A125" s="50" t="s">
        <v>1563</v>
      </c>
      <c r="B125" s="51">
        <v>1</v>
      </c>
      <c r="C125" s="52" t="s">
        <v>746</v>
      </c>
      <c r="D125" s="51" t="s">
        <v>746</v>
      </c>
      <c r="E125" s="53">
        <v>1.43</v>
      </c>
      <c r="F125" s="53" t="s">
        <v>1737</v>
      </c>
      <c r="G125" s="55" t="s">
        <v>1892</v>
      </c>
      <c r="H125" s="50">
        <f>15*1.43</f>
        <v>21.45</v>
      </c>
      <c r="I125" s="1"/>
      <c r="J125" s="1"/>
      <c r="K125" s="1"/>
      <c r="L125" s="1"/>
      <c r="M125" s="4"/>
    </row>
    <row r="126" spans="1:13" ht="14.4">
      <c r="A126" s="50" t="s">
        <v>1568</v>
      </c>
      <c r="B126" s="51">
        <v>1</v>
      </c>
      <c r="C126" s="52" t="s">
        <v>1569</v>
      </c>
      <c r="D126" s="51" t="s">
        <v>1569</v>
      </c>
      <c r="E126" s="53" t="s">
        <v>1737</v>
      </c>
      <c r="F126" s="53" t="s">
        <v>1737</v>
      </c>
      <c r="G126" s="53" t="s">
        <v>1737</v>
      </c>
      <c r="H126" s="50">
        <v>234</v>
      </c>
      <c r="I126" s="1"/>
      <c r="J126" s="1"/>
      <c r="K126" s="1"/>
      <c r="L126" s="1"/>
      <c r="M126" s="4"/>
    </row>
    <row r="127" spans="1:13" ht="14.4">
      <c r="A127" s="50" t="s">
        <v>1573</v>
      </c>
      <c r="B127" s="51">
        <v>1</v>
      </c>
      <c r="C127" s="52" t="s">
        <v>1574</v>
      </c>
      <c r="D127" s="51" t="s">
        <v>1769</v>
      </c>
      <c r="E127" s="53" t="s">
        <v>1737</v>
      </c>
      <c r="F127" s="53" t="s">
        <v>1737</v>
      </c>
      <c r="G127" s="53" t="s">
        <v>1737</v>
      </c>
      <c r="H127" s="50">
        <v>2350</v>
      </c>
      <c r="I127" s="1"/>
      <c r="J127" s="1"/>
      <c r="K127" s="1"/>
      <c r="L127" s="1"/>
      <c r="M127" s="4"/>
    </row>
    <row r="128" spans="1:13" ht="14.4">
      <c r="A128" s="75" t="s">
        <v>1576</v>
      </c>
      <c r="B128" s="76">
        <v>1</v>
      </c>
      <c r="C128" s="77" t="s">
        <v>1577</v>
      </c>
      <c r="D128" s="76" t="s">
        <v>1577</v>
      </c>
      <c r="E128" s="81"/>
      <c r="F128" s="81">
        <v>2.5</v>
      </c>
      <c r="G128" s="82" t="s">
        <v>1909</v>
      </c>
      <c r="H128" s="75">
        <f>2.5*4</f>
        <v>10</v>
      </c>
      <c r="I128" s="1"/>
      <c r="J128" s="1"/>
      <c r="K128" s="1"/>
      <c r="L128" s="1"/>
      <c r="M128" s="4"/>
    </row>
    <row r="129" spans="1:13" ht="14.4">
      <c r="A129" s="50" t="s">
        <v>1579</v>
      </c>
      <c r="B129" s="51">
        <v>1</v>
      </c>
      <c r="C129" s="52" t="s">
        <v>1506</v>
      </c>
      <c r="D129" s="51" t="s">
        <v>1506</v>
      </c>
      <c r="E129" s="53">
        <v>1.01</v>
      </c>
      <c r="F129" s="53" t="s">
        <v>1737</v>
      </c>
      <c r="G129" s="55" t="s">
        <v>1901</v>
      </c>
      <c r="H129" s="50">
        <f>30*1.01</f>
        <v>30.3</v>
      </c>
      <c r="I129" s="1"/>
      <c r="J129" s="1"/>
      <c r="K129" s="1"/>
      <c r="L129" s="1"/>
      <c r="M129" s="4"/>
    </row>
    <row r="130" spans="1:13" ht="14.4">
      <c r="A130" s="50" t="s">
        <v>1839</v>
      </c>
      <c r="B130" s="51">
        <v>1</v>
      </c>
      <c r="C130" s="52" t="s">
        <v>1479</v>
      </c>
      <c r="D130" s="51" t="s">
        <v>1479</v>
      </c>
      <c r="E130" s="53" t="s">
        <v>1737</v>
      </c>
      <c r="F130" s="53" t="s">
        <v>1737</v>
      </c>
      <c r="G130" s="53" t="s">
        <v>1737</v>
      </c>
      <c r="H130" s="50">
        <v>454</v>
      </c>
      <c r="I130" s="1"/>
      <c r="J130" s="1"/>
      <c r="K130" s="1"/>
      <c r="L130" s="1"/>
      <c r="M130" s="4"/>
    </row>
    <row r="131" spans="1:13" ht="14.4">
      <c r="A131" s="50" t="s">
        <v>1609</v>
      </c>
      <c r="B131" s="51">
        <v>1</v>
      </c>
      <c r="C131" s="52" t="s">
        <v>1484</v>
      </c>
      <c r="D131" s="51" t="s">
        <v>1484</v>
      </c>
      <c r="E131" s="53" t="s">
        <v>1737</v>
      </c>
      <c r="F131" s="53" t="s">
        <v>1737</v>
      </c>
      <c r="G131" s="53" t="s">
        <v>1737</v>
      </c>
      <c r="H131" s="50">
        <v>226</v>
      </c>
      <c r="I131" s="1"/>
      <c r="J131" s="1"/>
      <c r="K131" s="1"/>
      <c r="L131" s="1"/>
      <c r="M131" s="4"/>
    </row>
    <row r="132" spans="1:13" ht="14.4">
      <c r="A132" s="50" t="s">
        <v>1622</v>
      </c>
      <c r="B132" s="51">
        <v>1</v>
      </c>
      <c r="C132" s="52" t="s">
        <v>1519</v>
      </c>
      <c r="D132" s="50" t="s">
        <v>1519</v>
      </c>
      <c r="E132" s="53">
        <v>0.81</v>
      </c>
      <c r="F132" s="53" t="s">
        <v>1737</v>
      </c>
      <c r="G132" s="55" t="s">
        <v>1937</v>
      </c>
      <c r="H132" s="50">
        <f>15/4*0.81</f>
        <v>3.0375000000000001</v>
      </c>
      <c r="I132" s="1"/>
      <c r="J132" s="1"/>
      <c r="K132" s="1"/>
      <c r="L132" s="1"/>
      <c r="M132" s="4"/>
    </row>
    <row r="133" spans="1:13" ht="14.4">
      <c r="A133" s="50" t="s">
        <v>1959</v>
      </c>
      <c r="B133" s="51">
        <v>1</v>
      </c>
      <c r="C133" s="52" t="s">
        <v>1486</v>
      </c>
      <c r="D133" s="51" t="s">
        <v>1486</v>
      </c>
      <c r="E133" s="53" t="s">
        <v>1737</v>
      </c>
      <c r="F133" s="53" t="s">
        <v>1737</v>
      </c>
      <c r="G133" s="53" t="s">
        <v>1737</v>
      </c>
      <c r="H133" s="50">
        <v>100</v>
      </c>
      <c r="I133" s="1"/>
      <c r="J133" s="1"/>
      <c r="K133" s="1"/>
      <c r="L133" s="1"/>
      <c r="M133" s="4"/>
    </row>
    <row r="134" spans="1:13" ht="14.4">
      <c r="A134" s="50" t="s">
        <v>1644</v>
      </c>
      <c r="B134" s="51">
        <v>1</v>
      </c>
      <c r="C134" s="52" t="s">
        <v>1479</v>
      </c>
      <c r="D134" s="51" t="s">
        <v>1479</v>
      </c>
      <c r="E134" s="53" t="s">
        <v>1737</v>
      </c>
      <c r="F134" s="53" t="s">
        <v>1737</v>
      </c>
      <c r="G134" s="53" t="s">
        <v>1737</v>
      </c>
      <c r="H134" s="50">
        <v>454</v>
      </c>
      <c r="I134" s="1"/>
      <c r="J134" s="1"/>
      <c r="K134" s="1"/>
      <c r="L134" s="1"/>
      <c r="M134" s="4"/>
    </row>
    <row r="135" spans="1:13" ht="14.4">
      <c r="A135" s="50" t="s">
        <v>1650</v>
      </c>
      <c r="B135" s="51">
        <v>1</v>
      </c>
      <c r="C135" s="52" t="s">
        <v>1479</v>
      </c>
      <c r="D135" s="51" t="s">
        <v>1479</v>
      </c>
      <c r="E135" s="53" t="s">
        <v>1737</v>
      </c>
      <c r="F135" s="53" t="s">
        <v>1737</v>
      </c>
      <c r="G135" s="53" t="s">
        <v>1737</v>
      </c>
      <c r="H135" s="50">
        <v>454</v>
      </c>
      <c r="I135" s="1"/>
      <c r="J135" s="1"/>
      <c r="K135" s="1"/>
      <c r="L135" s="1"/>
      <c r="M135" s="4"/>
    </row>
    <row r="136" spans="1:13" ht="14.4">
      <c r="A136" s="50" t="s">
        <v>1656</v>
      </c>
      <c r="B136" s="51">
        <v>1</v>
      </c>
      <c r="C136" s="52" t="s">
        <v>1657</v>
      </c>
      <c r="D136" s="51" t="s">
        <v>1657</v>
      </c>
      <c r="E136" s="53" t="s">
        <v>1737</v>
      </c>
      <c r="F136" s="53" t="s">
        <v>1737</v>
      </c>
      <c r="G136" s="53" t="s">
        <v>1737</v>
      </c>
      <c r="H136" s="50">
        <v>325</v>
      </c>
      <c r="I136" s="1"/>
      <c r="J136" s="1"/>
      <c r="K136" s="1"/>
      <c r="L136" s="1"/>
      <c r="M136" s="4"/>
    </row>
    <row r="137" spans="1:13" ht="14.4">
      <c r="A137" s="50" t="s">
        <v>1666</v>
      </c>
      <c r="B137" s="51">
        <v>1</v>
      </c>
      <c r="C137" s="52" t="s">
        <v>1667</v>
      </c>
      <c r="D137" s="51" t="s">
        <v>1667</v>
      </c>
      <c r="E137" s="53" t="s">
        <v>1737</v>
      </c>
      <c r="F137" s="53" t="s">
        <v>1737</v>
      </c>
      <c r="G137" s="53" t="s">
        <v>1737</v>
      </c>
      <c r="H137" s="50">
        <v>600</v>
      </c>
      <c r="I137" s="1"/>
      <c r="J137" s="1"/>
      <c r="K137" s="1"/>
      <c r="L137" s="1"/>
      <c r="M137" s="4"/>
    </row>
    <row r="138" spans="1:13" ht="14.4">
      <c r="A138" s="50" t="s">
        <v>716</v>
      </c>
      <c r="B138" s="51">
        <v>1</v>
      </c>
      <c r="C138" s="52" t="s">
        <v>726</v>
      </c>
      <c r="D138" s="51" t="s">
        <v>1539</v>
      </c>
      <c r="E138" s="53" t="s">
        <v>1737</v>
      </c>
      <c r="F138" s="53" t="s">
        <v>1737</v>
      </c>
      <c r="G138" s="53" t="s">
        <v>1737</v>
      </c>
      <c r="H138" s="50">
        <v>250</v>
      </c>
      <c r="I138" s="1"/>
      <c r="J138" s="1"/>
      <c r="K138" s="1"/>
      <c r="L138" s="1"/>
      <c r="M138" s="4"/>
    </row>
    <row r="139" spans="1:13" ht="14.4">
      <c r="A139" s="50" t="s">
        <v>1675</v>
      </c>
      <c r="B139" s="51">
        <v>1</v>
      </c>
      <c r="C139" s="52" t="s">
        <v>1541</v>
      </c>
      <c r="D139" s="51" t="s">
        <v>1806</v>
      </c>
      <c r="E139" s="53" t="s">
        <v>1737</v>
      </c>
      <c r="F139" s="53" t="s">
        <v>1737</v>
      </c>
      <c r="G139" s="53" t="s">
        <v>1737</v>
      </c>
      <c r="H139" s="50">
        <v>1000</v>
      </c>
      <c r="I139" s="1"/>
      <c r="J139" s="1"/>
      <c r="K139" s="1"/>
      <c r="L139" s="1"/>
      <c r="M139" s="4"/>
    </row>
    <row r="140" spans="1:13" ht="14.4">
      <c r="A140" s="50" t="s">
        <v>1676</v>
      </c>
      <c r="B140" s="51">
        <v>1</v>
      </c>
      <c r="C140" s="52" t="s">
        <v>738</v>
      </c>
      <c r="D140" s="51" t="s">
        <v>738</v>
      </c>
      <c r="E140" s="95">
        <v>0.34050000000000002</v>
      </c>
      <c r="F140" s="53" t="s">
        <v>1737</v>
      </c>
      <c r="G140" s="55" t="s">
        <v>1930</v>
      </c>
      <c r="H140" s="50">
        <f>0.3405*5</f>
        <v>1.7025000000000001</v>
      </c>
      <c r="I140" s="1"/>
      <c r="J140" s="1"/>
      <c r="K140" s="1"/>
      <c r="L140" s="1"/>
      <c r="M140" s="4"/>
    </row>
    <row r="141" spans="1:13" ht="14.4">
      <c r="A141" s="50" t="s">
        <v>1678</v>
      </c>
      <c r="B141" s="51">
        <v>1</v>
      </c>
      <c r="C141" s="52" t="s">
        <v>1559</v>
      </c>
      <c r="D141" s="51" t="s">
        <v>1559</v>
      </c>
      <c r="E141" s="53" t="s">
        <v>1737</v>
      </c>
      <c r="F141" s="53" t="s">
        <v>1737</v>
      </c>
      <c r="G141" s="53" t="s">
        <v>1737</v>
      </c>
      <c r="H141" s="50">
        <v>300</v>
      </c>
      <c r="I141" s="1"/>
      <c r="J141" s="1"/>
      <c r="K141" s="1"/>
      <c r="L141" s="1"/>
      <c r="M141" s="4"/>
    </row>
    <row r="142" spans="1:13" ht="14.4">
      <c r="A142" s="50" t="s">
        <v>1681</v>
      </c>
      <c r="B142" s="51">
        <v>1</v>
      </c>
      <c r="C142" s="52" t="s">
        <v>753</v>
      </c>
      <c r="D142" s="51" t="s">
        <v>753</v>
      </c>
      <c r="E142" s="53" t="s">
        <v>1737</v>
      </c>
      <c r="F142" s="53" t="s">
        <v>1737</v>
      </c>
      <c r="G142" s="53" t="s">
        <v>1737</v>
      </c>
      <c r="H142" s="50">
        <v>400</v>
      </c>
      <c r="I142" s="1"/>
      <c r="J142" s="1"/>
      <c r="K142" s="1"/>
      <c r="L142" s="1"/>
      <c r="M142" s="4"/>
    </row>
    <row r="143" spans="1:13" ht="14.4">
      <c r="A143" s="75" t="s">
        <v>1683</v>
      </c>
      <c r="B143" s="76">
        <v>1</v>
      </c>
      <c r="C143" s="77">
        <v>2</v>
      </c>
      <c r="D143" s="76">
        <v>2</v>
      </c>
      <c r="E143" s="81" t="s">
        <v>1737</v>
      </c>
      <c r="F143" s="81">
        <v>46</v>
      </c>
      <c r="G143" s="81" t="s">
        <v>1737</v>
      </c>
      <c r="H143" s="75">
        <f>46*2</f>
        <v>92</v>
      </c>
      <c r="I143" s="1"/>
      <c r="J143" s="1"/>
      <c r="K143" s="1"/>
      <c r="L143" s="1"/>
      <c r="M143" s="4"/>
    </row>
    <row r="144" spans="1:13" ht="14.4">
      <c r="A144" s="50" t="s">
        <v>1696</v>
      </c>
      <c r="B144" s="51">
        <v>1</v>
      </c>
      <c r="C144" s="52" t="s">
        <v>1697</v>
      </c>
      <c r="D144" s="51" t="s">
        <v>1697</v>
      </c>
      <c r="E144" s="53" t="s">
        <v>1737</v>
      </c>
      <c r="F144" s="53" t="s">
        <v>1737</v>
      </c>
      <c r="G144" s="53" t="s">
        <v>1737</v>
      </c>
      <c r="H144" s="50">
        <v>439</v>
      </c>
      <c r="I144" s="1"/>
      <c r="J144" s="1"/>
      <c r="K144" s="1"/>
      <c r="L144" s="1"/>
      <c r="M144" s="4"/>
    </row>
    <row r="145" spans="1:13" ht="14.4">
      <c r="A145" s="50" t="s">
        <v>1706</v>
      </c>
      <c r="B145" s="51">
        <v>1</v>
      </c>
      <c r="C145" s="52">
        <v>1</v>
      </c>
      <c r="D145" s="51">
        <v>1</v>
      </c>
      <c r="E145" s="53" t="s">
        <v>1737</v>
      </c>
      <c r="F145" s="53">
        <v>15</v>
      </c>
      <c r="G145" s="55" t="s">
        <v>1740</v>
      </c>
      <c r="H145" s="50">
        <f>15*1</f>
        <v>15</v>
      </c>
      <c r="I145" s="1"/>
      <c r="J145" s="1"/>
      <c r="K145" s="1"/>
      <c r="L145" s="1"/>
      <c r="M145" s="4"/>
    </row>
    <row r="146" spans="1:13" ht="14.4">
      <c r="A146" s="50" t="s">
        <v>1709</v>
      </c>
      <c r="B146" s="51">
        <v>1</v>
      </c>
      <c r="C146" s="52" t="s">
        <v>1662</v>
      </c>
      <c r="D146" s="51" t="s">
        <v>1662</v>
      </c>
      <c r="E146" s="53" t="s">
        <v>1737</v>
      </c>
      <c r="F146" s="53" t="s">
        <v>1737</v>
      </c>
      <c r="G146" s="53" t="s">
        <v>1737</v>
      </c>
      <c r="H146" s="50">
        <v>112</v>
      </c>
      <c r="I146" s="1"/>
      <c r="J146" s="1"/>
      <c r="K146" s="1"/>
      <c r="L146" s="1"/>
      <c r="M146" s="4"/>
    </row>
    <row r="147" spans="1:13" ht="14.4">
      <c r="A147" s="50" t="s">
        <v>1711</v>
      </c>
      <c r="B147" s="51">
        <v>1</v>
      </c>
      <c r="C147" s="50" t="s">
        <v>1559</v>
      </c>
      <c r="D147" s="51" t="s">
        <v>1559</v>
      </c>
      <c r="E147" s="53" t="s">
        <v>1737</v>
      </c>
      <c r="F147" s="53" t="s">
        <v>1737</v>
      </c>
      <c r="G147" s="53" t="s">
        <v>1737</v>
      </c>
      <c r="H147" s="50">
        <v>300</v>
      </c>
      <c r="I147" s="1"/>
      <c r="J147" s="1"/>
      <c r="K147" s="1"/>
      <c r="L147" s="1"/>
      <c r="M147" s="4"/>
    </row>
    <row r="148" spans="1:13" ht="14.4">
      <c r="A148" s="50" t="s">
        <v>1712</v>
      </c>
      <c r="B148" s="51">
        <v>1</v>
      </c>
      <c r="C148" s="50">
        <v>3</v>
      </c>
      <c r="D148" s="51">
        <v>3</v>
      </c>
      <c r="E148" s="53" t="s">
        <v>1737</v>
      </c>
      <c r="F148" s="53">
        <v>230</v>
      </c>
      <c r="G148" s="55" t="s">
        <v>1740</v>
      </c>
      <c r="H148" s="50">
        <f>230*3</f>
        <v>690</v>
      </c>
      <c r="I148" s="1"/>
      <c r="J148" s="1"/>
      <c r="K148" s="1"/>
      <c r="L148" s="1"/>
      <c r="M148" s="4"/>
    </row>
    <row r="149" spans="1:13" ht="14.4">
      <c r="A149" s="50" t="s">
        <v>1714</v>
      </c>
      <c r="B149" s="51">
        <v>1</v>
      </c>
      <c r="C149" s="50" t="s">
        <v>1536</v>
      </c>
      <c r="D149" s="51" t="s">
        <v>1536</v>
      </c>
      <c r="E149" s="53" t="s">
        <v>1737</v>
      </c>
      <c r="F149" s="53" t="s">
        <v>1737</v>
      </c>
      <c r="G149" s="53" t="s">
        <v>1737</v>
      </c>
      <c r="H149" s="51">
        <v>225</v>
      </c>
      <c r="I149" s="1"/>
      <c r="J149" s="1"/>
      <c r="K149" s="1"/>
      <c r="L149" s="1"/>
      <c r="M149" s="4"/>
    </row>
    <row r="150" spans="1:13" ht="14.4">
      <c r="A150" s="50" t="s">
        <v>704</v>
      </c>
      <c r="B150" s="51">
        <v>1</v>
      </c>
      <c r="C150" s="50">
        <v>1</v>
      </c>
      <c r="D150" s="53">
        <v>1</v>
      </c>
      <c r="E150" s="53" t="s">
        <v>1737</v>
      </c>
      <c r="F150" s="53">
        <v>150</v>
      </c>
      <c r="G150" s="55" t="s">
        <v>1740</v>
      </c>
      <c r="H150" s="50">
        <v>150</v>
      </c>
      <c r="I150" s="1"/>
      <c r="J150" s="1"/>
      <c r="K150" s="1"/>
      <c r="L150" s="1"/>
      <c r="M150" s="4"/>
    </row>
    <row r="151" spans="1:13" ht="14.4">
      <c r="A151" s="75" t="s">
        <v>1718</v>
      </c>
      <c r="B151" s="76">
        <v>1</v>
      </c>
      <c r="C151" s="75">
        <v>1</v>
      </c>
      <c r="D151" s="81">
        <v>1</v>
      </c>
      <c r="E151" s="53" t="s">
        <v>1737</v>
      </c>
      <c r="F151" s="53">
        <v>0.85</v>
      </c>
      <c r="G151" s="55" t="s">
        <v>1938</v>
      </c>
      <c r="H151" s="50">
        <v>0.85</v>
      </c>
      <c r="I151" s="1"/>
      <c r="J151" s="1"/>
      <c r="K151" s="1"/>
      <c r="L151" s="1"/>
      <c r="M151" s="4"/>
    </row>
    <row r="152" spans="1:13" ht="14.4">
      <c r="A152" s="50" t="s">
        <v>1719</v>
      </c>
      <c r="B152" s="51">
        <v>1</v>
      </c>
      <c r="C152" s="50" t="s">
        <v>1720</v>
      </c>
      <c r="D152" s="53" t="s">
        <v>1720</v>
      </c>
      <c r="E152" s="53" t="s">
        <v>1737</v>
      </c>
      <c r="F152" s="53" t="s">
        <v>1737</v>
      </c>
      <c r="G152" s="53" t="s">
        <v>1737</v>
      </c>
      <c r="H152" s="53">
        <v>240</v>
      </c>
      <c r="I152" s="1"/>
      <c r="J152" s="1"/>
      <c r="K152" s="1"/>
      <c r="L152" s="1"/>
      <c r="M152" s="4"/>
    </row>
    <row r="153" spans="1:13" ht="14.4">
      <c r="A153" s="53" t="s">
        <v>1641</v>
      </c>
      <c r="B153" s="53">
        <v>1</v>
      </c>
      <c r="C153" s="53" t="s">
        <v>1497</v>
      </c>
      <c r="D153" s="53" t="s">
        <v>1497</v>
      </c>
      <c r="E153" s="53"/>
      <c r="F153" s="53"/>
      <c r="G153" s="53"/>
      <c r="H153" s="53">
        <v>907</v>
      </c>
      <c r="I153" s="1"/>
      <c r="J153" s="1"/>
      <c r="K153" s="1"/>
      <c r="L153" s="1"/>
      <c r="M153" s="4"/>
    </row>
    <row r="154" spans="1:13" ht="14.4">
      <c r="A154" s="53" t="s">
        <v>1653</v>
      </c>
      <c r="B154" s="53">
        <v>1</v>
      </c>
      <c r="C154" s="53" t="s">
        <v>1654</v>
      </c>
      <c r="D154" s="53" t="s">
        <v>1784</v>
      </c>
      <c r="E154" s="53"/>
      <c r="F154" s="53"/>
      <c r="G154" s="53"/>
      <c r="H154" s="53">
        <v>1650</v>
      </c>
      <c r="I154" s="1"/>
      <c r="J154" s="1"/>
      <c r="K154" s="1"/>
      <c r="L154" s="1"/>
      <c r="M154" s="4"/>
    </row>
    <row r="155" spans="1:13" ht="14.4">
      <c r="A155" s="53" t="s">
        <v>1626</v>
      </c>
      <c r="B155" s="53">
        <v>1</v>
      </c>
      <c r="C155" s="53">
        <v>1.6</v>
      </c>
      <c r="D155" s="53" t="s">
        <v>1785</v>
      </c>
      <c r="E155" s="53" t="s">
        <v>1737</v>
      </c>
      <c r="F155" s="53" t="s">
        <v>1737</v>
      </c>
      <c r="G155" s="53" t="s">
        <v>1737</v>
      </c>
      <c r="H155" s="53">
        <v>1600</v>
      </c>
      <c r="I155" s="1"/>
      <c r="J155" s="1"/>
      <c r="K155" s="1"/>
      <c r="L155" s="1"/>
      <c r="M155" s="4"/>
    </row>
    <row r="156" spans="1:13" ht="14.4">
      <c r="I156" s="1"/>
      <c r="J156" s="1"/>
      <c r="K156" s="1"/>
      <c r="L156" s="1"/>
      <c r="M156" s="4"/>
    </row>
    <row r="157" spans="1:13" ht="14.4">
      <c r="I157" s="1"/>
      <c r="J157" s="1"/>
      <c r="K157" s="1"/>
      <c r="L157" s="1"/>
      <c r="M157" s="4"/>
    </row>
    <row r="158" spans="1:13" ht="14.4">
      <c r="I158" s="1"/>
      <c r="J158" s="1"/>
      <c r="K158" s="1"/>
      <c r="L158" s="1"/>
      <c r="M158" s="4"/>
    </row>
    <row r="159" spans="1:13" ht="14.4">
      <c r="I159" s="1"/>
      <c r="J159" s="1"/>
      <c r="K159" s="1"/>
      <c r="L159" s="1"/>
      <c r="M159" s="4"/>
    </row>
    <row r="160" spans="1:13" ht="14.4">
      <c r="I160" s="1"/>
      <c r="J160" s="1"/>
      <c r="K160" s="1"/>
      <c r="L160" s="1"/>
      <c r="M160" s="4"/>
    </row>
    <row r="161" spans="1:13" ht="14.4">
      <c r="I161" s="1"/>
      <c r="J161" s="1"/>
      <c r="K161" s="1"/>
      <c r="L161" s="1"/>
      <c r="M161" s="4"/>
    </row>
    <row r="162" spans="1:13" ht="14.4">
      <c r="H162" s="1"/>
      <c r="I162" s="1"/>
      <c r="J162" s="1"/>
      <c r="K162" s="1"/>
      <c r="L162" s="1"/>
      <c r="M162" s="4"/>
    </row>
    <row r="166" spans="1:13" ht="14.4">
      <c r="A166" s="98"/>
      <c r="B166" s="1"/>
      <c r="C166" s="4"/>
    </row>
    <row r="167" spans="1:13" ht="14.4">
      <c r="A167" s="98"/>
      <c r="B167" s="1"/>
      <c r="C167" s="4"/>
    </row>
    <row r="168" spans="1:13" ht="14.4">
      <c r="A168" s="98"/>
      <c r="B168" s="1"/>
      <c r="C168" s="4"/>
    </row>
    <row r="169" spans="1:13" ht="14.4">
      <c r="A169" s="98"/>
      <c r="B169" s="1"/>
      <c r="C169" s="4"/>
    </row>
    <row r="170" spans="1:13" ht="14.4">
      <c r="A170" s="98"/>
      <c r="B170" s="1"/>
      <c r="C170" s="4"/>
    </row>
    <row r="171" spans="1:13" ht="14.4">
      <c r="A171" s="98"/>
      <c r="B171" s="1"/>
      <c r="C171" s="4"/>
    </row>
    <row r="172" spans="1:13" ht="14.4">
      <c r="A172" s="98"/>
      <c r="B172" s="1"/>
      <c r="C172" s="4"/>
    </row>
    <row r="173" spans="1:13" ht="14.4">
      <c r="A173" s="98"/>
      <c r="B173" s="1"/>
      <c r="C173" s="4"/>
    </row>
    <row r="174" spans="1:13" ht="14.4">
      <c r="A174" s="98"/>
      <c r="B174" s="1"/>
      <c r="C174" s="4"/>
    </row>
    <row r="175" spans="1:13" ht="14.4">
      <c r="A175" s="98"/>
      <c r="B175" s="1"/>
      <c r="C175" s="4"/>
    </row>
    <row r="176" spans="1:13" ht="14.4">
      <c r="A176" s="98"/>
      <c r="B176" s="1"/>
      <c r="C176" s="4"/>
    </row>
    <row r="177" spans="1:5" ht="14.4">
      <c r="A177" s="98"/>
      <c r="B177" s="1"/>
      <c r="C177" s="4"/>
    </row>
    <row r="178" spans="1:5" ht="14.4">
      <c r="A178" s="98"/>
      <c r="B178" s="1"/>
      <c r="C178" s="4"/>
    </row>
    <row r="179" spans="1:5" ht="14.4">
      <c r="A179" s="98"/>
      <c r="B179" s="1"/>
      <c r="C179" s="4"/>
    </row>
    <row r="180" spans="1:5" ht="14.4">
      <c r="A180" s="98"/>
      <c r="B180" s="1"/>
      <c r="C180" s="4"/>
    </row>
    <row r="181" spans="1:5" ht="14.4">
      <c r="A181" s="98"/>
      <c r="B181" s="1"/>
      <c r="C181" s="4"/>
    </row>
    <row r="182" spans="1:5" ht="14.4">
      <c r="A182" s="1"/>
    </row>
    <row r="183" spans="1:5" ht="14.4">
      <c r="A183" s="1"/>
    </row>
    <row r="184" spans="1:5" ht="14.4">
      <c r="A184" s="1"/>
    </row>
    <row r="185" spans="1:5" ht="14.4">
      <c r="A185" s="1"/>
      <c r="B185" s="2"/>
      <c r="C185" s="2"/>
      <c r="D185" s="2"/>
      <c r="E185" s="103"/>
    </row>
    <row r="186" spans="1:5" ht="14.4">
      <c r="A186" s="1"/>
      <c r="B186" s="1"/>
      <c r="C186" s="4"/>
      <c r="D186" s="1"/>
    </row>
    <row r="187" spans="1:5" ht="14.4">
      <c r="A187" s="1"/>
      <c r="B187" s="1"/>
      <c r="C187" s="4"/>
      <c r="D187" s="1"/>
    </row>
    <row r="188" spans="1:5" ht="14.4">
      <c r="A188" s="1"/>
      <c r="B188" s="1"/>
      <c r="C188" s="4"/>
      <c r="D188" s="1"/>
    </row>
    <row r="189" spans="1:5" ht="14.4">
      <c r="A189" s="1"/>
      <c r="B189" s="1"/>
      <c r="C189" s="4"/>
      <c r="D189" s="1"/>
    </row>
    <row r="190" spans="1:5" ht="14.4">
      <c r="A190" s="1"/>
      <c r="B190" s="1"/>
      <c r="C190" s="4"/>
      <c r="D190" s="1"/>
    </row>
    <row r="191" spans="1:5" ht="14.4">
      <c r="A191" s="1"/>
      <c r="B191" s="1"/>
      <c r="C191" s="4"/>
      <c r="D191" s="1"/>
    </row>
    <row r="192" spans="1:5" ht="14.4">
      <c r="A192" s="1"/>
      <c r="B192" s="1"/>
      <c r="C192" s="4"/>
      <c r="D192" s="1"/>
    </row>
    <row r="193" spans="1:4" ht="14.4">
      <c r="A193" s="1"/>
      <c r="B193" s="1"/>
      <c r="C193" s="4"/>
      <c r="D193" s="1"/>
    </row>
    <row r="194" spans="1:4" ht="14.4">
      <c r="A194" s="1"/>
      <c r="B194" s="1"/>
      <c r="C194" s="4"/>
      <c r="D194" s="1"/>
    </row>
    <row r="195" spans="1:4" ht="14.4">
      <c r="A195" s="2"/>
      <c r="B195" s="2"/>
      <c r="C195" s="2"/>
      <c r="D195" s="2"/>
    </row>
    <row r="196" spans="1:4" ht="14.4">
      <c r="A196" s="1"/>
      <c r="B196" s="4"/>
      <c r="C196" s="104"/>
      <c r="D196" s="4"/>
    </row>
    <row r="197" spans="1:4" ht="14.4">
      <c r="A197" s="1"/>
      <c r="B197" s="4"/>
      <c r="C197" s="104"/>
      <c r="D197" s="4"/>
    </row>
    <row r="198" spans="1:4" ht="14.4">
      <c r="A198" s="1"/>
      <c r="B198" s="4"/>
      <c r="C198" s="104"/>
      <c r="D198" s="4"/>
    </row>
    <row r="199" spans="1:4" ht="14.4">
      <c r="A199" s="1"/>
      <c r="B199" s="4"/>
      <c r="C199" s="104"/>
      <c r="D199" s="4"/>
    </row>
    <row r="200" spans="1:4" ht="14.4">
      <c r="A200" s="1"/>
      <c r="B200" s="4"/>
      <c r="C200" s="104"/>
      <c r="D200" s="4"/>
    </row>
    <row r="201" spans="1:4" ht="14.4">
      <c r="A201" s="1"/>
      <c r="B201" s="4"/>
      <c r="C201" s="104"/>
      <c r="D201" s="4"/>
    </row>
    <row r="202" spans="1:4" ht="14.4">
      <c r="A202" s="1"/>
      <c r="B202" s="4"/>
      <c r="C202" s="104"/>
      <c r="D202" s="4"/>
    </row>
    <row r="203" spans="1:4" ht="14.4">
      <c r="A203" s="1"/>
      <c r="B203" s="4"/>
      <c r="C203" s="104"/>
      <c r="D203" s="4"/>
    </row>
    <row r="204" spans="1:4" ht="14.4">
      <c r="A204" s="1"/>
      <c r="B204" s="4"/>
      <c r="C204" s="104"/>
      <c r="D204" s="4"/>
    </row>
    <row r="205" spans="1:4" ht="14.4">
      <c r="A205" s="1"/>
      <c r="B205" s="4"/>
      <c r="C205" s="104"/>
      <c r="D205" s="4"/>
    </row>
    <row r="206" spans="1:4" ht="14.4">
      <c r="A206" s="1"/>
      <c r="B206" s="4"/>
      <c r="C206" s="104"/>
      <c r="D206" s="4"/>
    </row>
    <row r="207" spans="1:4" ht="14.4">
      <c r="A207" s="1"/>
      <c r="B207" s="4"/>
      <c r="C207" s="104"/>
      <c r="D207" s="4"/>
    </row>
    <row r="208" spans="1:4" ht="14.4">
      <c r="A208" s="1"/>
      <c r="B208" s="4"/>
      <c r="C208" s="104"/>
      <c r="D208" s="4"/>
    </row>
    <row r="209" spans="1:4" ht="14.4">
      <c r="A209" s="1"/>
      <c r="B209" s="4"/>
      <c r="C209" s="104"/>
      <c r="D209" s="4"/>
    </row>
    <row r="210" spans="1:4" ht="14.4">
      <c r="A210" s="1"/>
      <c r="B210" s="4"/>
      <c r="C210" s="104"/>
      <c r="D210" s="4"/>
    </row>
    <row r="211" spans="1:4" ht="14.4">
      <c r="A211" s="1"/>
      <c r="B211" s="4"/>
      <c r="C211" s="104"/>
      <c r="D211" s="4"/>
    </row>
    <row r="212" spans="1:4" ht="14.4">
      <c r="A212" s="1"/>
      <c r="B212" s="4"/>
      <c r="C212" s="104"/>
      <c r="D212" s="4"/>
    </row>
    <row r="213" spans="1:4" ht="14.4">
      <c r="A213" s="1"/>
      <c r="B213" s="4"/>
      <c r="C213" s="104"/>
      <c r="D213" s="4"/>
    </row>
    <row r="214" spans="1:4" ht="14.4">
      <c r="A214" s="1"/>
      <c r="B214" s="4"/>
      <c r="C214" s="104"/>
      <c r="D214" s="4"/>
    </row>
    <row r="215" spans="1:4" ht="14.4">
      <c r="A215" s="1"/>
      <c r="B215" s="4"/>
      <c r="C215" s="104"/>
      <c r="D215" s="4"/>
    </row>
    <row r="216" spans="1:4" ht="14.4">
      <c r="A216" s="1"/>
      <c r="B216" s="4"/>
      <c r="C216" s="104"/>
      <c r="D216" s="4"/>
    </row>
    <row r="217" spans="1:4" ht="14.4">
      <c r="A217" s="1"/>
      <c r="B217" s="4"/>
      <c r="C217" s="104"/>
      <c r="D217" s="4"/>
    </row>
    <row r="218" spans="1:4" ht="14.4">
      <c r="A218" s="1"/>
      <c r="B218" s="4"/>
      <c r="C218" s="104"/>
      <c r="D218" s="4"/>
    </row>
    <row r="219" spans="1:4" ht="14.4">
      <c r="A219" s="1"/>
      <c r="B219" s="4"/>
      <c r="C219" s="104"/>
      <c r="D219" s="4"/>
    </row>
    <row r="220" spans="1:4" ht="14.4">
      <c r="A220" s="1"/>
      <c r="B220" s="4"/>
      <c r="C220" s="104"/>
      <c r="D220" s="4"/>
    </row>
    <row r="221" spans="1:4" ht="14.4">
      <c r="A221" s="1"/>
      <c r="B221" s="4"/>
      <c r="C221" s="104"/>
      <c r="D221" s="4"/>
    </row>
    <row r="222" spans="1:4" ht="14.4">
      <c r="A222" s="1"/>
      <c r="B222" s="4"/>
      <c r="C222" s="104"/>
      <c r="D222" s="4"/>
    </row>
    <row r="223" spans="1:4" ht="14.4">
      <c r="A223" s="1"/>
      <c r="B223" s="4"/>
      <c r="C223" s="104"/>
      <c r="D223" s="4"/>
    </row>
    <row r="224" spans="1:4" ht="14.4">
      <c r="A224" s="1"/>
      <c r="B224" s="4"/>
      <c r="C224" s="104"/>
      <c r="D224" s="4"/>
    </row>
    <row r="225" spans="1:4" ht="14.4">
      <c r="A225" s="1"/>
      <c r="B225" s="4"/>
      <c r="C225" s="104"/>
      <c r="D225" s="4"/>
    </row>
    <row r="226" spans="1:4" ht="14.4">
      <c r="A226" s="1"/>
      <c r="B226" s="4"/>
      <c r="C226" s="104"/>
      <c r="D226" s="4"/>
    </row>
    <row r="227" spans="1:4" ht="14.4">
      <c r="A227" s="1"/>
      <c r="B227" s="4"/>
      <c r="C227" s="104"/>
      <c r="D227" s="4"/>
    </row>
    <row r="228" spans="1:4" ht="14.4">
      <c r="A228" s="1"/>
      <c r="B228" s="4"/>
      <c r="C228" s="104"/>
      <c r="D228" s="4"/>
    </row>
    <row r="229" spans="1:4" ht="14.4">
      <c r="A229" s="1"/>
      <c r="B229" s="4"/>
      <c r="C229" s="104"/>
      <c r="D229" s="4"/>
    </row>
    <row r="230" spans="1:4" ht="14.4">
      <c r="A230" s="1"/>
      <c r="B230" s="4"/>
      <c r="C230" s="104"/>
      <c r="D230" s="4"/>
    </row>
    <row r="231" spans="1:4" ht="14.4">
      <c r="A231" s="1"/>
      <c r="B231" s="4"/>
      <c r="C231" s="104"/>
      <c r="D231" s="4"/>
    </row>
    <row r="232" spans="1:4" ht="14.4">
      <c r="A232" s="1"/>
      <c r="B232" s="4"/>
      <c r="C232" s="104"/>
      <c r="D232" s="4"/>
    </row>
    <row r="233" spans="1:4" ht="14.4">
      <c r="A233" s="1"/>
      <c r="B233" s="4"/>
      <c r="C233" s="104"/>
      <c r="D233" s="4"/>
    </row>
    <row r="234" spans="1:4" ht="14.4">
      <c r="A234" s="1"/>
      <c r="B234" s="4"/>
      <c r="C234" s="104"/>
      <c r="D234" s="4"/>
    </row>
    <row r="235" spans="1:4" ht="14.4">
      <c r="A235" s="1"/>
      <c r="B235" s="4"/>
      <c r="C235" s="104"/>
      <c r="D235" s="4"/>
    </row>
    <row r="236" spans="1:4" ht="14.4">
      <c r="A236" s="1"/>
      <c r="B236" s="4"/>
      <c r="C236" s="104"/>
      <c r="D236" s="4"/>
    </row>
    <row r="237" spans="1:4" ht="14.4">
      <c r="A237" s="1"/>
      <c r="B237" s="4"/>
      <c r="C237" s="104"/>
      <c r="D237" s="4"/>
    </row>
    <row r="238" spans="1:4" ht="14.4">
      <c r="A238" s="1"/>
      <c r="B238" s="4"/>
      <c r="C238" s="104"/>
      <c r="D238" s="4"/>
    </row>
    <row r="239" spans="1:4" ht="14.4">
      <c r="A239" s="1"/>
      <c r="B239" s="4"/>
      <c r="C239" s="104"/>
      <c r="D239" s="4"/>
    </row>
    <row r="240" spans="1:4" ht="14.4">
      <c r="A240" s="1"/>
      <c r="B240" s="4"/>
      <c r="C240" s="104"/>
      <c r="D240" s="4"/>
    </row>
    <row r="241" spans="1:4" ht="14.4">
      <c r="A241" s="1"/>
      <c r="B241" s="4"/>
      <c r="C241" s="104"/>
      <c r="D241" s="4"/>
    </row>
    <row r="242" spans="1:4" ht="14.4">
      <c r="A242" s="1"/>
      <c r="B242" s="4"/>
      <c r="C242" s="104"/>
      <c r="D242" s="4"/>
    </row>
    <row r="243" spans="1:4" ht="14.4">
      <c r="A243" s="1"/>
      <c r="B243" s="4"/>
      <c r="C243" s="104"/>
      <c r="D243" s="4"/>
    </row>
    <row r="244" spans="1:4" ht="14.4">
      <c r="A244" s="1"/>
      <c r="B244" s="4"/>
      <c r="C244" s="104"/>
      <c r="D244" s="4"/>
    </row>
    <row r="245" spans="1:4" ht="14.4">
      <c r="A245" s="1"/>
      <c r="B245" s="4"/>
      <c r="C245" s="104"/>
      <c r="D245" s="4"/>
    </row>
    <row r="246" spans="1:4" ht="14.4">
      <c r="A246" s="99"/>
      <c r="B246" s="100"/>
      <c r="C246" s="105"/>
      <c r="D246" s="4"/>
    </row>
    <row r="247" spans="1:4" ht="14.4">
      <c r="A247" s="1"/>
      <c r="B247" s="4"/>
      <c r="C247" s="104"/>
      <c r="D247" s="4"/>
    </row>
    <row r="248" spans="1:4" ht="14.4">
      <c r="A248" s="1"/>
      <c r="B248" s="4"/>
      <c r="C248" s="104"/>
      <c r="D248" s="4"/>
    </row>
    <row r="249" spans="1:4" ht="14.4">
      <c r="A249" s="1"/>
      <c r="B249" s="4"/>
      <c r="C249" s="104"/>
      <c r="D249" s="4"/>
    </row>
    <row r="250" spans="1:4" ht="14.4">
      <c r="A250" s="1"/>
      <c r="B250" s="4"/>
      <c r="C250" s="104"/>
      <c r="D250" s="4"/>
    </row>
    <row r="251" spans="1:4" ht="14.4">
      <c r="A251" s="1"/>
      <c r="B251" s="4"/>
      <c r="C251" s="104"/>
      <c r="D251" s="4"/>
    </row>
    <row r="252" spans="1:4" ht="14.4">
      <c r="A252" s="1"/>
      <c r="B252" s="4"/>
      <c r="C252" s="104"/>
      <c r="D252" s="4"/>
    </row>
    <row r="253" spans="1:4" ht="14.4">
      <c r="A253" s="1"/>
      <c r="B253" s="4"/>
      <c r="C253" s="104"/>
      <c r="D253" s="4"/>
    </row>
    <row r="254" spans="1:4" ht="14.4">
      <c r="A254" s="1"/>
      <c r="B254" s="4"/>
      <c r="C254" s="106"/>
      <c r="D254" s="4"/>
    </row>
    <row r="255" spans="1:4" ht="14.4">
      <c r="A255" s="1"/>
      <c r="B255" s="4"/>
      <c r="C255" s="104"/>
      <c r="D255" s="4"/>
    </row>
    <row r="256" spans="1:4" ht="14.4">
      <c r="A256" s="1"/>
      <c r="B256" s="4"/>
      <c r="C256" s="104"/>
      <c r="D256" s="4"/>
    </row>
    <row r="257" spans="1:4" ht="14.4">
      <c r="A257" s="1"/>
      <c r="B257" s="4"/>
      <c r="C257" s="104"/>
      <c r="D257" s="4"/>
    </row>
    <row r="258" spans="1:4" ht="14.4">
      <c r="A258" s="1"/>
      <c r="B258" s="4"/>
      <c r="C258" s="104"/>
      <c r="D258" s="4"/>
    </row>
    <row r="259" spans="1:4" ht="14.4">
      <c r="A259" s="1"/>
      <c r="B259" s="4"/>
      <c r="C259" s="104"/>
      <c r="D259" s="4"/>
    </row>
    <row r="260" spans="1:4" ht="14.4">
      <c r="A260" s="1"/>
      <c r="B260" s="4"/>
      <c r="C260" s="104"/>
      <c r="D260" s="4"/>
    </row>
    <row r="261" spans="1:4" ht="14.4">
      <c r="A261" s="1"/>
      <c r="B261" s="4"/>
      <c r="C261" s="104"/>
      <c r="D261" s="4"/>
    </row>
    <row r="262" spans="1:4" ht="14.4">
      <c r="A262" s="1"/>
      <c r="B262" s="4"/>
      <c r="C262" s="104"/>
      <c r="D262" s="4"/>
    </row>
    <row r="263" spans="1:4" ht="14.4">
      <c r="A263" s="1"/>
      <c r="B263" s="4"/>
      <c r="C263" s="104"/>
      <c r="D263" s="4"/>
    </row>
    <row r="264" spans="1:4" ht="14.4">
      <c r="A264" s="1"/>
      <c r="B264" s="4"/>
      <c r="C264" s="106"/>
      <c r="D264" s="4"/>
    </row>
    <row r="265" spans="1:4" ht="14.4">
      <c r="A265" s="1"/>
      <c r="B265" s="4"/>
      <c r="C265" s="104"/>
      <c r="D265" s="4"/>
    </row>
    <row r="266" spans="1:4" ht="14.4">
      <c r="A266" s="1"/>
      <c r="B266" s="4"/>
      <c r="C266" s="104"/>
      <c r="D266" s="4"/>
    </row>
    <row r="267" spans="1:4" ht="14.4">
      <c r="A267" s="1"/>
      <c r="B267" s="4"/>
      <c r="C267" s="104"/>
      <c r="D267" s="4"/>
    </row>
    <row r="268" spans="1:4" ht="14.4">
      <c r="A268" s="1"/>
      <c r="B268" s="4"/>
      <c r="C268" s="104"/>
      <c r="D268" s="4"/>
    </row>
    <row r="269" spans="1:4" ht="14.4">
      <c r="A269" s="1"/>
      <c r="B269" s="4"/>
      <c r="C269" s="104"/>
      <c r="D269" s="4"/>
    </row>
    <row r="270" spans="1:4" ht="14.4">
      <c r="A270" s="1"/>
      <c r="B270" s="4"/>
      <c r="C270" s="104"/>
      <c r="D270" s="4"/>
    </row>
    <row r="271" spans="1:4" ht="14.4">
      <c r="A271" s="1"/>
      <c r="B271" s="4"/>
      <c r="C271" s="104"/>
      <c r="D271" s="4"/>
    </row>
    <row r="272" spans="1:4" ht="14.4">
      <c r="A272" s="1"/>
      <c r="B272" s="4"/>
      <c r="C272" s="104"/>
      <c r="D272" s="4"/>
    </row>
    <row r="273" spans="1:4" ht="14.4">
      <c r="A273" s="1"/>
      <c r="B273" s="4"/>
      <c r="C273" s="104"/>
      <c r="D273" s="4"/>
    </row>
    <row r="274" spans="1:4" ht="14.4">
      <c r="A274" s="1"/>
      <c r="B274" s="4"/>
      <c r="C274" s="104"/>
      <c r="D274" s="4"/>
    </row>
    <row r="275" spans="1:4" ht="14.4">
      <c r="A275" s="1"/>
      <c r="B275" s="4"/>
      <c r="C275" s="104"/>
      <c r="D275" s="4"/>
    </row>
    <row r="276" spans="1:4" ht="14.4">
      <c r="A276" s="1"/>
      <c r="B276" s="4"/>
      <c r="C276" s="104"/>
      <c r="D276" s="4"/>
    </row>
    <row r="277" spans="1:4" ht="14.4">
      <c r="A277" s="1"/>
      <c r="B277" s="4"/>
      <c r="C277" s="104"/>
      <c r="D277" s="4"/>
    </row>
    <row r="278" spans="1:4" ht="14.4">
      <c r="A278" s="1"/>
      <c r="B278" s="4"/>
      <c r="C278" s="104"/>
      <c r="D278" s="4"/>
    </row>
    <row r="279" spans="1:4" ht="14.4">
      <c r="A279" s="1"/>
      <c r="B279" s="4"/>
      <c r="C279" s="104"/>
      <c r="D279" s="4"/>
    </row>
    <row r="280" spans="1:4" ht="14.4">
      <c r="A280" s="1"/>
      <c r="B280" s="4"/>
      <c r="C280" s="104"/>
      <c r="D280" s="4"/>
    </row>
    <row r="281" spans="1:4" ht="14.4">
      <c r="A281" s="1"/>
      <c r="B281" s="4"/>
      <c r="C281" s="104"/>
      <c r="D281" s="4"/>
    </row>
    <row r="282" spans="1:4" ht="14.4">
      <c r="A282" s="1"/>
      <c r="B282" s="4"/>
      <c r="C282" s="104"/>
      <c r="D282" s="4"/>
    </row>
    <row r="283" spans="1:4" ht="14.4">
      <c r="A283" s="1"/>
      <c r="B283" s="4"/>
      <c r="C283" s="104"/>
      <c r="D283" s="4"/>
    </row>
    <row r="284" spans="1:4" ht="14.4">
      <c r="A284" s="1"/>
      <c r="B284" s="4"/>
      <c r="C284" s="106"/>
      <c r="D284" s="4"/>
    </row>
    <row r="285" spans="1:4" ht="14.4">
      <c r="A285" s="1"/>
      <c r="B285" s="4"/>
      <c r="C285" s="106"/>
      <c r="D285" s="4"/>
    </row>
    <row r="286" spans="1:4" ht="14.4">
      <c r="A286" s="1"/>
      <c r="B286" s="4"/>
      <c r="C286" s="104"/>
      <c r="D286" s="4"/>
    </row>
    <row r="287" spans="1:4" ht="14.4">
      <c r="A287" s="1"/>
      <c r="B287" s="4"/>
      <c r="C287" s="104"/>
      <c r="D287" s="4"/>
    </row>
    <row r="288" spans="1:4" ht="14.4">
      <c r="A288" s="1"/>
      <c r="B288" s="4"/>
      <c r="C288" s="104"/>
      <c r="D288" s="4"/>
    </row>
    <row r="289" spans="1:4" ht="14.4">
      <c r="A289" s="1"/>
      <c r="B289" s="4"/>
      <c r="C289" s="104"/>
      <c r="D289" s="4"/>
    </row>
    <row r="290" spans="1:4" ht="14.4">
      <c r="A290" s="1"/>
      <c r="B290" s="4"/>
      <c r="C290" s="104"/>
      <c r="D290" s="4"/>
    </row>
    <row r="291" spans="1:4" ht="14.4">
      <c r="A291" s="1"/>
      <c r="B291" s="4"/>
      <c r="C291" s="104"/>
      <c r="D291" s="4"/>
    </row>
    <row r="292" spans="1:4" ht="14.4">
      <c r="A292" s="1"/>
      <c r="B292" s="4"/>
      <c r="C292" s="104"/>
      <c r="D292" s="4"/>
    </row>
    <row r="293" spans="1:4" ht="14.4">
      <c r="A293" s="1"/>
      <c r="B293" s="4"/>
      <c r="C293" s="104"/>
      <c r="D293" s="4"/>
    </row>
    <row r="294" spans="1:4" ht="14.4">
      <c r="A294" s="1"/>
      <c r="B294" s="4"/>
      <c r="C294" s="104"/>
      <c r="D294" s="4"/>
    </row>
    <row r="295" spans="1:4" ht="14.4">
      <c r="A295" s="1"/>
      <c r="B295" s="4"/>
      <c r="C295" s="104"/>
      <c r="D295" s="4"/>
    </row>
    <row r="296" spans="1:4" ht="14.4">
      <c r="A296" s="1"/>
      <c r="B296" s="4"/>
      <c r="C296" s="106"/>
      <c r="D296" s="4"/>
    </row>
    <row r="297" spans="1:4" ht="14.4">
      <c r="A297" s="1"/>
      <c r="B297" s="4"/>
      <c r="C297" s="104"/>
      <c r="D297" s="4"/>
    </row>
    <row r="298" spans="1:4" ht="14.4">
      <c r="A298" s="1"/>
      <c r="B298" s="4"/>
      <c r="C298" s="104"/>
      <c r="D298" s="4"/>
    </row>
    <row r="299" spans="1:4" ht="14.4">
      <c r="A299" s="1"/>
      <c r="B299" s="4"/>
      <c r="C299" s="104"/>
      <c r="D299" s="4"/>
    </row>
    <row r="300" spans="1:4" ht="14.4">
      <c r="A300" s="1"/>
      <c r="B300" s="4"/>
      <c r="C300" s="106"/>
      <c r="D300" s="4"/>
    </row>
    <row r="301" spans="1:4" ht="14.4">
      <c r="A301" s="1"/>
      <c r="B301" s="4"/>
      <c r="C301" s="104"/>
      <c r="D301" s="107"/>
    </row>
    <row r="302" spans="1:4" ht="14.4">
      <c r="A302" s="1"/>
      <c r="B302" s="4"/>
      <c r="C302" s="106"/>
      <c r="D302" s="4"/>
    </row>
    <row r="303" spans="1:4" ht="14.4">
      <c r="A303" s="99"/>
      <c r="B303" s="100"/>
      <c r="C303" s="105"/>
      <c r="D303" s="100"/>
    </row>
    <row r="304" spans="1:4" ht="14.4">
      <c r="A304" s="1"/>
      <c r="B304" s="4"/>
      <c r="C304" s="104"/>
      <c r="D304" s="4"/>
    </row>
    <row r="305" spans="1:4" ht="14.4">
      <c r="A305" s="1"/>
      <c r="B305" s="4"/>
      <c r="C305" s="104"/>
      <c r="D305" s="4"/>
    </row>
    <row r="306" spans="1:4" ht="14.4">
      <c r="A306" s="1"/>
      <c r="B306" s="4"/>
      <c r="C306" s="104"/>
      <c r="D306" s="4"/>
    </row>
    <row r="307" spans="1:4" ht="14.4">
      <c r="A307" s="1"/>
      <c r="B307" s="4"/>
      <c r="C307" s="104"/>
      <c r="D307" s="4"/>
    </row>
    <row r="308" spans="1:4" ht="14.4">
      <c r="A308" s="1"/>
      <c r="B308" s="4"/>
      <c r="C308" s="104"/>
      <c r="D308" s="4"/>
    </row>
    <row r="309" spans="1:4" ht="14.4">
      <c r="A309" s="1"/>
      <c r="B309" s="4"/>
      <c r="C309" s="104"/>
      <c r="D309" s="4"/>
    </row>
    <row r="310" spans="1:4" ht="14.4">
      <c r="A310" s="1"/>
      <c r="B310" s="4"/>
      <c r="C310" s="104"/>
      <c r="D310" s="4"/>
    </row>
    <row r="311" spans="1:4" ht="14.4">
      <c r="A311" s="1"/>
      <c r="B311" s="4"/>
      <c r="C311" s="104"/>
      <c r="D311" s="4"/>
    </row>
    <row r="312" spans="1:4" ht="14.4">
      <c r="A312" s="1"/>
      <c r="B312" s="4"/>
      <c r="C312" s="104"/>
      <c r="D312" s="4"/>
    </row>
    <row r="313" spans="1:4" ht="14.4">
      <c r="A313" s="1"/>
      <c r="B313" s="4"/>
      <c r="C313" s="104"/>
      <c r="D313" s="4"/>
    </row>
    <row r="314" spans="1:4" ht="14.4">
      <c r="A314" s="1"/>
      <c r="B314" s="4"/>
      <c r="C314" s="104"/>
      <c r="D314" s="4"/>
    </row>
    <row r="315" spans="1:4" ht="14.4">
      <c r="A315" s="1"/>
      <c r="B315" s="4"/>
      <c r="C315" s="104"/>
      <c r="D315" s="4"/>
    </row>
    <row r="316" spans="1:4" ht="14.4">
      <c r="A316" s="1"/>
      <c r="B316" s="4"/>
      <c r="C316" s="104"/>
      <c r="D316" s="4"/>
    </row>
    <row r="317" spans="1:4" ht="14.4">
      <c r="A317" s="1"/>
      <c r="B317" s="4"/>
      <c r="C317" s="104"/>
      <c r="D317" s="4"/>
    </row>
    <row r="318" spans="1:4" ht="14.4">
      <c r="A318" s="1"/>
      <c r="B318" s="4"/>
      <c r="C318" s="104"/>
      <c r="D318" s="4"/>
    </row>
    <row r="319" spans="1:4" ht="14.4">
      <c r="A319" s="1"/>
      <c r="B319" s="4"/>
      <c r="C319" s="104"/>
      <c r="D319" s="4"/>
    </row>
    <row r="320" spans="1:4" ht="14.4">
      <c r="A320" s="1"/>
      <c r="B320" s="4"/>
      <c r="C320" s="104"/>
      <c r="D320" s="4"/>
    </row>
    <row r="321" spans="1:4" ht="14.4">
      <c r="A321" s="1"/>
      <c r="B321" s="4"/>
      <c r="C321" s="104"/>
      <c r="D321" s="4"/>
    </row>
    <row r="322" spans="1:4" ht="14.4">
      <c r="A322" s="1"/>
      <c r="B322" s="4"/>
      <c r="C322" s="104"/>
      <c r="D322" s="4"/>
    </row>
    <row r="323" spans="1:4" ht="14.4">
      <c r="A323" s="1"/>
      <c r="B323" s="4"/>
      <c r="C323" s="104"/>
      <c r="D323" s="4"/>
    </row>
    <row r="324" spans="1:4" ht="14.4">
      <c r="A324" s="1"/>
      <c r="B324" s="4"/>
      <c r="C324" s="104"/>
      <c r="D324" s="4"/>
    </row>
    <row r="325" spans="1:4" ht="14.4">
      <c r="A325" s="1"/>
      <c r="B325" s="4"/>
      <c r="C325" s="104"/>
      <c r="D325" s="4"/>
    </row>
    <row r="326" spans="1:4" ht="14.4">
      <c r="A326" s="1"/>
      <c r="B326" s="4"/>
      <c r="C326" s="104"/>
      <c r="D326" s="4"/>
    </row>
    <row r="327" spans="1:4" ht="14.4">
      <c r="A327" s="1"/>
      <c r="B327" s="4"/>
      <c r="C327" s="104"/>
      <c r="D327" s="4"/>
    </row>
    <row r="328" spans="1:4" ht="14.4">
      <c r="A328" s="1"/>
      <c r="B328" s="4"/>
      <c r="C328" s="104"/>
      <c r="D328" s="4"/>
    </row>
    <row r="329" spans="1:4" ht="14.4">
      <c r="A329" s="1"/>
      <c r="B329" s="4"/>
      <c r="C329" s="104"/>
      <c r="D329" s="4"/>
    </row>
    <row r="330" spans="1:4" ht="14.4">
      <c r="A330" s="1"/>
      <c r="B330" s="4"/>
      <c r="C330" s="104"/>
      <c r="D330" s="4"/>
    </row>
    <row r="331" spans="1:4" ht="14.4">
      <c r="A331" s="1"/>
      <c r="B331" s="4"/>
      <c r="C331" s="104"/>
      <c r="D331" s="4"/>
    </row>
    <row r="332" spans="1:4" ht="14.4">
      <c r="A332" s="1"/>
      <c r="B332" s="4"/>
      <c r="C332" s="104"/>
      <c r="D332" s="1"/>
    </row>
    <row r="333" spans="1:4" ht="14.4">
      <c r="A333" s="1"/>
      <c r="B333" s="4"/>
      <c r="C333" s="104"/>
      <c r="D333" s="4"/>
    </row>
    <row r="334" spans="1:4" ht="14.4">
      <c r="A334" s="1"/>
      <c r="B334" s="4"/>
      <c r="C334" s="104"/>
      <c r="D334" s="4"/>
    </row>
    <row r="335" spans="1:4" ht="14.4">
      <c r="A335" s="1"/>
      <c r="B335" s="4"/>
      <c r="C335" s="104"/>
      <c r="D335" s="4"/>
    </row>
    <row r="336" spans="1:4" ht="14.4">
      <c r="A336" s="1"/>
      <c r="B336" s="4"/>
      <c r="C336" s="104"/>
      <c r="D336" s="4"/>
    </row>
    <row r="337" spans="1:4" ht="14.4">
      <c r="A337" s="1"/>
      <c r="B337" s="4"/>
      <c r="C337" s="104"/>
      <c r="D337" s="4"/>
    </row>
    <row r="338" spans="1:4" ht="14.4">
      <c r="A338" s="1"/>
      <c r="B338" s="4"/>
      <c r="C338" s="104"/>
      <c r="D338" s="4"/>
    </row>
    <row r="339" spans="1:4" ht="14.4">
      <c r="A339" s="1"/>
      <c r="B339" s="4"/>
      <c r="C339" s="104"/>
      <c r="D339" s="4"/>
    </row>
    <row r="340" spans="1:4" ht="14.4">
      <c r="A340" s="1"/>
      <c r="B340" s="4"/>
      <c r="C340" s="104"/>
      <c r="D340" s="4"/>
    </row>
    <row r="341" spans="1:4" ht="14.4">
      <c r="A341" s="1"/>
      <c r="B341" s="4"/>
      <c r="C341" s="104"/>
      <c r="D341" s="4"/>
    </row>
    <row r="342" spans="1:4" ht="14.4">
      <c r="A342" s="1"/>
      <c r="B342" s="4"/>
      <c r="C342" s="104"/>
      <c r="D342" s="4"/>
    </row>
    <row r="343" spans="1:4" ht="14.4">
      <c r="A343" s="1"/>
      <c r="B343" s="4"/>
      <c r="C343" s="104"/>
      <c r="D343" s="4"/>
    </row>
    <row r="344" spans="1:4" ht="14.4">
      <c r="A344" s="1"/>
      <c r="B344" s="4"/>
      <c r="C344" s="104"/>
      <c r="D344" s="4"/>
    </row>
    <row r="345" spans="1:4" ht="14.4">
      <c r="A345" s="1"/>
      <c r="B345" s="4"/>
      <c r="C345" s="104"/>
      <c r="D345" s="4"/>
    </row>
    <row r="346" spans="1:4" ht="14.4">
      <c r="A346" s="1"/>
      <c r="B346" s="4"/>
      <c r="C346" s="104"/>
      <c r="D346" s="4"/>
    </row>
    <row r="347" spans="1:4" ht="14.4">
      <c r="A347" s="1"/>
      <c r="B347" s="4"/>
      <c r="C347" s="104"/>
      <c r="D347" s="4"/>
    </row>
    <row r="348" spans="1:4" ht="14.4">
      <c r="A348" s="1"/>
      <c r="B348" s="4"/>
      <c r="C348" s="104"/>
      <c r="D348" s="4"/>
    </row>
    <row r="349" spans="1:4" ht="14.4">
      <c r="A349" s="1"/>
      <c r="B349" s="4"/>
      <c r="C349" s="104"/>
      <c r="D349" s="4"/>
    </row>
    <row r="350" spans="1:4" ht="14.4">
      <c r="A350" s="1"/>
      <c r="B350" s="4"/>
      <c r="C350" s="104"/>
      <c r="D350" s="4"/>
    </row>
    <row r="351" spans="1:4" ht="14.4">
      <c r="A351" s="1"/>
      <c r="B351" s="4"/>
      <c r="C351" s="104"/>
      <c r="D351" s="4"/>
    </row>
    <row r="352" spans="1:4" ht="14.4">
      <c r="A352" s="1"/>
      <c r="B352" s="4"/>
      <c r="C352" s="104"/>
      <c r="D352" s="4"/>
    </row>
    <row r="353" spans="1:4" ht="14.4">
      <c r="A353" s="1"/>
      <c r="B353" s="4"/>
      <c r="C353" s="104"/>
      <c r="D353" s="4"/>
    </row>
    <row r="354" spans="1:4" ht="14.4">
      <c r="A354" s="1"/>
      <c r="B354" s="4"/>
      <c r="C354" s="104"/>
      <c r="D354" s="4"/>
    </row>
    <row r="355" spans="1:4" ht="14.4">
      <c r="A355" s="1"/>
      <c r="B355" s="4"/>
      <c r="C355" s="104"/>
      <c r="D355" s="4"/>
    </row>
    <row r="356" spans="1:4" ht="14.4">
      <c r="A356" s="1"/>
      <c r="B356" s="4"/>
      <c r="C356" s="104"/>
      <c r="D356" s="4"/>
    </row>
    <row r="357" spans="1:4" ht="14.4">
      <c r="A357" s="1"/>
      <c r="B357" s="4"/>
      <c r="C357" s="104"/>
      <c r="D357" s="4"/>
    </row>
    <row r="358" spans="1:4" ht="14.4">
      <c r="A358" s="1"/>
      <c r="B358" s="4"/>
      <c r="C358" s="104"/>
      <c r="D358" s="4"/>
    </row>
    <row r="359" spans="1:4" ht="14.4">
      <c r="A359" s="1"/>
      <c r="B359" s="4"/>
      <c r="C359" s="104"/>
      <c r="D359" s="4"/>
    </row>
    <row r="360" spans="1:4" ht="14.4">
      <c r="A360" s="1"/>
      <c r="B360" s="4"/>
      <c r="C360" s="104"/>
      <c r="D360" s="4"/>
    </row>
    <row r="361" spans="1:4" ht="14.4">
      <c r="A361" s="1"/>
      <c r="B361" s="4"/>
      <c r="C361" s="104"/>
      <c r="D361" s="4"/>
    </row>
    <row r="362" spans="1:4" ht="14.4">
      <c r="A362" s="1"/>
      <c r="B362" s="4"/>
      <c r="C362" s="104"/>
      <c r="D362" s="4"/>
    </row>
    <row r="363" spans="1:4" ht="14.4">
      <c r="A363" s="1"/>
      <c r="B363" s="4"/>
      <c r="C363" s="104"/>
      <c r="D363" s="4"/>
    </row>
    <row r="364" spans="1:4" ht="14.4">
      <c r="A364" s="1"/>
      <c r="B364" s="4"/>
      <c r="C364" s="104"/>
      <c r="D364" s="4"/>
    </row>
    <row r="365" spans="1:4" ht="14.4">
      <c r="A365" s="1"/>
      <c r="B365" s="4"/>
      <c r="C365" s="1"/>
      <c r="D365" s="4"/>
    </row>
    <row r="366" spans="1:4" ht="14.4">
      <c r="A366" s="1"/>
      <c r="B366" s="4"/>
      <c r="C366" s="1"/>
      <c r="D366" s="4"/>
    </row>
    <row r="367" spans="1:4" ht="14.4">
      <c r="A367" s="1"/>
      <c r="B367" s="4"/>
      <c r="C367" s="1"/>
      <c r="D367" s="4"/>
    </row>
    <row r="368" spans="1:4" ht="14.4">
      <c r="A368" s="1"/>
      <c r="B368" s="4"/>
      <c r="C368" s="1"/>
      <c r="D368" s="4"/>
    </row>
    <row r="369" spans="1:4" ht="14.4">
      <c r="A369" s="1"/>
      <c r="B369" s="4"/>
      <c r="C369" s="1"/>
      <c r="D369" s="4"/>
    </row>
    <row r="370" spans="1:4" ht="14.4">
      <c r="A370" s="1"/>
      <c r="B370" s="4"/>
      <c r="C370" s="1"/>
      <c r="D370" s="4"/>
    </row>
    <row r="371" spans="1:4" ht="14.4">
      <c r="A371" s="1"/>
      <c r="B371" s="4"/>
      <c r="C371" s="1"/>
      <c r="D371" s="4"/>
    </row>
    <row r="372" spans="1:4" ht="14.4">
      <c r="A372" s="1"/>
      <c r="B372" s="4"/>
      <c r="C372" s="1"/>
    </row>
    <row r="373" spans="1:4" ht="14.4">
      <c r="A373" s="1"/>
      <c r="B373" s="4"/>
      <c r="C373" s="1"/>
    </row>
    <row r="374" spans="1:4" ht="14.4">
      <c r="A374" s="1"/>
      <c r="B374" s="4"/>
      <c r="C374" s="1"/>
    </row>
  </sheetData>
  <hyperlinks>
    <hyperlink ref="G3" r:id="rId1" xr:uid="{00000000-0004-0000-0900-000000000000}"/>
    <hyperlink ref="G4" r:id="rId2" location="google_vignette" xr:uid="{00000000-0004-0000-0900-000001000000}"/>
    <hyperlink ref="G5" r:id="rId3" xr:uid="{00000000-0004-0000-0900-000002000000}"/>
    <hyperlink ref="G6" r:id="rId4" xr:uid="{00000000-0004-0000-0900-000003000000}"/>
    <hyperlink ref="G7" r:id="rId5" xr:uid="{00000000-0004-0000-0900-000004000000}"/>
    <hyperlink ref="G8" r:id="rId6" location="section=Solubility" xr:uid="{00000000-0004-0000-0900-000005000000}"/>
    <hyperlink ref="G9" r:id="rId7" location="section=Solubility" xr:uid="{00000000-0004-0000-0900-000006000000}"/>
    <hyperlink ref="G10" r:id="rId8" xr:uid="{00000000-0004-0000-0900-000007000000}"/>
    <hyperlink ref="G12" r:id="rId9" xr:uid="{00000000-0004-0000-0900-000008000000}"/>
    <hyperlink ref="G13" r:id="rId10" xr:uid="{00000000-0004-0000-0900-000009000000}"/>
    <hyperlink ref="G14" r:id="rId11" xr:uid="{00000000-0004-0000-0900-00000A000000}"/>
    <hyperlink ref="G15" r:id="rId12" xr:uid="{00000000-0004-0000-0900-00000B000000}"/>
    <hyperlink ref="G17" r:id="rId13" xr:uid="{00000000-0004-0000-0900-00000C000000}"/>
    <hyperlink ref="G20" r:id="rId14" xr:uid="{00000000-0004-0000-0900-00000D000000}"/>
    <hyperlink ref="G21" r:id="rId15" xr:uid="{00000000-0004-0000-0900-00000E000000}"/>
    <hyperlink ref="G23" r:id="rId16" xr:uid="{00000000-0004-0000-0900-00000F000000}"/>
    <hyperlink ref="G24" r:id="rId17" xr:uid="{00000000-0004-0000-0900-000010000000}"/>
    <hyperlink ref="G25" r:id="rId18" xr:uid="{00000000-0004-0000-0900-000011000000}"/>
    <hyperlink ref="G28" r:id="rId19" location="google_vignette" xr:uid="{00000000-0004-0000-0900-000012000000}"/>
    <hyperlink ref="G31" r:id="rId20" xr:uid="{00000000-0004-0000-0900-000013000000}"/>
    <hyperlink ref="G33" r:id="rId21" xr:uid="{00000000-0004-0000-0900-000014000000}"/>
    <hyperlink ref="G39" r:id="rId22" xr:uid="{00000000-0004-0000-0900-000015000000}"/>
    <hyperlink ref="G40" r:id="rId23" xr:uid="{00000000-0004-0000-0900-000016000000}"/>
    <hyperlink ref="G41" r:id="rId24" xr:uid="{00000000-0004-0000-0900-000017000000}"/>
    <hyperlink ref="G43" r:id="rId25" xr:uid="{00000000-0004-0000-0900-000018000000}"/>
    <hyperlink ref="G44" r:id="rId26" xr:uid="{00000000-0004-0000-0900-000019000000}"/>
    <hyperlink ref="G46" r:id="rId27" xr:uid="{00000000-0004-0000-0900-00001A000000}"/>
    <hyperlink ref="G48" r:id="rId28" xr:uid="{00000000-0004-0000-0900-00001B000000}"/>
    <hyperlink ref="G51" r:id="rId29" location=":~:text=Yolk,is%20no%20CO2%20loss." xr:uid="{00000000-0004-0000-0900-00001C000000}"/>
    <hyperlink ref="G52" r:id="rId30" xr:uid="{00000000-0004-0000-0900-00001D000000}"/>
    <hyperlink ref="G55" r:id="rId31" xr:uid="{00000000-0004-0000-0900-00001E000000}"/>
    <hyperlink ref="G56" r:id="rId32" xr:uid="{00000000-0004-0000-0900-00001F000000}"/>
    <hyperlink ref="G57" r:id="rId33" xr:uid="{00000000-0004-0000-0900-000020000000}"/>
    <hyperlink ref="G58" r:id="rId34" xr:uid="{00000000-0004-0000-0900-000021000000}"/>
    <hyperlink ref="G59" r:id="rId35" xr:uid="{00000000-0004-0000-0900-000022000000}"/>
    <hyperlink ref="G61" r:id="rId36" xr:uid="{00000000-0004-0000-0900-000023000000}"/>
    <hyperlink ref="G62" r:id="rId37" xr:uid="{00000000-0004-0000-0900-000024000000}"/>
    <hyperlink ref="G63" r:id="rId38" xr:uid="{00000000-0004-0000-0900-000025000000}"/>
    <hyperlink ref="G67" r:id="rId39" xr:uid="{00000000-0004-0000-0900-000026000000}"/>
    <hyperlink ref="G69" r:id="rId40" xr:uid="{00000000-0004-0000-0900-000027000000}"/>
    <hyperlink ref="G71" r:id="rId41" xr:uid="{00000000-0004-0000-0900-000028000000}"/>
    <hyperlink ref="G74" r:id="rId42" xr:uid="{00000000-0004-0000-0900-000029000000}"/>
    <hyperlink ref="G79" r:id="rId43" xr:uid="{00000000-0004-0000-0900-00002A000000}"/>
    <hyperlink ref="G82" r:id="rId44" xr:uid="{00000000-0004-0000-0900-00002B000000}"/>
    <hyperlink ref="G86" r:id="rId45" xr:uid="{00000000-0004-0000-0900-00002C000000}"/>
    <hyperlink ref="G94" r:id="rId46" location="section=Solubility" xr:uid="{00000000-0004-0000-0900-00002D000000}"/>
    <hyperlink ref="G95" r:id="rId47" xr:uid="{00000000-0004-0000-0900-00002E000000}"/>
    <hyperlink ref="G96" r:id="rId48" xr:uid="{00000000-0004-0000-0900-00002F000000}"/>
    <hyperlink ref="G98" r:id="rId49" xr:uid="{00000000-0004-0000-0900-000030000000}"/>
    <hyperlink ref="G102" r:id="rId50" xr:uid="{00000000-0004-0000-0900-000031000000}"/>
    <hyperlink ref="G106" r:id="rId51" xr:uid="{00000000-0004-0000-0900-000032000000}"/>
    <hyperlink ref="G110" r:id="rId52" xr:uid="{00000000-0004-0000-0900-000033000000}"/>
    <hyperlink ref="G111" r:id="rId53" xr:uid="{00000000-0004-0000-0900-000034000000}"/>
    <hyperlink ref="G112" r:id="rId54" xr:uid="{00000000-0004-0000-0900-000035000000}"/>
    <hyperlink ref="G113" r:id="rId55" xr:uid="{00000000-0004-0000-0900-000036000000}"/>
    <hyperlink ref="G115" r:id="rId56" xr:uid="{00000000-0004-0000-0900-000037000000}"/>
    <hyperlink ref="G117" r:id="rId57" xr:uid="{00000000-0004-0000-0900-000038000000}"/>
    <hyperlink ref="G118" r:id="rId58" xr:uid="{00000000-0004-0000-0900-000039000000}"/>
    <hyperlink ref="G119" r:id="rId59" xr:uid="{00000000-0004-0000-0900-00003A000000}"/>
    <hyperlink ref="G121" r:id="rId60" xr:uid="{00000000-0004-0000-0900-00003B000000}"/>
    <hyperlink ref="G124" r:id="rId61" xr:uid="{00000000-0004-0000-0900-00003C000000}"/>
    <hyperlink ref="G125" r:id="rId62" xr:uid="{00000000-0004-0000-0900-00003D000000}"/>
    <hyperlink ref="G128" r:id="rId63" location=":~:text=Table_title:%20Key%20Differences%20Table_content:%20header:%20%7C%20Form,1%20tsp%20%E2%89%88%201%20fresh%20sprig%20%7C" xr:uid="{00000000-0004-0000-0900-00003E000000}"/>
    <hyperlink ref="G129" r:id="rId64" xr:uid="{00000000-0004-0000-0900-00003F000000}"/>
    <hyperlink ref="G132" r:id="rId65" xr:uid="{00000000-0004-0000-0900-000040000000}"/>
    <hyperlink ref="G140" r:id="rId66" xr:uid="{00000000-0004-0000-0900-000041000000}"/>
    <hyperlink ref="G145" r:id="rId67" xr:uid="{00000000-0004-0000-0900-000042000000}"/>
    <hyperlink ref="G148" r:id="rId68" xr:uid="{00000000-0004-0000-0900-000043000000}"/>
    <hyperlink ref="G150" r:id="rId69" xr:uid="{00000000-0004-0000-0900-000044000000}"/>
    <hyperlink ref="G151" r:id="rId70" location=":~:text=A%20standard%20cinnamon%20stick%20measures,contact%20with%20heat%20or%20liquid." xr:uid="{00000000-0004-0000-0900-000045000000}"/>
  </hyperlinks>
  <pageMargins left="0.511811024" right="0.511811024" top="0.78740157499999996" bottom="0.78740157499999996" header="0.31496062000000002" footer="0.31496062000000002"/>
  <drawing r:id="rId7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F1005"/>
  <sheetViews>
    <sheetView workbookViewId="0">
      <selection sqref="A1:F1"/>
    </sheetView>
  </sheetViews>
  <sheetFormatPr defaultColWidth="12.6640625" defaultRowHeight="15.75" customHeight="1"/>
  <sheetData>
    <row r="1" spans="1:6" ht="15.75" customHeight="1">
      <c r="A1" s="188" t="s">
        <v>1960</v>
      </c>
      <c r="B1" s="180"/>
      <c r="C1" s="180"/>
      <c r="D1" s="180"/>
      <c r="E1" s="180"/>
      <c r="F1" s="180"/>
    </row>
    <row r="2" spans="1:6" ht="15.75" customHeight="1">
      <c r="A2" s="108"/>
      <c r="B2" s="108"/>
      <c r="C2" s="109"/>
      <c r="D2" s="110"/>
      <c r="E2" s="110"/>
      <c r="F2" s="111"/>
    </row>
    <row r="3" spans="1:6" ht="13.2">
      <c r="A3" s="112" t="s">
        <v>1961</v>
      </c>
      <c r="B3" s="112" t="s">
        <v>1962</v>
      </c>
      <c r="C3" s="112" t="s">
        <v>1963</v>
      </c>
      <c r="D3" s="112" t="s">
        <v>1964</v>
      </c>
      <c r="E3" s="112" t="s">
        <v>1965</v>
      </c>
      <c r="F3" s="112" t="s">
        <v>1966</v>
      </c>
    </row>
    <row r="4" spans="1:6" ht="15.75" customHeight="1">
      <c r="A4" s="113"/>
      <c r="B4" s="113"/>
      <c r="C4" s="114"/>
      <c r="D4" s="115" t="s">
        <v>1967</v>
      </c>
      <c r="E4" s="115" t="s">
        <v>1968</v>
      </c>
      <c r="F4" s="115" t="s">
        <v>1969</v>
      </c>
    </row>
    <row r="5" spans="1:6" ht="13.2">
      <c r="A5" s="116">
        <v>6300101</v>
      </c>
      <c r="B5" s="116">
        <v>100630</v>
      </c>
      <c r="C5" s="117" t="s">
        <v>1970</v>
      </c>
      <c r="D5" s="116">
        <v>2506</v>
      </c>
      <c r="E5" s="116">
        <v>1277</v>
      </c>
      <c r="F5" s="116" t="s">
        <v>1971</v>
      </c>
    </row>
    <row r="6" spans="1:6" ht="13.2">
      <c r="A6" s="116">
        <v>6300201</v>
      </c>
      <c r="B6" s="116">
        <v>100620</v>
      </c>
      <c r="C6" s="117" t="s">
        <v>1972</v>
      </c>
      <c r="D6" s="116">
        <v>2538</v>
      </c>
      <c r="E6" s="116">
        <v>1277</v>
      </c>
      <c r="F6" s="116" t="s">
        <v>1971</v>
      </c>
    </row>
    <row r="7" spans="1:6" ht="13.2">
      <c r="A7" s="116">
        <v>6300701</v>
      </c>
      <c r="B7" s="116">
        <v>100590</v>
      </c>
      <c r="C7" s="117" t="s">
        <v>1973</v>
      </c>
      <c r="D7" s="116">
        <v>558</v>
      </c>
      <c r="E7" s="116">
        <v>1255</v>
      </c>
      <c r="F7" s="116" t="s">
        <v>1974</v>
      </c>
    </row>
    <row r="8" spans="1:6" ht="13.2">
      <c r="A8" s="116">
        <v>6300706</v>
      </c>
      <c r="B8" s="116">
        <v>110313</v>
      </c>
      <c r="C8" s="117" t="s">
        <v>1975</v>
      </c>
      <c r="D8" s="116">
        <v>578</v>
      </c>
      <c r="E8" s="116">
        <v>1543</v>
      </c>
      <c r="F8" s="116" t="s">
        <v>1976</v>
      </c>
    </row>
    <row r="9" spans="1:6" ht="13.2">
      <c r="A9" s="116">
        <v>6300707</v>
      </c>
      <c r="B9" s="116">
        <v>110220</v>
      </c>
      <c r="C9" s="117" t="s">
        <v>1977</v>
      </c>
      <c r="D9" s="116">
        <v>578</v>
      </c>
      <c r="E9" s="116">
        <v>1790</v>
      </c>
      <c r="F9" s="116" t="s">
        <v>1976</v>
      </c>
    </row>
    <row r="10" spans="1:6" ht="13.2">
      <c r="A10" s="116">
        <v>6301001</v>
      </c>
      <c r="B10" s="116">
        <v>120220</v>
      </c>
      <c r="C10" s="117" t="s">
        <v>1978</v>
      </c>
      <c r="D10" s="116">
        <v>1333</v>
      </c>
      <c r="E10" s="116">
        <v>2704</v>
      </c>
      <c r="F10" s="116" t="s">
        <v>1979</v>
      </c>
    </row>
    <row r="11" spans="1:6" ht="13.2">
      <c r="A11" s="116">
        <v>6301101</v>
      </c>
      <c r="B11" s="116">
        <v>70810</v>
      </c>
      <c r="C11" s="117" t="s">
        <v>1980</v>
      </c>
      <c r="D11" s="116">
        <v>504</v>
      </c>
      <c r="E11" s="116">
        <v>834</v>
      </c>
      <c r="F11" s="116" t="s">
        <v>1981</v>
      </c>
    </row>
    <row r="12" spans="1:6" ht="13.2">
      <c r="A12" s="116">
        <v>6301201</v>
      </c>
      <c r="B12" s="116">
        <v>71350</v>
      </c>
      <c r="C12" s="117" t="s">
        <v>1982</v>
      </c>
      <c r="D12" s="116">
        <v>915</v>
      </c>
      <c r="E12" s="116">
        <v>5594</v>
      </c>
      <c r="F12" s="116" t="s">
        <v>1983</v>
      </c>
    </row>
    <row r="13" spans="1:6" ht="13.2">
      <c r="A13" s="116">
        <v>6301204</v>
      </c>
      <c r="B13" s="116">
        <v>71360</v>
      </c>
      <c r="C13" s="117" t="s">
        <v>1984</v>
      </c>
      <c r="D13" s="116">
        <v>915</v>
      </c>
      <c r="E13" s="116">
        <v>3846</v>
      </c>
      <c r="F13" s="116" t="s">
        <v>1983</v>
      </c>
    </row>
    <row r="14" spans="1:6" ht="13.2">
      <c r="A14" s="116">
        <v>6301603</v>
      </c>
      <c r="B14" s="116">
        <v>71333</v>
      </c>
      <c r="C14" s="117" t="s">
        <v>1985</v>
      </c>
      <c r="D14" s="116">
        <v>250</v>
      </c>
      <c r="E14" s="116">
        <v>3264</v>
      </c>
      <c r="F14" s="116" t="s">
        <v>1983</v>
      </c>
    </row>
    <row r="15" spans="1:6" ht="13.2">
      <c r="A15" s="116">
        <v>6301634</v>
      </c>
      <c r="B15" s="116">
        <v>71333</v>
      </c>
      <c r="C15" s="117" t="s">
        <v>1986</v>
      </c>
      <c r="D15" s="116">
        <v>250</v>
      </c>
      <c r="E15" s="116">
        <v>3264</v>
      </c>
      <c r="F15" s="116" t="s">
        <v>1983</v>
      </c>
    </row>
    <row r="16" spans="1:6" ht="13.2">
      <c r="A16" s="116">
        <v>6302001</v>
      </c>
      <c r="B16" s="116">
        <v>120400</v>
      </c>
      <c r="C16" s="117" t="s">
        <v>1987</v>
      </c>
      <c r="D16" s="116">
        <v>1936</v>
      </c>
      <c r="E16" s="116">
        <v>3791</v>
      </c>
      <c r="F16" s="116" t="s">
        <v>1979</v>
      </c>
    </row>
    <row r="17" spans="1:6" ht="13.2">
      <c r="A17" s="116">
        <v>6302602</v>
      </c>
      <c r="B17" s="116">
        <v>71360</v>
      </c>
      <c r="C17" s="117" t="s">
        <v>1988</v>
      </c>
      <c r="D17" s="116">
        <v>915</v>
      </c>
      <c r="E17" s="116">
        <v>3846</v>
      </c>
      <c r="F17" s="116" t="s">
        <v>1983</v>
      </c>
    </row>
    <row r="18" spans="1:6" ht="13.2">
      <c r="A18" s="116">
        <v>6302801</v>
      </c>
      <c r="B18" s="116">
        <v>71320</v>
      </c>
      <c r="C18" s="117" t="s">
        <v>1989</v>
      </c>
      <c r="D18" s="116">
        <v>2000</v>
      </c>
      <c r="E18" s="116">
        <v>3846</v>
      </c>
      <c r="F18" s="116" t="s">
        <v>1983</v>
      </c>
    </row>
    <row r="19" spans="1:6" ht="13.2">
      <c r="A19" s="116">
        <v>6302901</v>
      </c>
      <c r="B19" s="116">
        <v>71340</v>
      </c>
      <c r="C19" s="117" t="s">
        <v>1990</v>
      </c>
      <c r="D19" s="116">
        <v>2000</v>
      </c>
      <c r="E19" s="116">
        <v>3846</v>
      </c>
      <c r="F19" s="116" t="s">
        <v>1983</v>
      </c>
    </row>
    <row r="20" spans="1:6" ht="13.2">
      <c r="A20" s="116">
        <v>6303001</v>
      </c>
      <c r="B20" s="116">
        <v>120100</v>
      </c>
      <c r="C20" s="117" t="s">
        <v>1991</v>
      </c>
      <c r="D20" s="116">
        <v>397</v>
      </c>
      <c r="E20" s="116">
        <v>2007</v>
      </c>
      <c r="F20" s="116" t="s">
        <v>1979</v>
      </c>
    </row>
    <row r="21" spans="1:6" ht="13.2">
      <c r="A21" s="116">
        <v>6303102</v>
      </c>
      <c r="B21" s="116">
        <v>71333</v>
      </c>
      <c r="C21" s="117" t="s">
        <v>1992</v>
      </c>
      <c r="D21" s="116">
        <v>210</v>
      </c>
      <c r="E21" s="116">
        <v>3264</v>
      </c>
      <c r="F21" s="116" t="s">
        <v>1983</v>
      </c>
    </row>
    <row r="22" spans="1:6" ht="13.2">
      <c r="A22" s="116">
        <v>6303501</v>
      </c>
      <c r="B22" s="116">
        <v>110313</v>
      </c>
      <c r="C22" s="117" t="s">
        <v>1993</v>
      </c>
      <c r="D22" s="116">
        <v>578</v>
      </c>
      <c r="E22" s="116">
        <v>1543</v>
      </c>
      <c r="F22" s="116" t="s">
        <v>1976</v>
      </c>
    </row>
    <row r="23" spans="1:6" ht="13.2">
      <c r="A23" s="116">
        <v>6304034</v>
      </c>
      <c r="B23" s="116">
        <v>71333</v>
      </c>
      <c r="C23" s="117" t="s">
        <v>1994</v>
      </c>
      <c r="D23" s="116">
        <v>250</v>
      </c>
      <c r="E23" s="116">
        <v>3264</v>
      </c>
      <c r="F23" s="116" t="s">
        <v>1983</v>
      </c>
    </row>
    <row r="24" spans="1:6" ht="13.2">
      <c r="A24" s="116">
        <v>6304101</v>
      </c>
      <c r="B24" s="116">
        <v>71333</v>
      </c>
      <c r="C24" s="117" t="s">
        <v>1995</v>
      </c>
      <c r="D24" s="116">
        <v>371</v>
      </c>
      <c r="E24" s="116">
        <v>3264</v>
      </c>
      <c r="F24" s="116" t="s">
        <v>1983</v>
      </c>
    </row>
    <row r="25" spans="1:6" ht="13.2">
      <c r="A25" s="116">
        <v>6304201</v>
      </c>
      <c r="B25" s="116">
        <v>100590</v>
      </c>
      <c r="C25" s="117" t="s">
        <v>1996</v>
      </c>
      <c r="D25" s="116">
        <v>558</v>
      </c>
      <c r="E25" s="116">
        <v>1255</v>
      </c>
      <c r="F25" s="116" t="s">
        <v>1974</v>
      </c>
    </row>
    <row r="26" spans="1:6" ht="13.2">
      <c r="A26" s="116">
        <v>6304301</v>
      </c>
      <c r="B26" s="116">
        <v>100630</v>
      </c>
      <c r="C26" s="117" t="s">
        <v>1997</v>
      </c>
      <c r="D26" s="116">
        <v>2685</v>
      </c>
      <c r="E26" s="116">
        <v>1277</v>
      </c>
      <c r="F26" s="116" t="s">
        <v>1971</v>
      </c>
    </row>
    <row r="27" spans="1:6" ht="13.2">
      <c r="A27" s="116">
        <v>6304401</v>
      </c>
      <c r="B27" s="116">
        <v>100620</v>
      </c>
      <c r="C27" s="117" t="s">
        <v>1998</v>
      </c>
      <c r="D27" s="116">
        <v>2538</v>
      </c>
      <c r="E27" s="116">
        <v>1277</v>
      </c>
      <c r="F27" s="116" t="s">
        <v>1971</v>
      </c>
    </row>
    <row r="28" spans="1:6" ht="13.2">
      <c r="A28" s="116">
        <v>6304602</v>
      </c>
      <c r="B28" s="116">
        <v>71333</v>
      </c>
      <c r="C28" s="117" t="s">
        <v>1999</v>
      </c>
      <c r="D28" s="116">
        <v>397</v>
      </c>
      <c r="E28" s="116">
        <v>2007</v>
      </c>
      <c r="F28" s="116" t="s">
        <v>1979</v>
      </c>
    </row>
    <row r="29" spans="1:6" ht="13.2">
      <c r="A29" s="116">
        <v>6304901</v>
      </c>
      <c r="B29" s="116">
        <v>71390</v>
      </c>
      <c r="C29" s="117" t="s">
        <v>2000</v>
      </c>
      <c r="D29" s="116">
        <v>1400</v>
      </c>
      <c r="E29" s="116">
        <v>3846</v>
      </c>
      <c r="F29" s="116" t="s">
        <v>1983</v>
      </c>
    </row>
    <row r="30" spans="1:6" ht="13.2">
      <c r="A30" s="116">
        <v>6400101</v>
      </c>
      <c r="B30" s="116">
        <v>70190</v>
      </c>
      <c r="C30" s="117" t="s">
        <v>675</v>
      </c>
      <c r="D30" s="116">
        <v>205</v>
      </c>
      <c r="E30" s="116">
        <v>539</v>
      </c>
      <c r="F30" s="116" t="s">
        <v>2001</v>
      </c>
    </row>
    <row r="31" spans="1:6" ht="13.2">
      <c r="A31" s="116">
        <v>6400303</v>
      </c>
      <c r="B31" s="116">
        <v>70610</v>
      </c>
      <c r="C31" s="117" t="s">
        <v>2002</v>
      </c>
      <c r="D31" s="116">
        <v>249</v>
      </c>
      <c r="E31" s="116">
        <v>799</v>
      </c>
      <c r="F31" s="116" t="s">
        <v>2003</v>
      </c>
    </row>
    <row r="32" spans="1:6" ht="13.2">
      <c r="A32" s="116">
        <v>6400304</v>
      </c>
      <c r="B32" s="116">
        <v>70610</v>
      </c>
      <c r="C32" s="117" t="s">
        <v>2004</v>
      </c>
      <c r="D32" s="116">
        <v>249</v>
      </c>
      <c r="E32" s="116">
        <v>799</v>
      </c>
      <c r="F32" s="116" t="s">
        <v>2003</v>
      </c>
    </row>
    <row r="33" spans="1:6" ht="13.2">
      <c r="A33" s="116">
        <v>6400401</v>
      </c>
      <c r="B33" s="116">
        <v>71420</v>
      </c>
      <c r="C33" s="117" t="s">
        <v>2005</v>
      </c>
      <c r="D33" s="116">
        <v>77</v>
      </c>
      <c r="E33" s="116">
        <v>454</v>
      </c>
      <c r="F33" s="116" t="s">
        <v>2006</v>
      </c>
    </row>
    <row r="34" spans="1:6" ht="13.2">
      <c r="A34" s="116">
        <v>6400501</v>
      </c>
      <c r="B34" s="116">
        <v>71490</v>
      </c>
      <c r="C34" s="117" t="s">
        <v>2007</v>
      </c>
      <c r="D34" s="116">
        <v>77</v>
      </c>
      <c r="E34" s="116">
        <v>486</v>
      </c>
      <c r="F34" s="116" t="s">
        <v>2006</v>
      </c>
    </row>
    <row r="35" spans="1:6" ht="13.2">
      <c r="A35" s="116">
        <v>6400508</v>
      </c>
      <c r="B35" s="116">
        <v>71490</v>
      </c>
      <c r="C35" s="117" t="s">
        <v>2008</v>
      </c>
      <c r="D35" s="116">
        <v>77</v>
      </c>
      <c r="E35" s="116">
        <v>486</v>
      </c>
      <c r="F35" s="116" t="s">
        <v>2006</v>
      </c>
    </row>
    <row r="36" spans="1:6" ht="13.2">
      <c r="A36" s="116">
        <v>6400601</v>
      </c>
      <c r="B36" s="116">
        <v>71410</v>
      </c>
      <c r="C36" s="117" t="s">
        <v>2009</v>
      </c>
      <c r="D36" s="116">
        <v>77</v>
      </c>
      <c r="E36" s="116">
        <v>451</v>
      </c>
      <c r="F36" s="116" t="s">
        <v>2006</v>
      </c>
    </row>
    <row r="37" spans="1:6" ht="13.2">
      <c r="A37" s="116">
        <v>6400609</v>
      </c>
      <c r="B37" s="116">
        <v>71410</v>
      </c>
      <c r="C37" s="117" t="s">
        <v>710</v>
      </c>
      <c r="D37" s="116">
        <v>77</v>
      </c>
      <c r="E37" s="116">
        <v>451</v>
      </c>
      <c r="F37" s="116" t="s">
        <v>2006</v>
      </c>
    </row>
    <row r="38" spans="1:6" ht="13.2">
      <c r="A38" s="116">
        <v>6400610</v>
      </c>
      <c r="B38" s="116">
        <v>71410</v>
      </c>
      <c r="C38" s="117" t="s">
        <v>2010</v>
      </c>
      <c r="D38" s="116">
        <v>77</v>
      </c>
      <c r="E38" s="116">
        <v>451</v>
      </c>
      <c r="F38" s="116" t="s">
        <v>2006</v>
      </c>
    </row>
    <row r="39" spans="1:6" ht="13.2">
      <c r="A39" s="116">
        <v>6400701</v>
      </c>
      <c r="B39" s="116">
        <v>71490</v>
      </c>
      <c r="C39" s="117" t="s">
        <v>2011</v>
      </c>
      <c r="D39" s="116">
        <v>77</v>
      </c>
      <c r="E39" s="116">
        <v>486</v>
      </c>
      <c r="F39" s="116" t="s">
        <v>2006</v>
      </c>
    </row>
    <row r="40" spans="1:6" ht="13.2">
      <c r="A40" s="116">
        <v>6400713</v>
      </c>
      <c r="B40" s="116">
        <v>71490</v>
      </c>
      <c r="C40" s="117" t="s">
        <v>2012</v>
      </c>
      <c r="D40" s="116">
        <v>77</v>
      </c>
      <c r="E40" s="116">
        <v>486</v>
      </c>
      <c r="F40" s="116" t="s">
        <v>2006</v>
      </c>
    </row>
    <row r="41" spans="1:6" ht="13.2">
      <c r="A41" s="116">
        <v>6400802</v>
      </c>
      <c r="B41" s="116">
        <v>70190</v>
      </c>
      <c r="C41" s="117" t="s">
        <v>2013</v>
      </c>
      <c r="D41" s="116">
        <v>205</v>
      </c>
      <c r="E41" s="116">
        <v>539</v>
      </c>
      <c r="F41" s="116" t="s">
        <v>2001</v>
      </c>
    </row>
    <row r="42" spans="1:6" ht="13.2">
      <c r="A42" s="116">
        <v>6400908</v>
      </c>
      <c r="B42" s="116">
        <v>70610</v>
      </c>
      <c r="C42" s="117" t="s">
        <v>2014</v>
      </c>
      <c r="D42" s="116">
        <v>249</v>
      </c>
      <c r="E42" s="116">
        <v>799</v>
      </c>
      <c r="F42" s="116" t="s">
        <v>2003</v>
      </c>
    </row>
    <row r="43" spans="1:6" ht="13.2">
      <c r="A43" s="116">
        <v>6401001</v>
      </c>
      <c r="B43" s="116">
        <v>70690</v>
      </c>
      <c r="C43" s="117" t="s">
        <v>2015</v>
      </c>
      <c r="D43" s="116">
        <v>110</v>
      </c>
      <c r="E43" s="116">
        <v>799</v>
      </c>
      <c r="F43" s="116" t="s">
        <v>2016</v>
      </c>
    </row>
    <row r="44" spans="1:6" ht="13.2">
      <c r="A44" s="116">
        <v>6401101</v>
      </c>
      <c r="B44" s="116">
        <v>70690</v>
      </c>
      <c r="C44" s="117" t="s">
        <v>2017</v>
      </c>
      <c r="D44" s="116">
        <v>110</v>
      </c>
      <c r="E44" s="116">
        <v>799</v>
      </c>
      <c r="F44" s="116" t="s">
        <v>2016</v>
      </c>
    </row>
    <row r="45" spans="1:6" ht="13.2">
      <c r="A45" s="116">
        <v>6401201</v>
      </c>
      <c r="B45" s="116">
        <v>70610</v>
      </c>
      <c r="C45" s="117" t="s">
        <v>677</v>
      </c>
      <c r="D45" s="116">
        <v>249</v>
      </c>
      <c r="E45" s="116">
        <v>799</v>
      </c>
      <c r="F45" s="116" t="s">
        <v>2003</v>
      </c>
    </row>
    <row r="46" spans="1:6" ht="13.2">
      <c r="A46" s="116">
        <v>6401301</v>
      </c>
      <c r="B46" s="116">
        <v>70610</v>
      </c>
      <c r="C46" s="117" t="s">
        <v>2018</v>
      </c>
      <c r="D46" s="116">
        <v>249</v>
      </c>
      <c r="E46" s="116">
        <v>799</v>
      </c>
      <c r="F46" s="116" t="s">
        <v>2003</v>
      </c>
    </row>
    <row r="47" spans="1:6" ht="13.2">
      <c r="A47" s="116">
        <v>6401601</v>
      </c>
      <c r="B47" s="116">
        <v>70999</v>
      </c>
      <c r="C47" s="117" t="s">
        <v>2019</v>
      </c>
      <c r="D47" s="116">
        <v>335</v>
      </c>
      <c r="E47" s="116">
        <v>799</v>
      </c>
      <c r="F47" s="116" t="s">
        <v>2020</v>
      </c>
    </row>
    <row r="48" spans="1:6" ht="13.2">
      <c r="A48" s="116">
        <v>64017</v>
      </c>
      <c r="B48" s="116">
        <v>91010</v>
      </c>
      <c r="C48" s="117" t="s">
        <v>2021</v>
      </c>
      <c r="D48" s="116">
        <v>330</v>
      </c>
      <c r="E48" s="116">
        <v>8159</v>
      </c>
      <c r="F48" s="116" t="s">
        <v>2022</v>
      </c>
    </row>
    <row r="49" spans="1:6" ht="13.2">
      <c r="A49" s="116">
        <v>6401801</v>
      </c>
      <c r="B49" s="116">
        <v>70191</v>
      </c>
      <c r="C49" s="117" t="s">
        <v>2023</v>
      </c>
      <c r="D49" s="116">
        <v>212</v>
      </c>
      <c r="E49" s="116">
        <v>539</v>
      </c>
      <c r="F49" s="116" t="s">
        <v>2001</v>
      </c>
    </row>
    <row r="50" spans="1:6" ht="13.2">
      <c r="A50" s="116">
        <v>6500101</v>
      </c>
      <c r="B50" s="116">
        <v>200799</v>
      </c>
      <c r="C50" s="117" t="s">
        <v>2024</v>
      </c>
      <c r="D50" s="116">
        <v>2948</v>
      </c>
      <c r="E50" s="116">
        <v>1247</v>
      </c>
      <c r="F50" s="116" t="s">
        <v>2025</v>
      </c>
    </row>
    <row r="51" spans="1:6" ht="13.2">
      <c r="A51" s="116">
        <v>6500104</v>
      </c>
      <c r="B51" s="116">
        <v>190110</v>
      </c>
      <c r="C51" s="117" t="s">
        <v>2026</v>
      </c>
      <c r="D51" s="116">
        <v>2004</v>
      </c>
      <c r="E51" s="116">
        <v>1647</v>
      </c>
      <c r="F51" s="116" t="s">
        <v>2027</v>
      </c>
    </row>
    <row r="52" spans="1:6" ht="13.2">
      <c r="A52" s="116">
        <v>6500105</v>
      </c>
      <c r="B52" s="116">
        <v>190110</v>
      </c>
      <c r="C52" s="117" t="s">
        <v>2028</v>
      </c>
      <c r="D52" s="116">
        <v>2004</v>
      </c>
      <c r="E52" s="116">
        <v>1647</v>
      </c>
      <c r="F52" s="116" t="s">
        <v>2027</v>
      </c>
    </row>
    <row r="53" spans="1:6" ht="13.2">
      <c r="A53" s="116">
        <v>6500202</v>
      </c>
      <c r="B53" s="116">
        <v>190220</v>
      </c>
      <c r="C53" s="117" t="s">
        <v>2029</v>
      </c>
      <c r="D53" s="116">
        <v>9525</v>
      </c>
      <c r="E53" s="116">
        <v>1730</v>
      </c>
      <c r="F53" s="116" t="s">
        <v>2030</v>
      </c>
    </row>
    <row r="54" spans="1:6" ht="13.2">
      <c r="A54" s="116">
        <v>6500301</v>
      </c>
      <c r="B54" s="116">
        <v>110412</v>
      </c>
      <c r="C54" s="117" t="s">
        <v>2031</v>
      </c>
      <c r="D54" s="116">
        <v>733</v>
      </c>
      <c r="E54" s="116">
        <v>4557</v>
      </c>
      <c r="F54" s="116" t="s">
        <v>1971</v>
      </c>
    </row>
    <row r="55" spans="1:6" ht="13.2">
      <c r="A55" s="116">
        <v>6500401</v>
      </c>
      <c r="B55" s="116">
        <v>110412</v>
      </c>
      <c r="C55" s="117" t="s">
        <v>2032</v>
      </c>
      <c r="D55" s="116">
        <v>733</v>
      </c>
      <c r="E55" s="116">
        <v>4557</v>
      </c>
      <c r="F55" s="116" t="s">
        <v>1971</v>
      </c>
    </row>
    <row r="56" spans="1:6" ht="13.2">
      <c r="A56" s="116">
        <v>6500601</v>
      </c>
      <c r="B56" s="116">
        <v>110313</v>
      </c>
      <c r="C56" s="117" t="s">
        <v>2033</v>
      </c>
      <c r="D56" s="116">
        <v>578</v>
      </c>
      <c r="E56" s="116">
        <v>1543</v>
      </c>
      <c r="F56" s="116" t="s">
        <v>1976</v>
      </c>
    </row>
    <row r="57" spans="1:6" ht="13.2">
      <c r="A57" s="116">
        <v>6500603</v>
      </c>
      <c r="B57" s="116">
        <v>110220</v>
      </c>
      <c r="C57" s="117" t="s">
        <v>2034</v>
      </c>
      <c r="D57" s="116">
        <v>578</v>
      </c>
      <c r="E57" s="116">
        <v>1790</v>
      </c>
      <c r="F57" s="116" t="s">
        <v>1976</v>
      </c>
    </row>
    <row r="58" spans="1:6" ht="13.2">
      <c r="A58" s="116">
        <v>6500608</v>
      </c>
      <c r="B58" s="116">
        <v>190520</v>
      </c>
      <c r="C58" s="117" t="s">
        <v>2035</v>
      </c>
      <c r="D58" s="116">
        <v>2572</v>
      </c>
      <c r="E58" s="116">
        <v>2039</v>
      </c>
      <c r="F58" s="116" t="s">
        <v>2036</v>
      </c>
    </row>
    <row r="59" spans="1:6" ht="13.2">
      <c r="A59" s="116">
        <v>6500609</v>
      </c>
      <c r="B59" s="116">
        <v>190520</v>
      </c>
      <c r="C59" s="117" t="s">
        <v>2037</v>
      </c>
      <c r="D59" s="116">
        <v>2610</v>
      </c>
      <c r="E59" s="116">
        <v>2039</v>
      </c>
      <c r="F59" s="116" t="s">
        <v>2038</v>
      </c>
    </row>
    <row r="60" spans="1:6" ht="13.2">
      <c r="A60" s="116">
        <v>6500613</v>
      </c>
      <c r="B60" s="116">
        <v>110220</v>
      </c>
      <c r="C60" s="117" t="s">
        <v>2039</v>
      </c>
      <c r="D60" s="116">
        <v>578</v>
      </c>
      <c r="E60" s="116">
        <v>1790</v>
      </c>
      <c r="F60" s="116" t="s">
        <v>1976</v>
      </c>
    </row>
    <row r="61" spans="1:6" ht="13.2">
      <c r="A61" s="116">
        <v>6500702</v>
      </c>
      <c r="B61" s="116">
        <v>110812</v>
      </c>
      <c r="C61" s="117" t="s">
        <v>694</v>
      </c>
      <c r="D61" s="116">
        <v>578</v>
      </c>
      <c r="E61" s="116">
        <v>2387</v>
      </c>
      <c r="F61" s="116" t="s">
        <v>1976</v>
      </c>
    </row>
    <row r="62" spans="1:6" ht="13.2">
      <c r="A62" s="116">
        <v>6500705</v>
      </c>
      <c r="B62" s="116">
        <v>110819</v>
      </c>
      <c r="C62" s="117" t="s">
        <v>2040</v>
      </c>
      <c r="D62" s="116">
        <v>578</v>
      </c>
      <c r="E62" s="116">
        <v>2387</v>
      </c>
      <c r="F62" s="116" t="s">
        <v>1976</v>
      </c>
    </row>
    <row r="63" spans="1:6" ht="13.2">
      <c r="A63" s="116">
        <v>6500801</v>
      </c>
      <c r="B63" s="116">
        <v>110220</v>
      </c>
      <c r="C63" s="117" t="s">
        <v>2041</v>
      </c>
      <c r="D63" s="116">
        <v>578</v>
      </c>
      <c r="E63" s="116">
        <v>1790</v>
      </c>
      <c r="F63" s="116" t="s">
        <v>1976</v>
      </c>
    </row>
    <row r="64" spans="1:6" ht="13.2">
      <c r="A64" s="116">
        <v>6500802</v>
      </c>
      <c r="B64" s="116">
        <v>110220</v>
      </c>
      <c r="C64" s="117" t="s">
        <v>2042</v>
      </c>
      <c r="D64" s="116">
        <v>578</v>
      </c>
      <c r="E64" s="116">
        <v>1790</v>
      </c>
      <c r="F64" s="116" t="s">
        <v>1976</v>
      </c>
    </row>
    <row r="65" spans="1:6" ht="13.2">
      <c r="A65" s="116">
        <v>6500902</v>
      </c>
      <c r="B65" s="116">
        <v>190410</v>
      </c>
      <c r="C65" s="117" t="s">
        <v>2043</v>
      </c>
      <c r="D65" s="116">
        <v>2903</v>
      </c>
      <c r="E65" s="116">
        <v>1772</v>
      </c>
      <c r="F65" s="116" t="s">
        <v>2027</v>
      </c>
    </row>
    <row r="66" spans="1:6" ht="13.2">
      <c r="A66" s="116">
        <v>6500903</v>
      </c>
      <c r="B66" s="116">
        <v>190410</v>
      </c>
      <c r="C66" s="117" t="s">
        <v>2043</v>
      </c>
      <c r="D66" s="116">
        <v>2903</v>
      </c>
      <c r="E66" s="116">
        <v>1772</v>
      </c>
      <c r="F66" s="116" t="s">
        <v>2027</v>
      </c>
    </row>
    <row r="67" spans="1:6" ht="13.2">
      <c r="A67" s="116">
        <v>65010</v>
      </c>
      <c r="B67" s="116">
        <v>110100</v>
      </c>
      <c r="C67" s="117" t="s">
        <v>643</v>
      </c>
      <c r="D67" s="116">
        <v>443</v>
      </c>
      <c r="E67" s="116">
        <v>1518</v>
      </c>
      <c r="F67" s="116" t="s">
        <v>2044</v>
      </c>
    </row>
    <row r="68" spans="1:6" ht="13.2">
      <c r="A68" s="116">
        <v>65011</v>
      </c>
      <c r="B68" s="116">
        <v>110100</v>
      </c>
      <c r="C68" s="117" t="s">
        <v>2045</v>
      </c>
      <c r="D68" s="116">
        <v>443</v>
      </c>
      <c r="E68" s="116">
        <v>1518</v>
      </c>
      <c r="F68" s="116" t="s">
        <v>2044</v>
      </c>
    </row>
    <row r="69" spans="1:6" ht="13.2">
      <c r="A69" s="116">
        <v>6501301</v>
      </c>
      <c r="B69" s="116">
        <v>110430</v>
      </c>
      <c r="C69" s="117" t="s">
        <v>2046</v>
      </c>
      <c r="D69" s="116">
        <v>733</v>
      </c>
      <c r="E69" s="116">
        <v>4557</v>
      </c>
      <c r="F69" s="116" t="s">
        <v>1971</v>
      </c>
    </row>
    <row r="70" spans="1:6" ht="13.2">
      <c r="A70" s="116">
        <v>6501303</v>
      </c>
      <c r="B70" s="116">
        <v>110430</v>
      </c>
      <c r="C70" s="117" t="s">
        <v>2047</v>
      </c>
      <c r="D70" s="116">
        <v>733</v>
      </c>
      <c r="E70" s="116">
        <v>4557</v>
      </c>
      <c r="F70" s="116" t="s">
        <v>1971</v>
      </c>
    </row>
    <row r="71" spans="1:6" ht="13.2">
      <c r="A71" s="116">
        <v>6501304</v>
      </c>
      <c r="B71" s="116">
        <v>110430</v>
      </c>
      <c r="C71" s="117" t="s">
        <v>2048</v>
      </c>
      <c r="D71" s="116">
        <v>733</v>
      </c>
      <c r="E71" s="116">
        <v>4557</v>
      </c>
      <c r="F71" s="116" t="s">
        <v>1971</v>
      </c>
    </row>
    <row r="72" spans="1:6" ht="13.2">
      <c r="A72" s="116">
        <v>6501401</v>
      </c>
      <c r="B72" s="116">
        <v>110620</v>
      </c>
      <c r="C72" s="117" t="s">
        <v>2049</v>
      </c>
      <c r="D72" s="116">
        <v>594</v>
      </c>
      <c r="E72" s="116">
        <v>1654</v>
      </c>
      <c r="F72" s="116" t="s">
        <v>1976</v>
      </c>
    </row>
    <row r="73" spans="1:6" ht="13.2">
      <c r="A73" s="116">
        <v>6501410</v>
      </c>
      <c r="B73" s="116">
        <v>110620</v>
      </c>
      <c r="C73" s="117" t="s">
        <v>2050</v>
      </c>
      <c r="D73" s="116">
        <v>594</v>
      </c>
      <c r="E73" s="116">
        <v>1966</v>
      </c>
      <c r="F73" s="116" t="s">
        <v>1976</v>
      </c>
    </row>
    <row r="74" spans="1:6" ht="13.2">
      <c r="A74" s="116">
        <v>6501415</v>
      </c>
      <c r="B74" s="116">
        <v>110620</v>
      </c>
      <c r="C74" s="117" t="s">
        <v>2051</v>
      </c>
      <c r="D74" s="116">
        <v>594</v>
      </c>
      <c r="E74" s="116">
        <v>1966</v>
      </c>
      <c r="F74" s="116" t="s">
        <v>1976</v>
      </c>
    </row>
    <row r="75" spans="1:6" ht="13.2">
      <c r="A75" s="116">
        <v>6501416</v>
      </c>
      <c r="B75" s="116">
        <v>110430</v>
      </c>
      <c r="C75" s="117" t="s">
        <v>2052</v>
      </c>
      <c r="D75" s="116">
        <v>733</v>
      </c>
      <c r="E75" s="116">
        <v>4557</v>
      </c>
      <c r="F75" s="116" t="s">
        <v>1971</v>
      </c>
    </row>
    <row r="76" spans="1:6" ht="13.2">
      <c r="A76" s="116">
        <v>6501502</v>
      </c>
      <c r="B76" s="116">
        <v>110620</v>
      </c>
      <c r="C76" s="117" t="s">
        <v>2053</v>
      </c>
      <c r="D76" s="116">
        <v>594</v>
      </c>
      <c r="E76" s="116">
        <v>1966</v>
      </c>
      <c r="F76" s="116" t="s">
        <v>1976</v>
      </c>
    </row>
    <row r="77" spans="1:6" ht="13.2">
      <c r="A77" s="116">
        <v>6501510</v>
      </c>
      <c r="B77" s="116">
        <v>110620</v>
      </c>
      <c r="C77" s="117" t="s">
        <v>2054</v>
      </c>
      <c r="D77" s="116">
        <v>594</v>
      </c>
      <c r="E77" s="116">
        <v>2278</v>
      </c>
      <c r="F77" s="116" t="s">
        <v>1976</v>
      </c>
    </row>
    <row r="78" spans="1:6" ht="13.2">
      <c r="A78" s="116">
        <v>6501511</v>
      </c>
      <c r="B78" s="116">
        <v>110620</v>
      </c>
      <c r="C78" s="117" t="s">
        <v>2055</v>
      </c>
      <c r="D78" s="116">
        <v>594</v>
      </c>
      <c r="E78" s="116">
        <v>1966</v>
      </c>
      <c r="F78" s="116" t="s">
        <v>1976</v>
      </c>
    </row>
    <row r="79" spans="1:6" ht="13.2">
      <c r="A79" s="116">
        <v>6501516</v>
      </c>
      <c r="B79" s="116">
        <v>110620</v>
      </c>
      <c r="C79" s="117" t="s">
        <v>2056</v>
      </c>
      <c r="D79" s="116">
        <v>594</v>
      </c>
      <c r="E79" s="116">
        <v>1966</v>
      </c>
      <c r="F79" s="116" t="s">
        <v>1976</v>
      </c>
    </row>
    <row r="80" spans="1:6" ht="13.2">
      <c r="A80" s="116">
        <v>6502001</v>
      </c>
      <c r="B80" s="116">
        <v>190110</v>
      </c>
      <c r="C80" s="117" t="s">
        <v>2057</v>
      </c>
      <c r="D80" s="116">
        <v>2004</v>
      </c>
      <c r="E80" s="116">
        <v>1647</v>
      </c>
      <c r="F80" s="116" t="s">
        <v>2027</v>
      </c>
    </row>
    <row r="81" spans="1:6" ht="13.2">
      <c r="A81" s="116">
        <v>6502101</v>
      </c>
      <c r="B81" s="116">
        <v>190420</v>
      </c>
      <c r="C81" s="117" t="s">
        <v>2058</v>
      </c>
      <c r="D81" s="116">
        <v>2903</v>
      </c>
      <c r="E81" s="116">
        <v>1772</v>
      </c>
      <c r="F81" s="116" t="s">
        <v>2027</v>
      </c>
    </row>
    <row r="82" spans="1:6" ht="13.2">
      <c r="A82" s="116">
        <v>6502102</v>
      </c>
      <c r="B82" s="116">
        <v>190410</v>
      </c>
      <c r="C82" s="117" t="s">
        <v>2059</v>
      </c>
      <c r="D82" s="116">
        <v>2903</v>
      </c>
      <c r="E82" s="116">
        <v>1772</v>
      </c>
      <c r="F82" s="116" t="s">
        <v>2027</v>
      </c>
    </row>
    <row r="83" spans="1:6" ht="13.2">
      <c r="A83" s="116">
        <v>6502105</v>
      </c>
      <c r="B83" s="116">
        <v>190410</v>
      </c>
      <c r="C83" s="117" t="s">
        <v>2060</v>
      </c>
      <c r="D83" s="116">
        <v>2903</v>
      </c>
      <c r="E83" s="116">
        <v>1772</v>
      </c>
      <c r="F83" s="116" t="s">
        <v>2027</v>
      </c>
    </row>
    <row r="84" spans="1:6" ht="13.2">
      <c r="A84" s="116">
        <v>6502403</v>
      </c>
      <c r="B84" s="116">
        <v>190590</v>
      </c>
      <c r="C84" s="117" t="s">
        <v>2061</v>
      </c>
      <c r="D84" s="116">
        <v>5600</v>
      </c>
      <c r="E84" s="116">
        <v>1270</v>
      </c>
      <c r="F84" s="116" t="s">
        <v>2062</v>
      </c>
    </row>
    <row r="85" spans="1:6" ht="13.2">
      <c r="A85" s="116">
        <v>6502501</v>
      </c>
      <c r="B85" s="116">
        <v>120810</v>
      </c>
      <c r="C85" s="117" t="s">
        <v>2063</v>
      </c>
      <c r="D85" s="116">
        <v>3240</v>
      </c>
      <c r="E85" s="116">
        <v>2256</v>
      </c>
      <c r="F85" s="116" t="s">
        <v>1979</v>
      </c>
    </row>
    <row r="86" spans="1:6" ht="13.2">
      <c r="A86" s="116">
        <v>6502603</v>
      </c>
      <c r="B86" s="116">
        <v>190220</v>
      </c>
      <c r="C86" s="117" t="s">
        <v>2064</v>
      </c>
      <c r="D86" s="116">
        <v>9525</v>
      </c>
      <c r="E86" s="116">
        <v>1730</v>
      </c>
      <c r="F86" s="116" t="s">
        <v>2030</v>
      </c>
    </row>
    <row r="87" spans="1:6" ht="13.2">
      <c r="A87" s="116">
        <v>65029</v>
      </c>
      <c r="B87" s="116">
        <v>190220</v>
      </c>
      <c r="C87" s="117" t="s">
        <v>2065</v>
      </c>
      <c r="D87" s="116">
        <v>9525</v>
      </c>
      <c r="E87" s="116">
        <v>1730</v>
      </c>
      <c r="F87" s="116" t="s">
        <v>2030</v>
      </c>
    </row>
    <row r="88" spans="1:6" ht="13.2">
      <c r="A88" s="116">
        <v>6503401</v>
      </c>
      <c r="B88" s="116">
        <v>190211</v>
      </c>
      <c r="C88" s="117" t="s">
        <v>2066</v>
      </c>
      <c r="D88" s="116">
        <v>1368</v>
      </c>
      <c r="E88" s="116">
        <v>1730</v>
      </c>
      <c r="F88" s="116" t="s">
        <v>2030</v>
      </c>
    </row>
    <row r="89" spans="1:6" ht="13.2">
      <c r="A89" s="116">
        <v>6503601</v>
      </c>
      <c r="B89" s="116">
        <v>120810</v>
      </c>
      <c r="C89" s="117" t="s">
        <v>2067</v>
      </c>
      <c r="D89" s="116">
        <v>3240</v>
      </c>
      <c r="E89" s="116">
        <v>2000</v>
      </c>
      <c r="F89" s="116" t="s">
        <v>1979</v>
      </c>
    </row>
    <row r="90" spans="1:6" ht="13.2">
      <c r="A90" s="116">
        <v>6503603</v>
      </c>
      <c r="B90" s="116">
        <v>120810</v>
      </c>
      <c r="C90" s="117" t="s">
        <v>2068</v>
      </c>
      <c r="D90" s="116">
        <v>4100</v>
      </c>
      <c r="E90" s="116">
        <v>2256</v>
      </c>
      <c r="F90" s="116" t="s">
        <v>1979</v>
      </c>
    </row>
    <row r="91" spans="1:6" ht="13.2">
      <c r="A91" s="116">
        <v>6503604</v>
      </c>
      <c r="B91" s="116">
        <v>120810</v>
      </c>
      <c r="C91" s="117" t="s">
        <v>2069</v>
      </c>
      <c r="D91" s="116">
        <v>3240</v>
      </c>
      <c r="E91" s="116">
        <v>586</v>
      </c>
      <c r="F91" s="116" t="s">
        <v>1979</v>
      </c>
    </row>
    <row r="92" spans="1:6" ht="13.2">
      <c r="A92" s="116">
        <v>6503605</v>
      </c>
      <c r="B92" s="116">
        <v>120810</v>
      </c>
      <c r="C92" s="117" t="s">
        <v>2070</v>
      </c>
      <c r="D92" s="116">
        <v>4900</v>
      </c>
      <c r="E92" s="116">
        <v>3855</v>
      </c>
      <c r="F92" s="116" t="s">
        <v>1979</v>
      </c>
    </row>
    <row r="93" spans="1:6" ht="13.2">
      <c r="A93" s="116">
        <v>65037</v>
      </c>
      <c r="B93" s="116">
        <v>120220</v>
      </c>
      <c r="C93" s="117" t="s">
        <v>2071</v>
      </c>
      <c r="D93" s="116">
        <v>1333</v>
      </c>
      <c r="E93" s="116">
        <v>2704</v>
      </c>
      <c r="F93" s="116" t="s">
        <v>1979</v>
      </c>
    </row>
    <row r="94" spans="1:6" ht="13.2">
      <c r="A94" s="116">
        <v>6503702</v>
      </c>
      <c r="B94" s="116">
        <v>120220</v>
      </c>
      <c r="C94" s="117" t="s">
        <v>2072</v>
      </c>
      <c r="D94" s="116">
        <v>1333</v>
      </c>
      <c r="E94" s="116">
        <v>2704</v>
      </c>
      <c r="F94" s="116" t="s">
        <v>1979</v>
      </c>
    </row>
    <row r="95" spans="1:6" ht="13.2">
      <c r="A95" s="116">
        <v>6504101</v>
      </c>
      <c r="B95" s="116">
        <v>190410</v>
      </c>
      <c r="C95" s="117" t="s">
        <v>2073</v>
      </c>
      <c r="D95" s="116">
        <v>2903</v>
      </c>
      <c r="E95" s="116">
        <v>1772</v>
      </c>
      <c r="F95" s="116" t="s">
        <v>2027</v>
      </c>
    </row>
    <row r="96" spans="1:6" ht="13.2">
      <c r="A96" s="116">
        <v>6504601</v>
      </c>
      <c r="B96" s="116">
        <v>190410</v>
      </c>
      <c r="C96" s="117" t="s">
        <v>2074</v>
      </c>
      <c r="D96" s="116">
        <v>2903</v>
      </c>
      <c r="E96" s="116">
        <v>1772</v>
      </c>
      <c r="F96" s="116" t="s">
        <v>2027</v>
      </c>
    </row>
    <row r="97" spans="1:6" ht="13.2">
      <c r="A97" s="116">
        <v>6504701</v>
      </c>
      <c r="B97" s="116">
        <v>190420</v>
      </c>
      <c r="C97" s="117" t="s">
        <v>2075</v>
      </c>
      <c r="D97" s="116">
        <v>2903</v>
      </c>
      <c r="E97" s="116">
        <v>1772</v>
      </c>
      <c r="F97" s="116" t="s">
        <v>2027</v>
      </c>
    </row>
    <row r="98" spans="1:6" ht="13.2">
      <c r="A98" s="116">
        <v>6504801</v>
      </c>
      <c r="B98" s="116">
        <v>190230</v>
      </c>
      <c r="C98" s="117" t="s">
        <v>2076</v>
      </c>
      <c r="D98" s="116">
        <v>2421</v>
      </c>
      <c r="E98" s="116">
        <v>1730</v>
      </c>
      <c r="F98" s="116" t="s">
        <v>2030</v>
      </c>
    </row>
    <row r="99" spans="1:6" ht="13.2">
      <c r="A99" s="116">
        <v>6504802</v>
      </c>
      <c r="B99" s="116">
        <v>190230</v>
      </c>
      <c r="C99" s="117" t="s">
        <v>2077</v>
      </c>
      <c r="D99" s="116">
        <v>2421</v>
      </c>
      <c r="E99" s="116">
        <v>1730</v>
      </c>
      <c r="F99" s="116" t="s">
        <v>2030</v>
      </c>
    </row>
    <row r="100" spans="1:6" ht="13.2">
      <c r="A100" s="116">
        <v>6505101</v>
      </c>
      <c r="B100" s="116">
        <v>220290</v>
      </c>
      <c r="C100" s="117" t="s">
        <v>2078</v>
      </c>
      <c r="D100" s="116">
        <v>794</v>
      </c>
      <c r="E100" s="116">
        <v>1519</v>
      </c>
      <c r="F100" s="116" t="s">
        <v>2079</v>
      </c>
    </row>
    <row r="101" spans="1:6" ht="13.2">
      <c r="A101" s="116">
        <v>6505601</v>
      </c>
      <c r="B101" s="116">
        <v>120810</v>
      </c>
      <c r="C101" s="117" t="s">
        <v>2080</v>
      </c>
      <c r="D101" s="116">
        <v>2400</v>
      </c>
      <c r="E101" s="116">
        <v>2256</v>
      </c>
      <c r="F101" s="116" t="s">
        <v>1979</v>
      </c>
    </row>
    <row r="102" spans="1:6" ht="13.2">
      <c r="A102" s="116">
        <v>6505603</v>
      </c>
      <c r="B102" s="116">
        <v>120810</v>
      </c>
      <c r="C102" s="117" t="s">
        <v>2081</v>
      </c>
      <c r="D102" s="116">
        <v>3240</v>
      </c>
      <c r="E102" s="116">
        <v>2256</v>
      </c>
      <c r="F102" s="116" t="s">
        <v>1979</v>
      </c>
    </row>
    <row r="103" spans="1:6" ht="13.2">
      <c r="A103" s="116">
        <v>6505701</v>
      </c>
      <c r="B103" s="116">
        <v>220290</v>
      </c>
      <c r="C103" s="117" t="s">
        <v>2082</v>
      </c>
      <c r="D103" s="116">
        <v>794</v>
      </c>
      <c r="E103" s="116">
        <v>1519</v>
      </c>
      <c r="F103" s="116" t="s">
        <v>2079</v>
      </c>
    </row>
    <row r="104" spans="1:6" ht="13.2">
      <c r="A104" s="116">
        <v>6505902</v>
      </c>
      <c r="B104" s="116">
        <v>190410</v>
      </c>
      <c r="C104" s="117" t="s">
        <v>2083</v>
      </c>
      <c r="D104" s="116">
        <v>2903</v>
      </c>
      <c r="E104" s="116">
        <v>1772</v>
      </c>
      <c r="F104" s="116" t="s">
        <v>2027</v>
      </c>
    </row>
    <row r="105" spans="1:6" ht="13.2">
      <c r="A105" s="116">
        <v>6506003</v>
      </c>
      <c r="B105" s="116">
        <v>190590</v>
      </c>
      <c r="C105" s="117" t="s">
        <v>2084</v>
      </c>
      <c r="D105" s="116">
        <v>3800</v>
      </c>
      <c r="E105" s="116">
        <v>1270</v>
      </c>
      <c r="F105" s="116" t="s">
        <v>2062</v>
      </c>
    </row>
    <row r="106" spans="1:6" ht="13.2">
      <c r="A106" s="116">
        <v>6506302</v>
      </c>
      <c r="B106" s="116">
        <v>190230</v>
      </c>
      <c r="C106" s="117" t="s">
        <v>2085</v>
      </c>
      <c r="D106" s="116">
        <v>2421</v>
      </c>
      <c r="E106" s="116">
        <v>1730</v>
      </c>
      <c r="F106" s="116" t="s">
        <v>2030</v>
      </c>
    </row>
    <row r="107" spans="1:6" ht="13.2">
      <c r="A107" s="116">
        <v>6506401</v>
      </c>
      <c r="B107" s="116">
        <v>120810</v>
      </c>
      <c r="C107" s="117" t="s">
        <v>2086</v>
      </c>
      <c r="D107" s="116">
        <v>3240</v>
      </c>
      <c r="E107" s="116">
        <v>2256</v>
      </c>
      <c r="F107" s="116" t="s">
        <v>1979</v>
      </c>
    </row>
    <row r="108" spans="1:6" ht="13.2">
      <c r="A108" s="116">
        <v>6600101</v>
      </c>
      <c r="B108" s="116">
        <v>80119</v>
      </c>
      <c r="C108" s="117" t="s">
        <v>2087</v>
      </c>
      <c r="D108" s="116">
        <v>1853</v>
      </c>
      <c r="E108" s="116">
        <v>928</v>
      </c>
      <c r="F108" s="116" t="s">
        <v>2088</v>
      </c>
    </row>
    <row r="109" spans="1:6" ht="13.2">
      <c r="A109" s="116">
        <v>66002</v>
      </c>
      <c r="B109" s="116">
        <v>80111</v>
      </c>
      <c r="C109" s="117" t="s">
        <v>660</v>
      </c>
      <c r="D109" s="116">
        <v>1853</v>
      </c>
      <c r="E109" s="116">
        <v>928</v>
      </c>
      <c r="F109" s="116" t="s">
        <v>2088</v>
      </c>
    </row>
    <row r="110" spans="1:6" ht="13.2">
      <c r="A110" s="116">
        <v>6600301</v>
      </c>
      <c r="B110" s="116">
        <v>80240</v>
      </c>
      <c r="C110" s="117" t="s">
        <v>2089</v>
      </c>
      <c r="D110" s="116">
        <v>2296</v>
      </c>
      <c r="E110" s="116">
        <v>10841</v>
      </c>
      <c r="F110" s="116" t="s">
        <v>2090</v>
      </c>
    </row>
    <row r="111" spans="1:6" ht="13.2">
      <c r="A111" s="116">
        <v>6600401</v>
      </c>
      <c r="B111" s="116">
        <v>80290</v>
      </c>
      <c r="C111" s="117" t="s">
        <v>1548</v>
      </c>
      <c r="D111" s="116">
        <v>2296</v>
      </c>
      <c r="E111" s="116">
        <v>10841</v>
      </c>
      <c r="F111" s="116" t="s">
        <v>2090</v>
      </c>
    </row>
    <row r="112" spans="1:6" ht="13.2">
      <c r="A112" s="116">
        <v>6600501</v>
      </c>
      <c r="B112" s="116">
        <v>80212</v>
      </c>
      <c r="C112" s="117" t="s">
        <v>2091</v>
      </c>
      <c r="D112" s="116">
        <v>2670</v>
      </c>
      <c r="E112" s="116">
        <v>10841</v>
      </c>
      <c r="F112" s="116" t="s">
        <v>2090</v>
      </c>
    </row>
    <row r="113" spans="1:6" ht="13.2">
      <c r="A113" s="116">
        <v>6600601</v>
      </c>
      <c r="B113" s="116">
        <v>80222</v>
      </c>
      <c r="C113" s="117" t="s">
        <v>2092</v>
      </c>
      <c r="D113" s="116">
        <v>2296</v>
      </c>
      <c r="E113" s="116">
        <v>10841</v>
      </c>
      <c r="F113" s="116" t="s">
        <v>2090</v>
      </c>
    </row>
    <row r="114" spans="1:6" ht="13.2">
      <c r="A114" s="116">
        <v>6600701</v>
      </c>
      <c r="B114" s="116">
        <v>80121</v>
      </c>
      <c r="C114" s="117" t="s">
        <v>2093</v>
      </c>
      <c r="D114" s="116">
        <v>1853</v>
      </c>
      <c r="E114" s="116">
        <v>9070</v>
      </c>
      <c r="F114" s="116" t="s">
        <v>2088</v>
      </c>
    </row>
    <row r="115" spans="1:6" ht="13.2">
      <c r="A115" s="116">
        <v>6600801</v>
      </c>
      <c r="B115" s="116">
        <v>80131</v>
      </c>
      <c r="C115" s="117" t="s">
        <v>2094</v>
      </c>
      <c r="D115" s="116">
        <v>1853</v>
      </c>
      <c r="E115" s="116">
        <v>33495</v>
      </c>
      <c r="F115" s="116" t="s">
        <v>2088</v>
      </c>
    </row>
    <row r="116" spans="1:6" ht="13.2">
      <c r="A116" s="116">
        <v>6600912</v>
      </c>
      <c r="B116" s="116">
        <v>80112</v>
      </c>
      <c r="C116" s="117" t="s">
        <v>2095</v>
      </c>
      <c r="D116" s="116">
        <v>1853</v>
      </c>
      <c r="E116" s="116">
        <v>928</v>
      </c>
      <c r="F116" s="116" t="s">
        <v>2088</v>
      </c>
    </row>
    <row r="117" spans="1:6" ht="13.2">
      <c r="A117" s="116">
        <v>6601108</v>
      </c>
      <c r="B117" s="116">
        <v>80112</v>
      </c>
      <c r="C117" s="117" t="s">
        <v>2096</v>
      </c>
      <c r="D117" s="116">
        <v>1853</v>
      </c>
      <c r="E117" s="116">
        <v>928</v>
      </c>
      <c r="F117" s="116" t="s">
        <v>2088</v>
      </c>
    </row>
    <row r="118" spans="1:6" ht="13.2">
      <c r="A118" s="116">
        <v>6601208</v>
      </c>
      <c r="B118" s="116">
        <v>80112</v>
      </c>
      <c r="C118" s="117" t="s">
        <v>2097</v>
      </c>
      <c r="D118" s="116">
        <v>1853</v>
      </c>
      <c r="E118" s="116">
        <v>928</v>
      </c>
      <c r="F118" s="116" t="s">
        <v>2088</v>
      </c>
    </row>
    <row r="119" spans="1:6" ht="13.2">
      <c r="A119" s="116">
        <v>6601501</v>
      </c>
      <c r="B119" s="116">
        <v>80232</v>
      </c>
      <c r="C119" s="117" t="s">
        <v>2098</v>
      </c>
      <c r="D119" s="116">
        <v>1631</v>
      </c>
      <c r="E119" s="116">
        <v>10841</v>
      </c>
      <c r="F119" s="116" t="s">
        <v>2090</v>
      </c>
    </row>
    <row r="120" spans="1:6" ht="13.2">
      <c r="A120" s="116">
        <v>6601707</v>
      </c>
      <c r="B120" s="116">
        <v>80112</v>
      </c>
      <c r="C120" s="117" t="s">
        <v>2099</v>
      </c>
      <c r="D120" s="116">
        <v>1853</v>
      </c>
      <c r="E120" s="116">
        <v>928</v>
      </c>
      <c r="F120" s="116" t="s">
        <v>2088</v>
      </c>
    </row>
    <row r="121" spans="1:6" ht="13.2">
      <c r="A121" s="116">
        <v>6601709</v>
      </c>
      <c r="B121" s="116">
        <v>80112</v>
      </c>
      <c r="C121" s="117" t="s">
        <v>2100</v>
      </c>
      <c r="D121" s="116">
        <v>1853</v>
      </c>
      <c r="E121" s="116">
        <v>928</v>
      </c>
      <c r="F121" s="116" t="s">
        <v>2088</v>
      </c>
    </row>
    <row r="122" spans="1:6" ht="13.2">
      <c r="A122" s="116">
        <v>6601712</v>
      </c>
      <c r="B122" s="116">
        <v>80112</v>
      </c>
      <c r="C122" s="117" t="s">
        <v>2101</v>
      </c>
      <c r="D122" s="116">
        <v>1853</v>
      </c>
      <c r="E122" s="116">
        <v>928</v>
      </c>
      <c r="F122" s="116" t="s">
        <v>2088</v>
      </c>
    </row>
    <row r="123" spans="1:6" ht="13.2">
      <c r="A123" s="116">
        <v>6601805</v>
      </c>
      <c r="B123" s="116">
        <v>80112</v>
      </c>
      <c r="C123" s="117" t="s">
        <v>2102</v>
      </c>
      <c r="D123" s="116">
        <v>1853</v>
      </c>
      <c r="E123" s="116">
        <v>928</v>
      </c>
      <c r="F123" s="116" t="s">
        <v>2088</v>
      </c>
    </row>
    <row r="124" spans="1:6" ht="13.2">
      <c r="A124" s="116">
        <v>6601902</v>
      </c>
      <c r="B124" s="116">
        <v>80112</v>
      </c>
      <c r="C124" s="117" t="s">
        <v>2103</v>
      </c>
      <c r="D124" s="116">
        <v>1853</v>
      </c>
      <c r="E124" s="116">
        <v>928</v>
      </c>
      <c r="F124" s="116" t="s">
        <v>2088</v>
      </c>
    </row>
    <row r="125" spans="1:6" ht="13.2">
      <c r="A125" s="116">
        <v>6601904</v>
      </c>
      <c r="B125" s="116">
        <v>80112</v>
      </c>
      <c r="C125" s="117" t="s">
        <v>2104</v>
      </c>
      <c r="D125" s="116">
        <v>1853</v>
      </c>
      <c r="E125" s="116">
        <v>928</v>
      </c>
      <c r="F125" s="116" t="s">
        <v>2088</v>
      </c>
    </row>
    <row r="126" spans="1:6" ht="13.2">
      <c r="A126" s="116">
        <v>6602001</v>
      </c>
      <c r="B126" s="116">
        <v>80112</v>
      </c>
      <c r="C126" s="117" t="s">
        <v>2105</v>
      </c>
      <c r="D126" s="116">
        <v>1853</v>
      </c>
      <c r="E126" s="116">
        <v>928</v>
      </c>
      <c r="F126" s="116" t="s">
        <v>2088</v>
      </c>
    </row>
    <row r="127" spans="1:6" ht="13.2">
      <c r="A127" s="116">
        <v>6602201</v>
      </c>
      <c r="B127" s="116">
        <v>80250</v>
      </c>
      <c r="C127" s="117" t="s">
        <v>2106</v>
      </c>
      <c r="D127" s="116">
        <v>3830</v>
      </c>
      <c r="E127" s="116">
        <v>10841</v>
      </c>
      <c r="F127" s="116" t="s">
        <v>2090</v>
      </c>
    </row>
    <row r="128" spans="1:6" ht="13.2">
      <c r="A128" s="116">
        <v>6602301</v>
      </c>
      <c r="B128" s="116">
        <v>80112</v>
      </c>
      <c r="C128" s="117" t="s">
        <v>2107</v>
      </c>
      <c r="D128" s="116">
        <v>1853</v>
      </c>
      <c r="E128" s="116">
        <v>928</v>
      </c>
      <c r="F128" s="116" t="s">
        <v>2088</v>
      </c>
    </row>
    <row r="129" spans="1:6" ht="13.2">
      <c r="A129" s="116">
        <v>6602401</v>
      </c>
      <c r="B129" s="116">
        <v>80119</v>
      </c>
      <c r="C129" s="117" t="s">
        <v>669</v>
      </c>
      <c r="D129" s="116">
        <v>1853</v>
      </c>
      <c r="E129" s="116">
        <v>928</v>
      </c>
      <c r="F129" s="116" t="s">
        <v>2088</v>
      </c>
    </row>
    <row r="130" spans="1:6" ht="13.2">
      <c r="A130" s="116">
        <v>6602601</v>
      </c>
      <c r="B130" s="116">
        <v>80112</v>
      </c>
      <c r="C130" s="117" t="s">
        <v>2108</v>
      </c>
      <c r="D130" s="116">
        <v>1853</v>
      </c>
      <c r="E130" s="116">
        <v>928</v>
      </c>
      <c r="F130" s="116" t="s">
        <v>2088</v>
      </c>
    </row>
    <row r="131" spans="1:6" ht="13.2">
      <c r="A131" s="116">
        <v>6700101</v>
      </c>
      <c r="B131" s="116">
        <v>70519</v>
      </c>
      <c r="C131" s="117" t="s">
        <v>2109</v>
      </c>
      <c r="D131" s="116">
        <v>337</v>
      </c>
      <c r="E131" s="116">
        <v>416</v>
      </c>
      <c r="F131" s="116" t="s">
        <v>2110</v>
      </c>
    </row>
    <row r="132" spans="1:6" ht="13.2">
      <c r="A132" s="116">
        <v>6700201</v>
      </c>
      <c r="B132" s="116">
        <v>70999</v>
      </c>
      <c r="C132" s="117" t="s">
        <v>2111</v>
      </c>
      <c r="D132" s="116">
        <v>198</v>
      </c>
      <c r="E132" s="116">
        <v>799</v>
      </c>
      <c r="F132" s="116" t="s">
        <v>2112</v>
      </c>
    </row>
    <row r="133" spans="1:6" ht="13.2">
      <c r="A133" s="116">
        <v>6700301</v>
      </c>
      <c r="B133" s="116">
        <v>70519</v>
      </c>
      <c r="C133" s="117" t="s">
        <v>2113</v>
      </c>
      <c r="D133" s="116">
        <v>337</v>
      </c>
      <c r="E133" s="116">
        <v>416</v>
      </c>
      <c r="F133" s="116" t="s">
        <v>1831</v>
      </c>
    </row>
    <row r="134" spans="1:6" ht="13.2">
      <c r="A134" s="116">
        <v>6700304</v>
      </c>
      <c r="B134" s="116">
        <v>70529</v>
      </c>
      <c r="C134" s="117" t="s">
        <v>2114</v>
      </c>
      <c r="D134" s="116">
        <v>337</v>
      </c>
      <c r="E134" s="116">
        <v>416</v>
      </c>
      <c r="F134" s="116" t="s">
        <v>1831</v>
      </c>
    </row>
    <row r="135" spans="1:6" ht="13.2">
      <c r="A135" s="116">
        <v>6700501</v>
      </c>
      <c r="B135" s="116">
        <v>70421</v>
      </c>
      <c r="C135" s="117" t="s">
        <v>2115</v>
      </c>
      <c r="D135" s="116">
        <v>349</v>
      </c>
      <c r="E135" s="116">
        <v>799</v>
      </c>
      <c r="F135" s="116" t="s">
        <v>2112</v>
      </c>
    </row>
    <row r="136" spans="1:6" ht="13.2">
      <c r="A136" s="116">
        <v>6700601</v>
      </c>
      <c r="B136" s="116">
        <v>70410</v>
      </c>
      <c r="C136" s="117" t="s">
        <v>717</v>
      </c>
      <c r="D136" s="116">
        <v>308</v>
      </c>
      <c r="E136" s="116">
        <v>799</v>
      </c>
      <c r="F136" s="116" t="s">
        <v>2116</v>
      </c>
    </row>
    <row r="137" spans="1:6" ht="13.2">
      <c r="A137" s="116">
        <v>6700701</v>
      </c>
      <c r="B137" s="116">
        <v>70970</v>
      </c>
      <c r="C137" s="117" t="s">
        <v>2117</v>
      </c>
      <c r="D137" s="116">
        <v>198</v>
      </c>
      <c r="E137" s="116">
        <v>799</v>
      </c>
      <c r="F137" s="116" t="s">
        <v>2112</v>
      </c>
    </row>
    <row r="138" spans="1:6" ht="13.2">
      <c r="A138" s="116">
        <v>6700801</v>
      </c>
      <c r="B138" s="116">
        <v>70490</v>
      </c>
      <c r="C138" s="117" t="s">
        <v>2118</v>
      </c>
      <c r="D138" s="116">
        <v>107</v>
      </c>
      <c r="E138" s="116">
        <v>799</v>
      </c>
      <c r="F138" s="116" t="s">
        <v>2119</v>
      </c>
    </row>
    <row r="139" spans="1:6" ht="13.2">
      <c r="A139" s="116">
        <v>6700901</v>
      </c>
      <c r="B139" s="116">
        <v>70490</v>
      </c>
      <c r="C139" s="117" t="s">
        <v>2120</v>
      </c>
      <c r="D139" s="116">
        <v>107</v>
      </c>
      <c r="E139" s="116">
        <v>799</v>
      </c>
      <c r="F139" s="116" t="s">
        <v>2119</v>
      </c>
    </row>
    <row r="140" spans="1:6" ht="13.2">
      <c r="A140" s="116">
        <v>67010</v>
      </c>
      <c r="B140" s="116">
        <v>70490</v>
      </c>
      <c r="C140" s="117" t="s">
        <v>1449</v>
      </c>
      <c r="D140" s="116">
        <v>337</v>
      </c>
      <c r="E140" s="116">
        <v>416</v>
      </c>
      <c r="F140" s="116" t="s">
        <v>1831</v>
      </c>
    </row>
    <row r="141" spans="1:6" ht="13.2">
      <c r="A141" s="116">
        <v>6701101</v>
      </c>
      <c r="B141" s="116">
        <v>70390</v>
      </c>
      <c r="C141" s="117" t="s">
        <v>2121</v>
      </c>
      <c r="D141" s="116">
        <v>209</v>
      </c>
      <c r="E141" s="116">
        <v>1623</v>
      </c>
      <c r="F141" s="116" t="s">
        <v>2116</v>
      </c>
    </row>
    <row r="142" spans="1:6" ht="13.2">
      <c r="A142" s="116">
        <v>6701301</v>
      </c>
      <c r="B142" s="116">
        <v>70490</v>
      </c>
      <c r="C142" s="117" t="s">
        <v>2122</v>
      </c>
      <c r="D142" s="116">
        <v>107</v>
      </c>
      <c r="E142" s="116">
        <v>799</v>
      </c>
      <c r="F142" s="116" t="s">
        <v>2119</v>
      </c>
    </row>
    <row r="143" spans="1:6" ht="13.2">
      <c r="A143" s="116">
        <v>6701401</v>
      </c>
      <c r="B143" s="116">
        <v>71490</v>
      </c>
      <c r="C143" s="117" t="s">
        <v>2123</v>
      </c>
      <c r="D143" s="116">
        <v>77</v>
      </c>
      <c r="E143" s="116">
        <v>486</v>
      </c>
      <c r="F143" s="116" t="s">
        <v>2006</v>
      </c>
    </row>
    <row r="144" spans="1:6" ht="13.2">
      <c r="A144" s="116">
        <v>6701501</v>
      </c>
      <c r="B144" s="116">
        <v>70519</v>
      </c>
      <c r="C144" s="117" t="s">
        <v>718</v>
      </c>
      <c r="D144" s="116">
        <v>337</v>
      </c>
      <c r="E144" s="116">
        <v>416</v>
      </c>
      <c r="F144" s="116" t="s">
        <v>1831</v>
      </c>
    </row>
    <row r="145" spans="1:6" ht="13.2">
      <c r="A145" s="116">
        <v>6701505</v>
      </c>
      <c r="B145" s="116">
        <v>70519</v>
      </c>
      <c r="C145" s="117" t="s">
        <v>2124</v>
      </c>
      <c r="D145" s="116">
        <v>337</v>
      </c>
      <c r="E145" s="116">
        <v>416</v>
      </c>
      <c r="F145" s="116" t="s">
        <v>1831</v>
      </c>
    </row>
    <row r="146" spans="1:6" ht="13.2">
      <c r="A146" s="116">
        <v>6701601</v>
      </c>
      <c r="B146" s="116">
        <v>70529</v>
      </c>
      <c r="C146" s="117" t="s">
        <v>2125</v>
      </c>
      <c r="D146" s="116">
        <v>337</v>
      </c>
      <c r="E146" s="116">
        <v>416</v>
      </c>
      <c r="F146" s="116" t="s">
        <v>1831</v>
      </c>
    </row>
    <row r="147" spans="1:6" ht="13.2">
      <c r="A147" s="116">
        <v>6701602</v>
      </c>
      <c r="B147" s="116">
        <v>70529</v>
      </c>
      <c r="C147" s="117" t="s">
        <v>2126</v>
      </c>
      <c r="D147" s="116">
        <v>337</v>
      </c>
      <c r="E147" s="116">
        <v>416</v>
      </c>
      <c r="F147" s="116" t="s">
        <v>1831</v>
      </c>
    </row>
    <row r="148" spans="1:6" ht="13.2">
      <c r="A148" s="116">
        <v>6701704</v>
      </c>
      <c r="B148" s="116">
        <v>70410</v>
      </c>
      <c r="C148" s="117" t="s">
        <v>716</v>
      </c>
      <c r="D148" s="116">
        <v>377</v>
      </c>
      <c r="E148" s="116">
        <v>799</v>
      </c>
      <c r="F148" s="116" t="s">
        <v>2020</v>
      </c>
    </row>
    <row r="149" spans="1:6" ht="13.2">
      <c r="A149" s="116">
        <v>6701801</v>
      </c>
      <c r="B149" s="116">
        <v>70490</v>
      </c>
      <c r="C149" s="117" t="s">
        <v>2127</v>
      </c>
      <c r="D149" s="116">
        <v>107</v>
      </c>
      <c r="E149" s="116">
        <v>799</v>
      </c>
      <c r="F149" s="116" t="s">
        <v>2119</v>
      </c>
    </row>
    <row r="150" spans="1:6" ht="13.2">
      <c r="A150" s="116">
        <v>6701901</v>
      </c>
      <c r="B150" s="116">
        <v>70490</v>
      </c>
      <c r="C150" s="117" t="s">
        <v>2128</v>
      </c>
      <c r="D150" s="116">
        <v>107</v>
      </c>
      <c r="E150" s="116">
        <v>799</v>
      </c>
      <c r="F150" s="116" t="s">
        <v>2119</v>
      </c>
    </row>
    <row r="151" spans="1:6" ht="13.2">
      <c r="A151" s="116">
        <v>6701906</v>
      </c>
      <c r="B151" s="116">
        <v>70490</v>
      </c>
      <c r="C151" s="117" t="s">
        <v>2129</v>
      </c>
      <c r="D151" s="116">
        <v>107</v>
      </c>
      <c r="E151" s="116">
        <v>799</v>
      </c>
      <c r="F151" s="116" t="s">
        <v>2119</v>
      </c>
    </row>
    <row r="152" spans="1:6" ht="13.2">
      <c r="A152" s="116">
        <v>6701907</v>
      </c>
      <c r="B152" s="116">
        <v>70490</v>
      </c>
      <c r="C152" s="117" t="s">
        <v>2130</v>
      </c>
      <c r="D152" s="116">
        <v>107</v>
      </c>
      <c r="E152" s="116">
        <v>799</v>
      </c>
      <c r="F152" s="116" t="s">
        <v>2119</v>
      </c>
    </row>
    <row r="153" spans="1:6" ht="13.2">
      <c r="A153" s="116">
        <v>6701913</v>
      </c>
      <c r="B153" s="116">
        <v>70490</v>
      </c>
      <c r="C153" s="117" t="s">
        <v>2131</v>
      </c>
      <c r="D153" s="116">
        <v>107</v>
      </c>
      <c r="E153" s="116">
        <v>799</v>
      </c>
      <c r="F153" s="116" t="s">
        <v>2119</v>
      </c>
    </row>
    <row r="154" spans="1:6" ht="13.2">
      <c r="A154" s="116">
        <v>6702001</v>
      </c>
      <c r="B154" s="116">
        <v>70490</v>
      </c>
      <c r="C154" s="117" t="s">
        <v>2132</v>
      </c>
      <c r="D154" s="116">
        <v>107</v>
      </c>
      <c r="E154" s="116">
        <v>799</v>
      </c>
      <c r="F154" s="116" t="s">
        <v>2119</v>
      </c>
    </row>
    <row r="155" spans="1:6" ht="13.2">
      <c r="A155" s="116">
        <v>6702105</v>
      </c>
      <c r="B155" s="116">
        <v>70490</v>
      </c>
      <c r="C155" s="117" t="s">
        <v>2133</v>
      </c>
      <c r="D155" s="116">
        <v>107</v>
      </c>
      <c r="E155" s="116">
        <v>799</v>
      </c>
      <c r="F155" s="116" t="s">
        <v>2119</v>
      </c>
    </row>
    <row r="156" spans="1:6" ht="13.2">
      <c r="A156" s="116">
        <v>6702201</v>
      </c>
      <c r="B156" s="116">
        <v>70490</v>
      </c>
      <c r="C156" s="117" t="s">
        <v>2134</v>
      </c>
      <c r="D156" s="116">
        <v>107</v>
      </c>
      <c r="E156" s="116">
        <v>799</v>
      </c>
      <c r="F156" s="116" t="s">
        <v>2119</v>
      </c>
    </row>
    <row r="157" spans="1:6" ht="13.2">
      <c r="A157" s="116">
        <v>6702301</v>
      </c>
      <c r="B157" s="116">
        <v>70910</v>
      </c>
      <c r="C157" s="117" t="s">
        <v>2135</v>
      </c>
      <c r="D157" s="116">
        <v>480</v>
      </c>
      <c r="E157" s="116">
        <v>799</v>
      </c>
      <c r="F157" s="116" t="s">
        <v>2020</v>
      </c>
    </row>
    <row r="158" spans="1:6" ht="13.2">
      <c r="A158" s="116">
        <v>6702501</v>
      </c>
      <c r="B158" s="116">
        <v>70490</v>
      </c>
      <c r="C158" s="117" t="s">
        <v>2136</v>
      </c>
      <c r="D158" s="116">
        <v>107</v>
      </c>
      <c r="E158" s="116">
        <v>799</v>
      </c>
      <c r="F158" s="116" t="s">
        <v>2119</v>
      </c>
    </row>
    <row r="159" spans="1:6" ht="13.2">
      <c r="A159" s="116">
        <v>6702604</v>
      </c>
      <c r="B159" s="116">
        <v>70519</v>
      </c>
      <c r="C159" s="117" t="s">
        <v>2137</v>
      </c>
      <c r="D159" s="116">
        <v>337</v>
      </c>
      <c r="E159" s="116">
        <v>416</v>
      </c>
      <c r="F159" s="116" t="s">
        <v>2020</v>
      </c>
    </row>
    <row r="160" spans="1:6" ht="13.2">
      <c r="A160" s="116">
        <v>6702801</v>
      </c>
      <c r="B160" s="116">
        <v>70519</v>
      </c>
      <c r="C160" s="117" t="s">
        <v>2138</v>
      </c>
      <c r="D160" s="116">
        <v>337</v>
      </c>
      <c r="E160" s="116">
        <v>416</v>
      </c>
      <c r="F160" s="116" t="s">
        <v>1831</v>
      </c>
    </row>
    <row r="161" spans="1:6" ht="13.2">
      <c r="A161" s="116">
        <v>6703003</v>
      </c>
      <c r="B161" s="116">
        <v>70519</v>
      </c>
      <c r="C161" s="117" t="s">
        <v>2139</v>
      </c>
      <c r="D161" s="116">
        <v>337</v>
      </c>
      <c r="E161" s="116">
        <v>416</v>
      </c>
      <c r="F161" s="116" t="s">
        <v>1831</v>
      </c>
    </row>
    <row r="162" spans="1:6" ht="13.2">
      <c r="A162" s="116">
        <v>6703004</v>
      </c>
      <c r="B162" s="116">
        <v>70519</v>
      </c>
      <c r="C162" s="117" t="s">
        <v>2140</v>
      </c>
      <c r="D162" s="116">
        <v>337</v>
      </c>
      <c r="E162" s="116">
        <v>416</v>
      </c>
      <c r="F162" s="116" t="s">
        <v>1831</v>
      </c>
    </row>
    <row r="163" spans="1:6" ht="13.2">
      <c r="A163" s="116">
        <v>6703101</v>
      </c>
      <c r="B163" s="116">
        <v>70999</v>
      </c>
      <c r="C163" s="117" t="s">
        <v>2141</v>
      </c>
      <c r="D163" s="116">
        <v>335</v>
      </c>
      <c r="E163" s="116">
        <v>799</v>
      </c>
      <c r="F163" s="116" t="s">
        <v>2020</v>
      </c>
    </row>
    <row r="164" spans="1:6" ht="13.2">
      <c r="A164" s="116">
        <v>6703306</v>
      </c>
      <c r="B164" s="116">
        <v>70993</v>
      </c>
      <c r="C164" s="117" t="s">
        <v>2142</v>
      </c>
      <c r="D164" s="116">
        <v>461</v>
      </c>
      <c r="E164" s="116">
        <v>799</v>
      </c>
      <c r="F164" s="116" t="s">
        <v>2020</v>
      </c>
    </row>
    <row r="165" spans="1:6" ht="13.2">
      <c r="A165" s="116">
        <v>6703701</v>
      </c>
      <c r="B165" s="116">
        <v>70993</v>
      </c>
      <c r="C165" s="117" t="s">
        <v>2143</v>
      </c>
      <c r="D165" s="116">
        <v>168</v>
      </c>
      <c r="E165" s="116">
        <v>799</v>
      </c>
      <c r="F165" s="116" t="s">
        <v>2020</v>
      </c>
    </row>
    <row r="166" spans="1:6" ht="13.2">
      <c r="A166" s="116">
        <v>6703805</v>
      </c>
      <c r="B166" s="116">
        <v>70993</v>
      </c>
      <c r="C166" s="117" t="s">
        <v>2144</v>
      </c>
      <c r="D166" s="116">
        <v>335</v>
      </c>
      <c r="E166" s="116">
        <v>799</v>
      </c>
      <c r="F166" s="116" t="s">
        <v>2020</v>
      </c>
    </row>
    <row r="167" spans="1:6" ht="13.2">
      <c r="A167" s="116">
        <v>6703901</v>
      </c>
      <c r="B167" s="116">
        <v>70993</v>
      </c>
      <c r="C167" s="117" t="s">
        <v>1716</v>
      </c>
      <c r="D167" s="116">
        <v>335</v>
      </c>
      <c r="E167" s="116">
        <v>799</v>
      </c>
      <c r="F167" s="116" t="s">
        <v>2020</v>
      </c>
    </row>
    <row r="168" spans="1:6" ht="13.2">
      <c r="A168" s="116">
        <v>6704001</v>
      </c>
      <c r="B168" s="116">
        <v>70700</v>
      </c>
      <c r="C168" s="117" t="s">
        <v>2145</v>
      </c>
      <c r="D168" s="116">
        <v>327</v>
      </c>
      <c r="E168" s="116">
        <v>799</v>
      </c>
      <c r="F168" s="116" t="s">
        <v>2006</v>
      </c>
    </row>
    <row r="169" spans="1:6" ht="13.2">
      <c r="A169" s="116">
        <v>6704101</v>
      </c>
      <c r="B169" s="116">
        <v>70999</v>
      </c>
      <c r="C169" s="117" t="s">
        <v>1712</v>
      </c>
      <c r="D169" s="116">
        <v>335</v>
      </c>
      <c r="E169" s="116">
        <v>799</v>
      </c>
      <c r="F169" s="116" t="s">
        <v>2020</v>
      </c>
    </row>
    <row r="170" spans="1:6" ht="13.2">
      <c r="A170" s="116">
        <v>6704201</v>
      </c>
      <c r="B170" s="116">
        <v>70930</v>
      </c>
      <c r="C170" s="117" t="s">
        <v>2146</v>
      </c>
      <c r="D170" s="116">
        <v>350</v>
      </c>
      <c r="E170" s="116">
        <v>799</v>
      </c>
      <c r="F170" s="116" t="s">
        <v>2020</v>
      </c>
    </row>
    <row r="171" spans="1:6" ht="13.2">
      <c r="A171" s="116">
        <v>6704301</v>
      </c>
      <c r="B171" s="116">
        <v>70999</v>
      </c>
      <c r="C171" s="117" t="s">
        <v>2147</v>
      </c>
      <c r="D171" s="116">
        <v>335</v>
      </c>
      <c r="E171" s="116">
        <v>799</v>
      </c>
      <c r="F171" s="116" t="s">
        <v>2020</v>
      </c>
    </row>
    <row r="172" spans="1:6" ht="13.2">
      <c r="A172" s="116">
        <v>6704306</v>
      </c>
      <c r="B172" s="116">
        <v>70999</v>
      </c>
      <c r="C172" s="117" t="s">
        <v>2148</v>
      </c>
      <c r="D172" s="116">
        <v>335</v>
      </c>
      <c r="E172" s="116">
        <v>799</v>
      </c>
      <c r="F172" s="116" t="s">
        <v>2020</v>
      </c>
    </row>
    <row r="173" spans="1:6" ht="13.2">
      <c r="A173" s="116">
        <v>6704401</v>
      </c>
      <c r="B173" s="116">
        <v>71080</v>
      </c>
      <c r="C173" s="117" t="s">
        <v>2149</v>
      </c>
      <c r="D173" s="116">
        <v>810</v>
      </c>
      <c r="E173" s="116">
        <v>2397</v>
      </c>
      <c r="F173" s="116" t="s">
        <v>2038</v>
      </c>
    </row>
    <row r="174" spans="1:6" ht="13.2">
      <c r="A174" s="116">
        <v>6704409</v>
      </c>
      <c r="B174" s="116">
        <v>71080</v>
      </c>
      <c r="C174" s="117" t="s">
        <v>2150</v>
      </c>
      <c r="D174" s="116">
        <v>810</v>
      </c>
      <c r="E174" s="116">
        <v>2397</v>
      </c>
      <c r="F174" s="116" t="s">
        <v>2038</v>
      </c>
    </row>
    <row r="175" spans="1:6" ht="13.2">
      <c r="A175" s="116">
        <v>6704410</v>
      </c>
      <c r="B175" s="116">
        <v>71080</v>
      </c>
      <c r="C175" s="117" t="s">
        <v>2150</v>
      </c>
      <c r="D175" s="116">
        <v>810</v>
      </c>
      <c r="E175" s="116">
        <v>2397</v>
      </c>
      <c r="F175" s="116" t="s">
        <v>2038</v>
      </c>
    </row>
    <row r="176" spans="1:6" ht="13.2">
      <c r="A176" s="116">
        <v>6704501</v>
      </c>
      <c r="B176" s="116">
        <v>70960</v>
      </c>
      <c r="C176" s="117" t="s">
        <v>2151</v>
      </c>
      <c r="D176" s="116">
        <v>350</v>
      </c>
      <c r="E176" s="116">
        <v>799</v>
      </c>
      <c r="F176" s="116" t="s">
        <v>2020</v>
      </c>
    </row>
    <row r="177" spans="1:6" ht="13.2">
      <c r="A177" s="116">
        <v>67047</v>
      </c>
      <c r="B177" s="116">
        <v>70960</v>
      </c>
      <c r="C177" s="117" t="s">
        <v>2152</v>
      </c>
      <c r="D177" s="116">
        <v>350</v>
      </c>
      <c r="E177" s="116">
        <v>799</v>
      </c>
      <c r="F177" s="116" t="s">
        <v>2020</v>
      </c>
    </row>
    <row r="178" spans="1:6" ht="13.2">
      <c r="A178" s="116">
        <v>6705001</v>
      </c>
      <c r="B178" s="116">
        <v>70990</v>
      </c>
      <c r="C178" s="117" t="s">
        <v>1644</v>
      </c>
      <c r="D178" s="116">
        <v>335</v>
      </c>
      <c r="E178" s="116">
        <v>799</v>
      </c>
      <c r="F178" s="116" t="s">
        <v>2020</v>
      </c>
    </row>
    <row r="179" spans="1:6" ht="13.2">
      <c r="A179" s="116">
        <v>6705101</v>
      </c>
      <c r="B179" s="116">
        <v>70200</v>
      </c>
      <c r="C179" s="117" t="s">
        <v>658</v>
      </c>
      <c r="D179" s="116">
        <v>752</v>
      </c>
      <c r="E179" s="116">
        <v>80</v>
      </c>
      <c r="F179" s="116" t="s">
        <v>2153</v>
      </c>
    </row>
    <row r="180" spans="1:6" ht="13.2">
      <c r="A180" s="116">
        <v>6705201</v>
      </c>
      <c r="B180" s="116">
        <v>70820</v>
      </c>
      <c r="C180" s="117" t="s">
        <v>2154</v>
      </c>
      <c r="D180" s="116">
        <v>504</v>
      </c>
      <c r="E180" s="116">
        <v>834</v>
      </c>
      <c r="F180" s="116" t="s">
        <v>1981</v>
      </c>
    </row>
    <row r="181" spans="1:6" ht="13.2">
      <c r="A181" s="116">
        <v>6705301</v>
      </c>
      <c r="B181" s="116">
        <v>70959</v>
      </c>
      <c r="C181" s="117" t="s">
        <v>2155</v>
      </c>
      <c r="D181" s="116">
        <v>475</v>
      </c>
      <c r="E181" s="116">
        <v>799</v>
      </c>
      <c r="F181" s="116" t="s">
        <v>2020</v>
      </c>
    </row>
    <row r="182" spans="1:6" ht="13.2">
      <c r="A182" s="116">
        <v>6705401</v>
      </c>
      <c r="B182" s="116">
        <v>70930</v>
      </c>
      <c r="C182" s="117" t="s">
        <v>2156</v>
      </c>
      <c r="D182" s="116">
        <v>350</v>
      </c>
      <c r="E182" s="116">
        <v>799</v>
      </c>
      <c r="F182" s="116" t="s">
        <v>2020</v>
      </c>
    </row>
    <row r="183" spans="1:6" ht="13.2">
      <c r="A183" s="116">
        <v>6705501</v>
      </c>
      <c r="B183" s="116">
        <v>71310</v>
      </c>
      <c r="C183" s="117" t="s">
        <v>2157</v>
      </c>
      <c r="D183" s="116">
        <v>915</v>
      </c>
      <c r="E183" s="116">
        <v>3846</v>
      </c>
      <c r="F183" s="116" t="s">
        <v>1983</v>
      </c>
    </row>
    <row r="184" spans="1:6" ht="13.2">
      <c r="A184" s="116">
        <v>6705701</v>
      </c>
      <c r="B184" s="116">
        <v>70310</v>
      </c>
      <c r="C184" s="117" t="s">
        <v>651</v>
      </c>
      <c r="D184" s="116">
        <v>209</v>
      </c>
      <c r="E184" s="116">
        <v>465</v>
      </c>
      <c r="F184" s="116" t="s">
        <v>2116</v>
      </c>
    </row>
    <row r="185" spans="1:6" ht="13.2">
      <c r="A185" s="116">
        <v>6705801</v>
      </c>
      <c r="B185" s="116">
        <v>70490</v>
      </c>
      <c r="C185" s="117" t="s">
        <v>2158</v>
      </c>
      <c r="D185" s="116">
        <v>337</v>
      </c>
      <c r="E185" s="116">
        <v>416</v>
      </c>
      <c r="F185" s="116" t="s">
        <v>1831</v>
      </c>
    </row>
    <row r="186" spans="1:6" ht="13.2">
      <c r="A186" s="116">
        <v>6706101</v>
      </c>
      <c r="B186" s="116">
        <v>71090</v>
      </c>
      <c r="C186" s="117" t="s">
        <v>2159</v>
      </c>
      <c r="D186" s="116">
        <v>810</v>
      </c>
      <c r="E186" s="116">
        <v>2397</v>
      </c>
      <c r="F186" s="116" t="s">
        <v>2038</v>
      </c>
    </row>
    <row r="187" spans="1:6" ht="13.2">
      <c r="A187" s="116">
        <v>6706102</v>
      </c>
      <c r="B187" s="116">
        <v>200500</v>
      </c>
      <c r="C187" s="117" t="s">
        <v>2160</v>
      </c>
      <c r="D187" s="116">
        <v>1730</v>
      </c>
      <c r="E187" s="116">
        <v>1247</v>
      </c>
      <c r="F187" s="116" t="s">
        <v>2161</v>
      </c>
    </row>
    <row r="188" spans="1:6" ht="13.2">
      <c r="A188" s="116">
        <v>6706201</v>
      </c>
      <c r="B188" s="116">
        <v>70320</v>
      </c>
      <c r="C188" s="117" t="s">
        <v>655</v>
      </c>
      <c r="D188" s="116">
        <v>209</v>
      </c>
      <c r="E188" s="116">
        <v>2781</v>
      </c>
      <c r="F188" s="116" t="s">
        <v>2116</v>
      </c>
    </row>
    <row r="189" spans="1:6" ht="13.2">
      <c r="A189" s="116">
        <v>6706301</v>
      </c>
      <c r="B189" s="116">
        <v>70390</v>
      </c>
      <c r="C189" s="117" t="s">
        <v>1706</v>
      </c>
      <c r="D189" s="116">
        <v>209</v>
      </c>
      <c r="E189" s="116">
        <v>1623</v>
      </c>
      <c r="F189" s="116" t="s">
        <v>2119</v>
      </c>
    </row>
    <row r="190" spans="1:6" ht="13.2">
      <c r="A190" s="116">
        <v>6707301</v>
      </c>
      <c r="B190" s="116">
        <v>70999</v>
      </c>
      <c r="C190" s="117" t="s">
        <v>2162</v>
      </c>
      <c r="D190" s="116">
        <v>335</v>
      </c>
      <c r="E190" s="116">
        <v>799</v>
      </c>
      <c r="F190" s="116" t="s">
        <v>2020</v>
      </c>
    </row>
    <row r="191" spans="1:6" ht="13.2">
      <c r="A191" s="116">
        <v>6707801</v>
      </c>
      <c r="B191" s="116">
        <v>70519</v>
      </c>
      <c r="C191" s="117" t="s">
        <v>2163</v>
      </c>
      <c r="D191" s="116">
        <v>337</v>
      </c>
      <c r="E191" s="116">
        <v>416</v>
      </c>
      <c r="F191" s="116" t="s">
        <v>1831</v>
      </c>
    </row>
    <row r="192" spans="1:6" ht="13.2">
      <c r="A192" s="116">
        <v>6707901</v>
      </c>
      <c r="B192" s="116">
        <v>70200</v>
      </c>
      <c r="C192" s="117" t="s">
        <v>2164</v>
      </c>
      <c r="D192" s="116">
        <v>826</v>
      </c>
      <c r="E192" s="116">
        <v>442</v>
      </c>
      <c r="F192" s="116" t="s">
        <v>2153</v>
      </c>
    </row>
    <row r="193" spans="1:6" ht="13.2">
      <c r="A193" s="116">
        <v>6708001</v>
      </c>
      <c r="B193" s="116">
        <v>70960</v>
      </c>
      <c r="C193" s="117" t="s">
        <v>2165</v>
      </c>
      <c r="D193" s="116">
        <v>350</v>
      </c>
      <c r="E193" s="116">
        <v>799</v>
      </c>
      <c r="F193" s="116" t="s">
        <v>2020</v>
      </c>
    </row>
    <row r="194" spans="1:6" ht="13.2">
      <c r="A194" s="116">
        <v>6709701</v>
      </c>
      <c r="B194" s="116">
        <v>70519</v>
      </c>
      <c r="C194" s="117" t="s">
        <v>662</v>
      </c>
      <c r="D194" s="116">
        <v>337</v>
      </c>
      <c r="E194" s="116">
        <v>416</v>
      </c>
      <c r="F194" s="116" t="s">
        <v>1831</v>
      </c>
    </row>
    <row r="195" spans="1:6" ht="13.2">
      <c r="A195" s="116">
        <v>6801017</v>
      </c>
      <c r="B195" s="116">
        <v>80112</v>
      </c>
      <c r="C195" s="117" t="s">
        <v>2166</v>
      </c>
      <c r="D195" s="116">
        <v>1853</v>
      </c>
      <c r="E195" s="116">
        <v>928</v>
      </c>
      <c r="F195" s="116" t="s">
        <v>2088</v>
      </c>
    </row>
    <row r="196" spans="1:6" ht="13.2">
      <c r="A196" s="116">
        <v>6801101</v>
      </c>
      <c r="B196" s="116">
        <v>80300</v>
      </c>
      <c r="C196" s="117" t="s">
        <v>2167</v>
      </c>
      <c r="D196" s="116">
        <v>954</v>
      </c>
      <c r="E196" s="116">
        <v>1003</v>
      </c>
      <c r="F196" s="116" t="s">
        <v>2088</v>
      </c>
    </row>
    <row r="197" spans="1:6" ht="13.2">
      <c r="A197" s="116">
        <v>6801801</v>
      </c>
      <c r="B197" s="116">
        <v>80590</v>
      </c>
      <c r="C197" s="117" t="s">
        <v>2168</v>
      </c>
      <c r="D197" s="116">
        <v>258</v>
      </c>
      <c r="E197" s="116">
        <v>395</v>
      </c>
      <c r="F197" s="116" t="s">
        <v>2088</v>
      </c>
    </row>
    <row r="198" spans="1:6" ht="13.2">
      <c r="A198" s="116">
        <v>6801901</v>
      </c>
      <c r="B198" s="116">
        <v>80530</v>
      </c>
      <c r="C198" s="117" t="s">
        <v>1495</v>
      </c>
      <c r="D198" s="116">
        <v>80</v>
      </c>
      <c r="E198" s="116">
        <v>537</v>
      </c>
      <c r="F198" s="116" t="s">
        <v>2088</v>
      </c>
    </row>
    <row r="199" spans="1:6" ht="13.2">
      <c r="A199" s="116">
        <v>6802001</v>
      </c>
      <c r="B199" s="116">
        <v>80530</v>
      </c>
      <c r="C199" s="117" t="s">
        <v>2169</v>
      </c>
      <c r="D199" s="116">
        <v>80</v>
      </c>
      <c r="E199" s="116">
        <v>537</v>
      </c>
      <c r="F199" s="116" t="s">
        <v>2088</v>
      </c>
    </row>
    <row r="200" spans="1:6" ht="13.2">
      <c r="A200" s="116">
        <v>6802201</v>
      </c>
      <c r="B200" s="116">
        <v>80520</v>
      </c>
      <c r="C200" s="117" t="s">
        <v>2170</v>
      </c>
      <c r="D200" s="116">
        <v>556</v>
      </c>
      <c r="E200" s="116">
        <v>515</v>
      </c>
      <c r="F200" s="116" t="s">
        <v>2088</v>
      </c>
    </row>
    <row r="201" spans="1:6" ht="13.2">
      <c r="A201" s="116">
        <v>6802202</v>
      </c>
      <c r="B201" s="116">
        <v>80520</v>
      </c>
      <c r="C201" s="117" t="s">
        <v>2171</v>
      </c>
      <c r="D201" s="116">
        <v>556</v>
      </c>
      <c r="E201" s="116">
        <v>570</v>
      </c>
      <c r="F201" s="116" t="s">
        <v>2088</v>
      </c>
    </row>
    <row r="202" spans="1:6" ht="13.2">
      <c r="A202" s="116">
        <v>6802217</v>
      </c>
      <c r="B202" s="116">
        <v>80520</v>
      </c>
      <c r="C202" s="117" t="s">
        <v>2172</v>
      </c>
      <c r="D202" s="116">
        <v>556</v>
      </c>
      <c r="E202" s="116">
        <v>543</v>
      </c>
      <c r="F202" s="116" t="s">
        <v>2088</v>
      </c>
    </row>
    <row r="203" spans="1:6" ht="13.2">
      <c r="A203" s="116">
        <v>6802218</v>
      </c>
      <c r="B203" s="116">
        <v>80520</v>
      </c>
      <c r="C203" s="117" t="s">
        <v>2173</v>
      </c>
      <c r="D203" s="116">
        <v>556</v>
      </c>
      <c r="E203" s="116">
        <v>543</v>
      </c>
      <c r="F203" s="116" t="s">
        <v>2088</v>
      </c>
    </row>
    <row r="204" spans="1:6" ht="13.2">
      <c r="A204" s="116">
        <v>6802223</v>
      </c>
      <c r="B204" s="116">
        <v>80520</v>
      </c>
      <c r="C204" s="117" t="s">
        <v>2174</v>
      </c>
      <c r="D204" s="116">
        <v>556</v>
      </c>
      <c r="E204" s="116">
        <v>543</v>
      </c>
      <c r="F204" s="116" t="s">
        <v>2088</v>
      </c>
    </row>
    <row r="205" spans="1:6" ht="13.2">
      <c r="A205" s="116">
        <v>6802227</v>
      </c>
      <c r="B205" s="116">
        <v>80520</v>
      </c>
      <c r="C205" s="117" t="s">
        <v>2175</v>
      </c>
      <c r="D205" s="116">
        <v>556</v>
      </c>
      <c r="E205" s="116">
        <v>543</v>
      </c>
      <c r="F205" s="116" t="s">
        <v>2088</v>
      </c>
    </row>
    <row r="206" spans="1:6" ht="13.2">
      <c r="A206" s="116">
        <v>6802407</v>
      </c>
      <c r="B206" s="116">
        <v>80590</v>
      </c>
      <c r="C206" s="117" t="s">
        <v>2176</v>
      </c>
      <c r="D206" s="116">
        <v>258</v>
      </c>
      <c r="E206" s="116">
        <v>395</v>
      </c>
      <c r="F206" s="116" t="s">
        <v>2088</v>
      </c>
    </row>
    <row r="207" spans="1:6" ht="13.2">
      <c r="A207" s="116">
        <v>6802501</v>
      </c>
      <c r="B207" s="116">
        <v>170111</v>
      </c>
      <c r="C207" s="117" t="s">
        <v>2177</v>
      </c>
      <c r="D207" s="116">
        <v>767</v>
      </c>
      <c r="E207" s="116">
        <v>137</v>
      </c>
      <c r="F207" s="116" t="s">
        <v>2178</v>
      </c>
    </row>
    <row r="208" spans="1:6" ht="13.2">
      <c r="A208" s="116">
        <v>6802601</v>
      </c>
      <c r="B208" s="116">
        <v>80430</v>
      </c>
      <c r="C208" s="117" t="s">
        <v>1580</v>
      </c>
      <c r="D208" s="116">
        <v>260</v>
      </c>
      <c r="E208" s="116">
        <v>160</v>
      </c>
      <c r="F208" s="116" t="s">
        <v>2088</v>
      </c>
    </row>
    <row r="209" spans="1:6" ht="13.2">
      <c r="A209" s="116">
        <v>6802602</v>
      </c>
      <c r="B209" s="116">
        <v>81090</v>
      </c>
      <c r="C209" s="117" t="s">
        <v>2179</v>
      </c>
      <c r="D209" s="116">
        <v>60</v>
      </c>
      <c r="E209" s="116">
        <v>3921</v>
      </c>
      <c r="F209" s="116" t="s">
        <v>2180</v>
      </c>
    </row>
    <row r="210" spans="1:6" ht="13.2">
      <c r="A210" s="116">
        <v>6802701</v>
      </c>
      <c r="B210" s="116">
        <v>80440</v>
      </c>
      <c r="C210" s="117" t="s">
        <v>2181</v>
      </c>
      <c r="D210" s="116">
        <v>335</v>
      </c>
      <c r="E210" s="116">
        <v>951</v>
      </c>
      <c r="F210" s="116" t="s">
        <v>2088</v>
      </c>
    </row>
    <row r="211" spans="1:6" ht="13.2">
      <c r="A211" s="116">
        <v>6802801</v>
      </c>
      <c r="B211" s="116">
        <v>81090</v>
      </c>
      <c r="C211" s="117" t="s">
        <v>2182</v>
      </c>
      <c r="D211" s="116">
        <v>587</v>
      </c>
      <c r="E211" s="116">
        <v>3921</v>
      </c>
      <c r="F211" s="116" t="s">
        <v>2180</v>
      </c>
    </row>
    <row r="212" spans="1:6" ht="13.2">
      <c r="A212" s="116">
        <v>6802901</v>
      </c>
      <c r="B212" s="116">
        <v>80420</v>
      </c>
      <c r="C212" s="117" t="s">
        <v>2183</v>
      </c>
      <c r="D212" s="116">
        <v>239</v>
      </c>
      <c r="E212" s="116">
        <v>1212</v>
      </c>
      <c r="F212" s="116" t="s">
        <v>2088</v>
      </c>
    </row>
    <row r="213" spans="1:6" ht="13.2">
      <c r="A213" s="116">
        <v>6803001</v>
      </c>
      <c r="B213" s="116">
        <v>80810</v>
      </c>
      <c r="C213" s="117" t="s">
        <v>704</v>
      </c>
      <c r="D213" s="116">
        <v>238</v>
      </c>
      <c r="E213" s="116">
        <v>174</v>
      </c>
      <c r="F213" s="116" t="s">
        <v>2003</v>
      </c>
    </row>
    <row r="214" spans="1:6" ht="13.2">
      <c r="A214" s="116">
        <v>6803101</v>
      </c>
      <c r="B214" s="116">
        <v>80720</v>
      </c>
      <c r="C214" s="117" t="s">
        <v>2184</v>
      </c>
      <c r="D214" s="116">
        <v>1020</v>
      </c>
      <c r="E214" s="116">
        <v>238</v>
      </c>
      <c r="F214" s="116" t="s">
        <v>2088</v>
      </c>
    </row>
    <row r="215" spans="1:6" ht="13.2">
      <c r="A215" s="116">
        <v>6803108</v>
      </c>
      <c r="B215" s="116">
        <v>80720</v>
      </c>
      <c r="C215" s="117" t="s">
        <v>2185</v>
      </c>
      <c r="D215" s="116">
        <v>1020</v>
      </c>
      <c r="E215" s="116">
        <v>238</v>
      </c>
      <c r="F215" s="116" t="s">
        <v>2088</v>
      </c>
    </row>
    <row r="216" spans="1:6" ht="13.2">
      <c r="A216" s="116">
        <v>6803201</v>
      </c>
      <c r="B216" s="116">
        <v>80450</v>
      </c>
      <c r="C216" s="117" t="s">
        <v>2186</v>
      </c>
      <c r="D216" s="116">
        <v>90</v>
      </c>
      <c r="E216" s="116">
        <v>933</v>
      </c>
      <c r="F216" s="116" t="s">
        <v>2088</v>
      </c>
    </row>
    <row r="217" spans="1:6" ht="13.2">
      <c r="A217" s="116">
        <v>6803215</v>
      </c>
      <c r="B217" s="116">
        <v>81090</v>
      </c>
      <c r="C217" s="117" t="s">
        <v>2187</v>
      </c>
      <c r="D217" s="116">
        <v>587</v>
      </c>
      <c r="E217" s="116">
        <v>3921</v>
      </c>
      <c r="F217" s="116" t="s">
        <v>2180</v>
      </c>
    </row>
    <row r="218" spans="1:6" ht="13.2">
      <c r="A218" s="116">
        <v>6803301</v>
      </c>
      <c r="B218" s="116">
        <v>81090</v>
      </c>
      <c r="C218" s="117" t="s">
        <v>676</v>
      </c>
      <c r="D218" s="116">
        <v>120</v>
      </c>
      <c r="E218" s="116">
        <v>3921</v>
      </c>
      <c r="F218" s="116" t="s">
        <v>2180</v>
      </c>
    </row>
    <row r="219" spans="1:6" ht="13.2">
      <c r="A219" s="116">
        <v>6803401</v>
      </c>
      <c r="B219" s="116">
        <v>80711</v>
      </c>
      <c r="C219" s="117" t="s">
        <v>2188</v>
      </c>
      <c r="D219" s="116">
        <v>1330</v>
      </c>
      <c r="E219" s="116">
        <v>225</v>
      </c>
      <c r="F219" s="116" t="s">
        <v>2088</v>
      </c>
    </row>
    <row r="220" spans="1:6" ht="13.2">
      <c r="A220" s="116">
        <v>6803501</v>
      </c>
      <c r="B220" s="116">
        <v>80719</v>
      </c>
      <c r="C220" s="117" t="s">
        <v>2189</v>
      </c>
      <c r="D220" s="116">
        <v>710</v>
      </c>
      <c r="E220" s="116">
        <v>186</v>
      </c>
      <c r="F220" s="116" t="s">
        <v>2088</v>
      </c>
    </row>
    <row r="221" spans="1:6" ht="13.2">
      <c r="A221" s="116">
        <v>6803601</v>
      </c>
      <c r="B221" s="116">
        <v>80820</v>
      </c>
      <c r="C221" s="117" t="s">
        <v>2190</v>
      </c>
      <c r="D221" s="116">
        <v>121</v>
      </c>
      <c r="E221" s="116">
        <v>1120</v>
      </c>
      <c r="F221" s="116" t="s">
        <v>1831</v>
      </c>
    </row>
    <row r="222" spans="1:6" ht="13.2">
      <c r="A222" s="116">
        <v>6803701</v>
      </c>
      <c r="B222" s="116">
        <v>80930</v>
      </c>
      <c r="C222" s="117" t="s">
        <v>2191</v>
      </c>
      <c r="D222" s="116">
        <v>376</v>
      </c>
      <c r="E222" s="116">
        <v>1385</v>
      </c>
      <c r="F222" s="116" t="s">
        <v>2192</v>
      </c>
    </row>
    <row r="223" spans="1:6" ht="13.2">
      <c r="A223" s="116">
        <v>6803801</v>
      </c>
      <c r="B223" s="116">
        <v>81090</v>
      </c>
      <c r="C223" s="117" t="s">
        <v>2193</v>
      </c>
      <c r="D223" s="116">
        <v>587</v>
      </c>
      <c r="E223" s="116">
        <v>3921</v>
      </c>
      <c r="F223" s="116" t="s">
        <v>2180</v>
      </c>
    </row>
    <row r="224" spans="1:6" ht="13.2">
      <c r="A224" s="116">
        <v>6803802</v>
      </c>
      <c r="B224" s="116">
        <v>81090</v>
      </c>
      <c r="C224" s="117" t="s">
        <v>2194</v>
      </c>
      <c r="D224" s="116">
        <v>587</v>
      </c>
      <c r="E224" s="116">
        <v>3921</v>
      </c>
      <c r="F224" s="116" t="s">
        <v>2180</v>
      </c>
    </row>
    <row r="225" spans="1:6" ht="13.2">
      <c r="A225" s="116">
        <v>6803803</v>
      </c>
      <c r="B225" s="116">
        <v>81090</v>
      </c>
      <c r="C225" s="117" t="s">
        <v>2195</v>
      </c>
      <c r="D225" s="116">
        <v>587</v>
      </c>
      <c r="E225" s="116">
        <v>3921</v>
      </c>
      <c r="F225" s="116" t="s">
        <v>2180</v>
      </c>
    </row>
    <row r="226" spans="1:6" ht="13.2">
      <c r="A226" s="116">
        <v>6803901</v>
      </c>
      <c r="B226" s="116">
        <v>80610</v>
      </c>
      <c r="C226" s="117" t="s">
        <v>2196</v>
      </c>
      <c r="D226" s="116">
        <v>197</v>
      </c>
      <c r="E226" s="116">
        <v>352</v>
      </c>
      <c r="F226" s="116" t="s">
        <v>2088</v>
      </c>
    </row>
    <row r="227" spans="1:6" ht="13.2">
      <c r="A227" s="116">
        <v>6803912</v>
      </c>
      <c r="B227" s="116">
        <v>80620</v>
      </c>
      <c r="C227" s="117" t="s">
        <v>2197</v>
      </c>
      <c r="D227" s="116">
        <v>684</v>
      </c>
      <c r="E227" s="116">
        <v>1409</v>
      </c>
      <c r="F227" s="116" t="s">
        <v>2088</v>
      </c>
    </row>
    <row r="228" spans="1:6" ht="13.2">
      <c r="A228" s="116">
        <v>6804001</v>
      </c>
      <c r="B228" s="116">
        <v>81090</v>
      </c>
      <c r="C228" s="117" t="s">
        <v>2198</v>
      </c>
      <c r="D228" s="116">
        <v>587</v>
      </c>
      <c r="E228" s="116">
        <v>3921</v>
      </c>
      <c r="F228" s="116" t="s">
        <v>2180</v>
      </c>
    </row>
    <row r="229" spans="1:6" ht="13.2">
      <c r="A229" s="116">
        <v>6804101</v>
      </c>
      <c r="B229" s="116">
        <v>81090</v>
      </c>
      <c r="C229" s="117" t="s">
        <v>2199</v>
      </c>
      <c r="D229" s="116">
        <v>587</v>
      </c>
      <c r="E229" s="116">
        <v>3921</v>
      </c>
      <c r="F229" s="116" t="s">
        <v>2180</v>
      </c>
    </row>
    <row r="230" spans="1:6" ht="13.2">
      <c r="A230" s="116">
        <v>6804201</v>
      </c>
      <c r="B230" s="116">
        <v>80450</v>
      </c>
      <c r="C230" s="117" t="s">
        <v>2200</v>
      </c>
      <c r="D230" s="116">
        <v>90</v>
      </c>
      <c r="E230" s="116">
        <v>933</v>
      </c>
      <c r="F230" s="116" t="s">
        <v>2088</v>
      </c>
    </row>
    <row r="231" spans="1:6" ht="13.2">
      <c r="A231" s="116">
        <v>6804203</v>
      </c>
      <c r="B231" s="116">
        <v>81090</v>
      </c>
      <c r="C231" s="117" t="s">
        <v>2201</v>
      </c>
      <c r="D231" s="116">
        <v>587</v>
      </c>
      <c r="E231" s="116">
        <v>3921</v>
      </c>
      <c r="F231" s="116" t="s">
        <v>2180</v>
      </c>
    </row>
    <row r="232" spans="1:6" ht="13.2">
      <c r="A232" s="116">
        <v>6804301</v>
      </c>
      <c r="B232" s="116">
        <v>80940</v>
      </c>
      <c r="C232" s="117" t="s">
        <v>2202</v>
      </c>
      <c r="D232" s="116">
        <v>368</v>
      </c>
      <c r="E232" s="116">
        <v>1385</v>
      </c>
      <c r="F232" s="116" t="s">
        <v>2110</v>
      </c>
    </row>
    <row r="233" spans="1:6" ht="13.2">
      <c r="A233" s="116">
        <v>6804401</v>
      </c>
      <c r="B233" s="116">
        <v>81090</v>
      </c>
      <c r="C233" s="117" t="s">
        <v>2203</v>
      </c>
      <c r="D233" s="116">
        <v>1440</v>
      </c>
      <c r="E233" s="116">
        <v>3921</v>
      </c>
      <c r="F233" s="116" t="s">
        <v>2180</v>
      </c>
    </row>
    <row r="234" spans="1:6" ht="13.2">
      <c r="A234" s="116">
        <v>6804501</v>
      </c>
      <c r="B234" s="116">
        <v>80920</v>
      </c>
      <c r="C234" s="117" t="s">
        <v>2204</v>
      </c>
      <c r="D234" s="116">
        <v>355</v>
      </c>
      <c r="E234" s="116">
        <v>1385</v>
      </c>
      <c r="F234" s="116" t="s">
        <v>2161</v>
      </c>
    </row>
    <row r="235" spans="1:6" ht="13.2">
      <c r="A235" s="116">
        <v>6804601</v>
      </c>
      <c r="B235" s="116">
        <v>81090</v>
      </c>
      <c r="C235" s="117" t="s">
        <v>2205</v>
      </c>
      <c r="D235" s="116">
        <v>587</v>
      </c>
      <c r="E235" s="116">
        <v>3921</v>
      </c>
      <c r="F235" s="116" t="s">
        <v>2180</v>
      </c>
    </row>
    <row r="236" spans="1:6" ht="13.2">
      <c r="A236" s="116">
        <v>6804602</v>
      </c>
      <c r="B236" s="116">
        <v>81090</v>
      </c>
      <c r="C236" s="117" t="s">
        <v>2206</v>
      </c>
      <c r="D236" s="116">
        <v>587</v>
      </c>
      <c r="E236" s="116">
        <v>3921</v>
      </c>
      <c r="F236" s="116" t="s">
        <v>2180</v>
      </c>
    </row>
    <row r="237" spans="1:6" ht="13.2">
      <c r="A237" s="116">
        <v>6804701</v>
      </c>
      <c r="B237" s="116">
        <v>81090</v>
      </c>
      <c r="C237" s="117" t="s">
        <v>2207</v>
      </c>
      <c r="D237" s="116">
        <v>587</v>
      </c>
      <c r="E237" s="116">
        <v>3921</v>
      </c>
      <c r="F237" s="116" t="s">
        <v>2180</v>
      </c>
    </row>
    <row r="238" spans="1:6" ht="13.2">
      <c r="A238" s="116">
        <v>6804702</v>
      </c>
      <c r="B238" s="116">
        <v>81090</v>
      </c>
      <c r="C238" s="117" t="s">
        <v>2208</v>
      </c>
      <c r="D238" s="116">
        <v>587</v>
      </c>
      <c r="E238" s="116">
        <v>3921</v>
      </c>
      <c r="F238" s="116" t="s">
        <v>2180</v>
      </c>
    </row>
    <row r="239" spans="1:6" ht="13.2">
      <c r="A239" s="116">
        <v>6804801</v>
      </c>
      <c r="B239" s="116">
        <v>81090</v>
      </c>
      <c r="C239" s="117" t="s">
        <v>2209</v>
      </c>
      <c r="D239" s="116">
        <v>587</v>
      </c>
      <c r="E239" s="116">
        <v>3921</v>
      </c>
      <c r="F239" s="116" t="s">
        <v>2180</v>
      </c>
    </row>
    <row r="240" spans="1:6" ht="13.2">
      <c r="A240" s="116">
        <v>6804901</v>
      </c>
      <c r="B240" s="116">
        <v>81090</v>
      </c>
      <c r="C240" s="117" t="s">
        <v>2210</v>
      </c>
      <c r="D240" s="116">
        <v>587</v>
      </c>
      <c r="E240" s="116">
        <v>3921</v>
      </c>
      <c r="F240" s="116" t="s">
        <v>2180</v>
      </c>
    </row>
    <row r="241" spans="1:6" ht="13.2">
      <c r="A241" s="116">
        <v>6805001</v>
      </c>
      <c r="B241" s="116">
        <v>81090</v>
      </c>
      <c r="C241" s="117" t="s">
        <v>2211</v>
      </c>
      <c r="D241" s="116">
        <v>587</v>
      </c>
      <c r="E241" s="116">
        <v>3921</v>
      </c>
      <c r="F241" s="116" t="s">
        <v>2180</v>
      </c>
    </row>
    <row r="242" spans="1:6" ht="13.2">
      <c r="A242" s="116">
        <v>6805201</v>
      </c>
      <c r="B242" s="116">
        <v>81010</v>
      </c>
      <c r="C242" s="117" t="s">
        <v>715</v>
      </c>
      <c r="D242" s="116">
        <v>570</v>
      </c>
      <c r="E242" s="116">
        <v>521</v>
      </c>
      <c r="F242" s="116" t="s">
        <v>2212</v>
      </c>
    </row>
    <row r="243" spans="1:6" ht="13.2">
      <c r="A243" s="116">
        <v>6805301</v>
      </c>
      <c r="B243" s="116">
        <v>81090</v>
      </c>
      <c r="C243" s="117" t="s">
        <v>2213</v>
      </c>
      <c r="D243" s="116">
        <v>587</v>
      </c>
      <c r="E243" s="116">
        <v>3921</v>
      </c>
      <c r="F243" s="116" t="s">
        <v>2180</v>
      </c>
    </row>
    <row r="244" spans="1:6" ht="13.2">
      <c r="A244" s="116">
        <v>6805401</v>
      </c>
      <c r="B244" s="116">
        <v>81090</v>
      </c>
      <c r="C244" s="117" t="s">
        <v>2214</v>
      </c>
      <c r="D244" s="116">
        <v>587</v>
      </c>
      <c r="E244" s="116">
        <v>3921</v>
      </c>
      <c r="F244" s="116" t="s">
        <v>2180</v>
      </c>
    </row>
    <row r="245" spans="1:6" ht="13.2">
      <c r="A245" s="116">
        <v>6805601</v>
      </c>
      <c r="B245" s="116">
        <v>81090</v>
      </c>
      <c r="C245" s="117" t="s">
        <v>2215</v>
      </c>
      <c r="D245" s="116">
        <v>587</v>
      </c>
      <c r="E245" s="116">
        <v>3921</v>
      </c>
      <c r="F245" s="116" t="s">
        <v>2180</v>
      </c>
    </row>
    <row r="246" spans="1:6" ht="13.2">
      <c r="A246" s="116">
        <v>6805701</v>
      </c>
      <c r="B246" s="116">
        <v>81090</v>
      </c>
      <c r="C246" s="117" t="s">
        <v>2216</v>
      </c>
      <c r="D246" s="116">
        <v>587</v>
      </c>
      <c r="E246" s="116">
        <v>3921</v>
      </c>
      <c r="F246" s="116" t="s">
        <v>2180</v>
      </c>
    </row>
    <row r="247" spans="1:6" ht="13.2">
      <c r="A247" s="116">
        <v>6805801</v>
      </c>
      <c r="B247" s="116">
        <v>81090</v>
      </c>
      <c r="C247" s="117" t="s">
        <v>2217</v>
      </c>
      <c r="D247" s="116">
        <v>587</v>
      </c>
      <c r="E247" s="116">
        <v>3921</v>
      </c>
      <c r="F247" s="116" t="s">
        <v>2180</v>
      </c>
    </row>
    <row r="248" spans="1:6" ht="13.2">
      <c r="A248" s="116">
        <v>6805901</v>
      </c>
      <c r="B248" s="116">
        <v>81090</v>
      </c>
      <c r="C248" s="117" t="s">
        <v>2218</v>
      </c>
      <c r="D248" s="116">
        <v>587</v>
      </c>
      <c r="E248" s="116">
        <v>3921</v>
      </c>
      <c r="F248" s="116" t="s">
        <v>2180</v>
      </c>
    </row>
    <row r="249" spans="1:6" ht="13.2">
      <c r="A249" s="116">
        <v>6806001</v>
      </c>
      <c r="B249" s="116">
        <v>81090</v>
      </c>
      <c r="C249" s="117" t="s">
        <v>2219</v>
      </c>
      <c r="D249" s="116">
        <v>587</v>
      </c>
      <c r="E249" s="116">
        <v>3921</v>
      </c>
      <c r="F249" s="116" t="s">
        <v>2180</v>
      </c>
    </row>
    <row r="250" spans="1:6" ht="13.2">
      <c r="A250" s="116">
        <v>6806101</v>
      </c>
      <c r="B250" s="116">
        <v>81090</v>
      </c>
      <c r="C250" s="117" t="s">
        <v>2220</v>
      </c>
      <c r="D250" s="116">
        <v>587</v>
      </c>
      <c r="E250" s="116">
        <v>3921</v>
      </c>
      <c r="F250" s="116" t="s">
        <v>2180</v>
      </c>
    </row>
    <row r="251" spans="1:6" ht="13.2">
      <c r="A251" s="116">
        <v>6806201</v>
      </c>
      <c r="B251" s="116">
        <v>81090</v>
      </c>
      <c r="C251" s="117" t="s">
        <v>2221</v>
      </c>
      <c r="D251" s="116">
        <v>587</v>
      </c>
      <c r="E251" s="116">
        <v>3921</v>
      </c>
      <c r="F251" s="116" t="s">
        <v>2180</v>
      </c>
    </row>
    <row r="252" spans="1:6" ht="13.2">
      <c r="A252" s="116">
        <v>6806301</v>
      </c>
      <c r="B252" s="116">
        <v>180100</v>
      </c>
      <c r="C252" s="117" t="s">
        <v>2222</v>
      </c>
      <c r="D252" s="116">
        <v>3100</v>
      </c>
      <c r="E252" s="116">
        <v>30990</v>
      </c>
      <c r="F252" s="116" t="s">
        <v>2223</v>
      </c>
    </row>
    <row r="253" spans="1:6" ht="13.2">
      <c r="A253" s="116">
        <v>6806401</v>
      </c>
      <c r="B253" s="116">
        <v>81090</v>
      </c>
      <c r="C253" s="117" t="s">
        <v>2224</v>
      </c>
      <c r="D253" s="116">
        <v>587</v>
      </c>
      <c r="E253" s="116">
        <v>3921</v>
      </c>
      <c r="F253" s="116" t="s">
        <v>2180</v>
      </c>
    </row>
    <row r="254" spans="1:6" ht="13.2">
      <c r="A254" s="116">
        <v>6806501</v>
      </c>
      <c r="B254" s="116">
        <v>81090</v>
      </c>
      <c r="C254" s="117" t="s">
        <v>2225</v>
      </c>
      <c r="D254" s="116">
        <v>587</v>
      </c>
      <c r="E254" s="116">
        <v>3921</v>
      </c>
      <c r="F254" s="116" t="s">
        <v>2180</v>
      </c>
    </row>
    <row r="255" spans="1:6" ht="13.2">
      <c r="A255" s="116">
        <v>6806601</v>
      </c>
      <c r="B255" s="116">
        <v>81090</v>
      </c>
      <c r="C255" s="117" t="s">
        <v>2226</v>
      </c>
      <c r="D255" s="116">
        <v>587</v>
      </c>
      <c r="E255" s="116">
        <v>3921</v>
      </c>
      <c r="F255" s="116" t="s">
        <v>2180</v>
      </c>
    </row>
    <row r="256" spans="1:6" ht="13.2">
      <c r="A256" s="116">
        <v>6806701</v>
      </c>
      <c r="B256" s="116">
        <v>81090</v>
      </c>
      <c r="C256" s="117" t="s">
        <v>2227</v>
      </c>
      <c r="D256" s="116">
        <v>587</v>
      </c>
      <c r="E256" s="116">
        <v>3921</v>
      </c>
      <c r="F256" s="116" t="s">
        <v>2180</v>
      </c>
    </row>
    <row r="257" spans="1:6" ht="13.2">
      <c r="A257" s="116">
        <v>6806801</v>
      </c>
      <c r="B257" s="116">
        <v>81090</v>
      </c>
      <c r="C257" s="117" t="s">
        <v>2228</v>
      </c>
      <c r="D257" s="116">
        <v>587</v>
      </c>
      <c r="E257" s="116">
        <v>3921</v>
      </c>
      <c r="F257" s="116" t="s">
        <v>2180</v>
      </c>
    </row>
    <row r="258" spans="1:6" ht="13.2">
      <c r="A258" s="116">
        <v>6806901</v>
      </c>
      <c r="B258" s="116">
        <v>81090</v>
      </c>
      <c r="C258" s="117" t="s">
        <v>2229</v>
      </c>
      <c r="D258" s="116">
        <v>587</v>
      </c>
      <c r="E258" s="116">
        <v>3921</v>
      </c>
      <c r="F258" s="116" t="s">
        <v>2180</v>
      </c>
    </row>
    <row r="259" spans="1:6" ht="13.2">
      <c r="A259" s="116">
        <v>6807001</v>
      </c>
      <c r="B259" s="116">
        <v>81090</v>
      </c>
      <c r="C259" s="117" t="s">
        <v>2230</v>
      </c>
      <c r="D259" s="116">
        <v>587</v>
      </c>
      <c r="E259" s="116">
        <v>3921</v>
      </c>
      <c r="F259" s="116" t="s">
        <v>2180</v>
      </c>
    </row>
    <row r="260" spans="1:6" ht="13.2">
      <c r="A260" s="116">
        <v>6807101</v>
      </c>
      <c r="B260" s="116">
        <v>81090</v>
      </c>
      <c r="C260" s="117" t="s">
        <v>2231</v>
      </c>
      <c r="D260" s="116">
        <v>587</v>
      </c>
      <c r="E260" s="116">
        <v>3921</v>
      </c>
      <c r="F260" s="116" t="s">
        <v>2180</v>
      </c>
    </row>
    <row r="261" spans="1:6" ht="13.2">
      <c r="A261" s="116">
        <v>6807103</v>
      </c>
      <c r="B261" s="116">
        <v>81090</v>
      </c>
      <c r="C261" s="117" t="s">
        <v>2232</v>
      </c>
      <c r="D261" s="116">
        <v>587</v>
      </c>
      <c r="E261" s="116">
        <v>3921</v>
      </c>
      <c r="F261" s="116" t="s">
        <v>2180</v>
      </c>
    </row>
    <row r="262" spans="1:6" ht="13.2">
      <c r="A262" s="116">
        <v>6807202</v>
      </c>
      <c r="B262" s="116">
        <v>81090</v>
      </c>
      <c r="C262" s="117" t="s">
        <v>2233</v>
      </c>
      <c r="D262" s="116">
        <v>587</v>
      </c>
      <c r="E262" s="116">
        <v>3921</v>
      </c>
      <c r="F262" s="116" t="s">
        <v>2180</v>
      </c>
    </row>
    <row r="263" spans="1:6" ht="13.2">
      <c r="A263" s="116">
        <v>6807301</v>
      </c>
      <c r="B263" s="116">
        <v>81090</v>
      </c>
      <c r="C263" s="117" t="s">
        <v>2234</v>
      </c>
      <c r="D263" s="116">
        <v>587</v>
      </c>
      <c r="E263" s="116">
        <v>3921</v>
      </c>
      <c r="F263" s="116" t="s">
        <v>2180</v>
      </c>
    </row>
    <row r="264" spans="1:6" ht="13.2">
      <c r="A264" s="116">
        <v>6807401</v>
      </c>
      <c r="B264" s="116">
        <v>80930</v>
      </c>
      <c r="C264" s="117" t="s">
        <v>2235</v>
      </c>
      <c r="D264" s="116">
        <v>376</v>
      </c>
      <c r="E264" s="116">
        <v>1385</v>
      </c>
      <c r="F264" s="116" t="s">
        <v>2192</v>
      </c>
    </row>
    <row r="265" spans="1:6" ht="13.2">
      <c r="A265" s="116">
        <v>6807501</v>
      </c>
      <c r="B265" s="116">
        <v>81090</v>
      </c>
      <c r="C265" s="117" t="s">
        <v>2236</v>
      </c>
      <c r="D265" s="116">
        <v>587</v>
      </c>
      <c r="E265" s="116">
        <v>3921</v>
      </c>
      <c r="F265" s="116" t="s">
        <v>2180</v>
      </c>
    </row>
    <row r="266" spans="1:6" ht="13.2">
      <c r="A266" s="116">
        <v>6807601</v>
      </c>
      <c r="B266" s="116">
        <v>81090</v>
      </c>
      <c r="C266" s="117" t="s">
        <v>2237</v>
      </c>
      <c r="D266" s="116">
        <v>587</v>
      </c>
      <c r="E266" s="116">
        <v>3921</v>
      </c>
      <c r="F266" s="116" t="s">
        <v>2180</v>
      </c>
    </row>
    <row r="267" spans="1:6" ht="13.2">
      <c r="A267" s="116">
        <v>6807701</v>
      </c>
      <c r="B267" s="116">
        <v>81090</v>
      </c>
      <c r="C267" s="117" t="s">
        <v>2238</v>
      </c>
      <c r="D267" s="116">
        <v>587</v>
      </c>
      <c r="E267" s="116">
        <v>3921</v>
      </c>
      <c r="F267" s="116" t="s">
        <v>2180</v>
      </c>
    </row>
    <row r="268" spans="1:6" ht="13.2">
      <c r="A268" s="116">
        <v>6807801</v>
      </c>
      <c r="B268" s="116">
        <v>81050</v>
      </c>
      <c r="C268" s="117" t="s">
        <v>2239</v>
      </c>
      <c r="D268" s="116">
        <v>1328</v>
      </c>
      <c r="E268" s="116">
        <v>1201</v>
      </c>
      <c r="F268" s="116" t="s">
        <v>2240</v>
      </c>
    </row>
    <row r="269" spans="1:6" ht="13.2">
      <c r="A269" s="116">
        <v>6808001</v>
      </c>
      <c r="B269" s="116">
        <v>81090</v>
      </c>
      <c r="C269" s="117" t="s">
        <v>2241</v>
      </c>
      <c r="D269" s="116">
        <v>587</v>
      </c>
      <c r="E269" s="116">
        <v>3921</v>
      </c>
      <c r="F269" s="116" t="s">
        <v>2180</v>
      </c>
    </row>
    <row r="270" spans="1:6" ht="13.2">
      <c r="A270" s="116">
        <v>6808201</v>
      </c>
      <c r="B270" s="116">
        <v>81090</v>
      </c>
      <c r="C270" s="117" t="s">
        <v>2242</v>
      </c>
      <c r="D270" s="116">
        <v>587</v>
      </c>
      <c r="E270" s="116">
        <v>3921</v>
      </c>
      <c r="F270" s="116" t="s">
        <v>2180</v>
      </c>
    </row>
    <row r="271" spans="1:6" ht="13.2">
      <c r="A271" s="116">
        <v>6808401</v>
      </c>
      <c r="B271" s="116">
        <v>81090</v>
      </c>
      <c r="C271" s="117" t="s">
        <v>2243</v>
      </c>
      <c r="D271" s="116">
        <v>865</v>
      </c>
      <c r="E271" s="116">
        <v>3921</v>
      </c>
      <c r="F271" s="116" t="s">
        <v>2180</v>
      </c>
    </row>
    <row r="272" spans="1:6" ht="13.2">
      <c r="A272" s="116">
        <v>6808601</v>
      </c>
      <c r="B272" s="116">
        <v>80810</v>
      </c>
      <c r="C272" s="117" t="s">
        <v>2244</v>
      </c>
      <c r="D272" s="116">
        <v>238</v>
      </c>
      <c r="E272" s="116">
        <v>174</v>
      </c>
      <c r="F272" s="116" t="s">
        <v>2003</v>
      </c>
    </row>
    <row r="273" spans="1:6" ht="13.2">
      <c r="A273" s="116">
        <v>6808901</v>
      </c>
      <c r="B273" s="116">
        <v>81090</v>
      </c>
      <c r="C273" s="117" t="s">
        <v>2245</v>
      </c>
      <c r="D273" s="116">
        <v>587</v>
      </c>
      <c r="E273" s="116">
        <v>3921</v>
      </c>
      <c r="F273" s="116" t="s">
        <v>2180</v>
      </c>
    </row>
    <row r="274" spans="1:6" ht="13.2">
      <c r="A274" s="116">
        <v>6809901</v>
      </c>
      <c r="B274" s="116">
        <v>81090</v>
      </c>
      <c r="C274" s="117" t="s">
        <v>2246</v>
      </c>
      <c r="D274" s="116">
        <v>170</v>
      </c>
      <c r="E274" s="116">
        <v>3921</v>
      </c>
      <c r="F274" s="116" t="s">
        <v>2180</v>
      </c>
    </row>
    <row r="275" spans="1:6" ht="13.2">
      <c r="A275" s="116">
        <v>6810201</v>
      </c>
      <c r="B275" s="116">
        <v>81090</v>
      </c>
      <c r="C275" s="117" t="s">
        <v>2247</v>
      </c>
      <c r="D275" s="116">
        <v>587</v>
      </c>
      <c r="E275" s="116">
        <v>3921</v>
      </c>
      <c r="F275" s="116" t="s">
        <v>2180</v>
      </c>
    </row>
    <row r="276" spans="1:6" ht="13.2">
      <c r="A276" s="116">
        <v>6900302</v>
      </c>
      <c r="B276" s="116">
        <v>170111</v>
      </c>
      <c r="C276" s="117" t="s">
        <v>2248</v>
      </c>
      <c r="D276" s="116">
        <v>767</v>
      </c>
      <c r="E276" s="116">
        <v>649</v>
      </c>
      <c r="F276" s="116" t="s">
        <v>2178</v>
      </c>
    </row>
    <row r="277" spans="1:6" ht="13.2">
      <c r="A277" s="116">
        <v>6900304</v>
      </c>
      <c r="B277" s="116">
        <v>170111</v>
      </c>
      <c r="C277" s="117" t="s">
        <v>708</v>
      </c>
      <c r="D277" s="116">
        <v>1800</v>
      </c>
      <c r="E277" s="116">
        <v>1091</v>
      </c>
      <c r="F277" s="116" t="s">
        <v>2178</v>
      </c>
    </row>
    <row r="278" spans="1:6" ht="13.2">
      <c r="A278" s="116">
        <v>6900401</v>
      </c>
      <c r="B278" s="116">
        <v>170191</v>
      </c>
      <c r="C278" s="117" t="s">
        <v>2249</v>
      </c>
      <c r="D278" s="116">
        <v>767</v>
      </c>
      <c r="E278" s="116">
        <v>345</v>
      </c>
      <c r="F278" s="116" t="s">
        <v>2178</v>
      </c>
    </row>
    <row r="279" spans="1:6" ht="13.2">
      <c r="A279" s="116">
        <v>6900402</v>
      </c>
      <c r="B279" s="116">
        <v>170191</v>
      </c>
      <c r="C279" s="117" t="s">
        <v>2250</v>
      </c>
      <c r="D279" s="116">
        <v>767</v>
      </c>
      <c r="E279" s="116">
        <v>345</v>
      </c>
      <c r="F279" s="116" t="s">
        <v>2178</v>
      </c>
    </row>
    <row r="280" spans="1:6" ht="13.2">
      <c r="A280" s="116">
        <v>6900403</v>
      </c>
      <c r="B280" s="116">
        <v>170111</v>
      </c>
      <c r="C280" s="117" t="s">
        <v>2251</v>
      </c>
      <c r="D280" s="116">
        <v>767</v>
      </c>
      <c r="E280" s="116">
        <v>649</v>
      </c>
      <c r="F280" s="116" t="s">
        <v>2178</v>
      </c>
    </row>
    <row r="281" spans="1:6" ht="13.2">
      <c r="A281" s="116">
        <v>6900501</v>
      </c>
      <c r="B281" s="116">
        <v>210500</v>
      </c>
      <c r="C281" s="117" t="s">
        <v>2252</v>
      </c>
      <c r="D281" s="116">
        <v>2350</v>
      </c>
      <c r="E281" s="116">
        <v>6115</v>
      </c>
      <c r="F281" s="116" t="s">
        <v>2253</v>
      </c>
    </row>
    <row r="282" spans="1:6" ht="13.2">
      <c r="A282" s="116">
        <v>6900502</v>
      </c>
      <c r="B282" s="116">
        <v>210500</v>
      </c>
      <c r="C282" s="117" t="s">
        <v>2254</v>
      </c>
      <c r="D282" s="116">
        <v>2350</v>
      </c>
      <c r="E282" s="116">
        <v>6115</v>
      </c>
      <c r="F282" s="116" t="s">
        <v>2253</v>
      </c>
    </row>
    <row r="283" spans="1:6" ht="13.2">
      <c r="A283" s="116">
        <v>6900601</v>
      </c>
      <c r="B283" s="116">
        <v>170410</v>
      </c>
      <c r="C283" s="117" t="s">
        <v>2255</v>
      </c>
      <c r="D283" s="116">
        <v>3295</v>
      </c>
      <c r="E283" s="116">
        <v>588</v>
      </c>
      <c r="F283" s="116" t="s">
        <v>2178</v>
      </c>
    </row>
    <row r="284" spans="1:6" ht="13.2">
      <c r="A284" s="116">
        <v>6900603</v>
      </c>
      <c r="B284" s="116">
        <v>170490</v>
      </c>
      <c r="C284" s="117" t="s">
        <v>2256</v>
      </c>
      <c r="D284" s="116">
        <v>4000</v>
      </c>
      <c r="E284" s="116">
        <v>588</v>
      </c>
      <c r="F284" s="116" t="s">
        <v>2178</v>
      </c>
    </row>
    <row r="285" spans="1:6" ht="13.2">
      <c r="A285" s="116">
        <v>6900604</v>
      </c>
      <c r="B285" s="116">
        <v>170490</v>
      </c>
      <c r="C285" s="117" t="s">
        <v>2257</v>
      </c>
      <c r="D285" s="116">
        <v>3295</v>
      </c>
      <c r="E285" s="116">
        <v>588</v>
      </c>
      <c r="F285" s="116" t="s">
        <v>2178</v>
      </c>
    </row>
    <row r="286" spans="1:6" ht="13.2">
      <c r="A286" s="116">
        <v>6900605</v>
      </c>
      <c r="B286" s="116">
        <v>170490</v>
      </c>
      <c r="C286" s="117" t="s">
        <v>2258</v>
      </c>
      <c r="D286" s="116">
        <v>3295</v>
      </c>
      <c r="E286" s="116">
        <v>588</v>
      </c>
      <c r="F286" s="116" t="s">
        <v>2178</v>
      </c>
    </row>
    <row r="287" spans="1:6" ht="13.2">
      <c r="A287" s="116">
        <v>6900606</v>
      </c>
      <c r="B287" s="116">
        <v>170490</v>
      </c>
      <c r="C287" s="117" t="s">
        <v>2259</v>
      </c>
      <c r="D287" s="116">
        <v>3295</v>
      </c>
      <c r="E287" s="116">
        <v>588</v>
      </c>
      <c r="F287" s="116" t="s">
        <v>2178</v>
      </c>
    </row>
    <row r="288" spans="1:6" ht="13.2">
      <c r="A288" s="116">
        <v>6900607</v>
      </c>
      <c r="B288" s="116">
        <v>170490</v>
      </c>
      <c r="C288" s="117" t="s">
        <v>2260</v>
      </c>
      <c r="D288" s="116">
        <v>3295</v>
      </c>
      <c r="E288" s="116">
        <v>588</v>
      </c>
      <c r="F288" s="116" t="s">
        <v>2178</v>
      </c>
    </row>
    <row r="289" spans="1:6" ht="13.2">
      <c r="A289" s="116">
        <v>6900609</v>
      </c>
      <c r="B289" s="116">
        <v>170410</v>
      </c>
      <c r="C289" s="117" t="s">
        <v>2261</v>
      </c>
      <c r="D289" s="116">
        <v>3295</v>
      </c>
      <c r="E289" s="116">
        <v>588</v>
      </c>
      <c r="F289" s="116" t="s">
        <v>2178</v>
      </c>
    </row>
    <row r="290" spans="1:6" ht="13.2">
      <c r="A290" s="116">
        <v>6900610</v>
      </c>
      <c r="B290" s="116">
        <v>170490</v>
      </c>
      <c r="C290" s="117" t="s">
        <v>2262</v>
      </c>
      <c r="D290" s="116">
        <v>2590</v>
      </c>
      <c r="E290" s="116">
        <v>588</v>
      </c>
      <c r="F290" s="116" t="s">
        <v>2178</v>
      </c>
    </row>
    <row r="291" spans="1:6" ht="13.2">
      <c r="A291" s="116">
        <v>6900701</v>
      </c>
      <c r="B291" s="116">
        <v>180500</v>
      </c>
      <c r="C291" s="117" t="s">
        <v>2263</v>
      </c>
      <c r="D291" s="116">
        <v>2333</v>
      </c>
      <c r="E291" s="116">
        <v>26430</v>
      </c>
      <c r="F291" s="116" t="s">
        <v>2223</v>
      </c>
    </row>
    <row r="292" spans="1:6" ht="13.2">
      <c r="A292" s="116">
        <v>6900702</v>
      </c>
      <c r="B292" s="116">
        <v>180500</v>
      </c>
      <c r="C292" s="117" t="s">
        <v>2264</v>
      </c>
      <c r="D292" s="116">
        <v>2333</v>
      </c>
      <c r="E292" s="116">
        <v>26430</v>
      </c>
      <c r="F292" s="116" t="s">
        <v>2223</v>
      </c>
    </row>
    <row r="293" spans="1:6" ht="13.2">
      <c r="A293" s="116">
        <v>6900706</v>
      </c>
      <c r="B293" s="116">
        <v>180500</v>
      </c>
      <c r="C293" s="117" t="s">
        <v>2265</v>
      </c>
      <c r="D293" s="116">
        <v>2333</v>
      </c>
      <c r="E293" s="116">
        <v>26430</v>
      </c>
      <c r="F293" s="116" t="s">
        <v>2223</v>
      </c>
    </row>
    <row r="294" spans="1:6" ht="13.2">
      <c r="A294" s="116">
        <v>6900801</v>
      </c>
      <c r="B294" s="116">
        <v>180610</v>
      </c>
      <c r="C294" s="117" t="s">
        <v>2266</v>
      </c>
      <c r="D294" s="116">
        <v>2525</v>
      </c>
      <c r="E294" s="116">
        <v>24910</v>
      </c>
      <c r="F294" s="116" t="s">
        <v>2223</v>
      </c>
    </row>
    <row r="295" spans="1:6" ht="13.2">
      <c r="A295" s="116">
        <v>6900818</v>
      </c>
      <c r="B295" s="116">
        <v>220290</v>
      </c>
      <c r="C295" s="117" t="s">
        <v>2267</v>
      </c>
      <c r="D295" s="116">
        <v>794</v>
      </c>
      <c r="E295" s="116">
        <v>1519</v>
      </c>
      <c r="F295" s="116" t="s">
        <v>2079</v>
      </c>
    </row>
    <row r="296" spans="1:6" ht="13.2">
      <c r="A296" s="116">
        <v>6900821</v>
      </c>
      <c r="B296" s="116">
        <v>220290</v>
      </c>
      <c r="C296" s="117" t="s">
        <v>2268</v>
      </c>
      <c r="D296" s="116">
        <v>794</v>
      </c>
      <c r="E296" s="116">
        <v>1519</v>
      </c>
      <c r="F296" s="116" t="s">
        <v>2079</v>
      </c>
    </row>
    <row r="297" spans="1:6" ht="13.2">
      <c r="A297" s="116">
        <v>6900822</v>
      </c>
      <c r="B297" s="116">
        <v>220290</v>
      </c>
      <c r="C297" s="117" t="s">
        <v>2269</v>
      </c>
      <c r="D297" s="116">
        <v>794</v>
      </c>
      <c r="E297" s="116">
        <v>1519</v>
      </c>
      <c r="F297" s="116" t="s">
        <v>2079</v>
      </c>
    </row>
    <row r="298" spans="1:6" ht="13.2">
      <c r="A298" s="116">
        <v>6900901</v>
      </c>
      <c r="B298" s="116">
        <v>180500</v>
      </c>
      <c r="C298" s="117" t="s">
        <v>2270</v>
      </c>
      <c r="D298" s="116">
        <v>2333</v>
      </c>
      <c r="E298" s="116">
        <v>26430</v>
      </c>
      <c r="F298" s="116" t="s">
        <v>2223</v>
      </c>
    </row>
    <row r="299" spans="1:6" ht="13.2">
      <c r="A299" s="116">
        <v>6900904</v>
      </c>
      <c r="B299" s="116">
        <v>180500</v>
      </c>
      <c r="C299" s="117" t="s">
        <v>2271</v>
      </c>
      <c r="D299" s="116">
        <v>2333</v>
      </c>
      <c r="E299" s="116">
        <v>26430</v>
      </c>
      <c r="F299" s="116" t="s">
        <v>2223</v>
      </c>
    </row>
    <row r="300" spans="1:6" ht="13.2">
      <c r="A300" s="116">
        <v>6901001</v>
      </c>
      <c r="B300" s="116">
        <v>200799</v>
      </c>
      <c r="C300" s="117" t="s">
        <v>2272</v>
      </c>
      <c r="D300" s="116">
        <v>3495</v>
      </c>
      <c r="E300" s="116">
        <v>1247</v>
      </c>
      <c r="F300" s="116" t="s">
        <v>2025</v>
      </c>
    </row>
    <row r="301" spans="1:6" ht="13.2">
      <c r="A301" s="116">
        <v>6901002</v>
      </c>
      <c r="B301" s="116">
        <v>190590</v>
      </c>
      <c r="C301" s="117" t="s">
        <v>2273</v>
      </c>
      <c r="D301" s="116">
        <v>1796</v>
      </c>
      <c r="E301" s="116">
        <v>1270</v>
      </c>
      <c r="F301" s="116" t="s">
        <v>2062</v>
      </c>
    </row>
    <row r="302" spans="1:6" ht="13.2">
      <c r="A302" s="116">
        <v>6901101</v>
      </c>
      <c r="B302" s="116">
        <v>200799</v>
      </c>
      <c r="C302" s="117" t="s">
        <v>2274</v>
      </c>
      <c r="D302" s="116">
        <v>2948</v>
      </c>
      <c r="E302" s="116">
        <v>1247</v>
      </c>
      <c r="F302" s="116" t="s">
        <v>2025</v>
      </c>
    </row>
    <row r="303" spans="1:6" ht="13.2">
      <c r="A303" s="116">
        <v>6901201</v>
      </c>
      <c r="B303" s="116">
        <v>200799</v>
      </c>
      <c r="C303" s="117" t="s">
        <v>2275</v>
      </c>
      <c r="D303" s="116">
        <v>2948</v>
      </c>
      <c r="E303" s="116">
        <v>1247</v>
      </c>
      <c r="F303" s="116" t="s">
        <v>2025</v>
      </c>
    </row>
    <row r="304" spans="1:6" ht="13.2">
      <c r="A304" s="116">
        <v>6901204</v>
      </c>
      <c r="B304" s="116">
        <v>200799</v>
      </c>
      <c r="C304" s="117" t="s">
        <v>2276</v>
      </c>
      <c r="D304" s="116">
        <v>2948</v>
      </c>
      <c r="E304" s="116">
        <v>1247</v>
      </c>
      <c r="F304" s="116" t="s">
        <v>2025</v>
      </c>
    </row>
    <row r="305" spans="1:6" ht="13.2">
      <c r="A305" s="116">
        <v>6901206</v>
      </c>
      <c r="B305" s="116">
        <v>200799</v>
      </c>
      <c r="C305" s="117" t="s">
        <v>2277</v>
      </c>
      <c r="D305" s="116">
        <v>2400</v>
      </c>
      <c r="E305" s="116">
        <v>1247</v>
      </c>
      <c r="F305" s="116" t="s">
        <v>2025</v>
      </c>
    </row>
    <row r="306" spans="1:6" ht="13.2">
      <c r="A306" s="116">
        <v>6901209</v>
      </c>
      <c r="B306" s="116">
        <v>200799</v>
      </c>
      <c r="C306" s="117" t="s">
        <v>2278</v>
      </c>
      <c r="D306" s="116">
        <v>2948</v>
      </c>
      <c r="E306" s="116">
        <v>1247</v>
      </c>
      <c r="F306" s="116" t="s">
        <v>2025</v>
      </c>
    </row>
    <row r="307" spans="1:6" ht="13.2">
      <c r="A307" s="116">
        <v>6901211</v>
      </c>
      <c r="B307" s="116">
        <v>200799</v>
      </c>
      <c r="C307" s="117" t="s">
        <v>2279</v>
      </c>
      <c r="D307" s="116">
        <v>2948</v>
      </c>
      <c r="E307" s="116">
        <v>1247</v>
      </c>
      <c r="F307" s="116" t="s">
        <v>2025</v>
      </c>
    </row>
    <row r="308" spans="1:6" ht="13.2">
      <c r="A308" s="116">
        <v>6901214</v>
      </c>
      <c r="B308" s="116">
        <v>200799</v>
      </c>
      <c r="C308" s="117" t="s">
        <v>2280</v>
      </c>
      <c r="D308" s="116">
        <v>2948</v>
      </c>
      <c r="E308" s="116">
        <v>1247</v>
      </c>
      <c r="F308" s="116" t="s">
        <v>2025</v>
      </c>
    </row>
    <row r="309" spans="1:6" ht="13.2">
      <c r="A309" s="116">
        <v>6901224</v>
      </c>
      <c r="B309" s="116">
        <v>200799</v>
      </c>
      <c r="C309" s="117" t="s">
        <v>2281</v>
      </c>
      <c r="D309" s="116">
        <v>2948</v>
      </c>
      <c r="E309" s="116">
        <v>1247</v>
      </c>
      <c r="F309" s="116" t="s">
        <v>2025</v>
      </c>
    </row>
    <row r="310" spans="1:6" ht="13.2">
      <c r="A310" s="116">
        <v>6901301</v>
      </c>
      <c r="B310" s="116">
        <v>200600</v>
      </c>
      <c r="C310" s="117" t="s">
        <v>2282</v>
      </c>
      <c r="D310" s="116">
        <v>1600</v>
      </c>
      <c r="E310" s="116">
        <v>1247</v>
      </c>
      <c r="F310" s="116" t="s">
        <v>2025</v>
      </c>
    </row>
    <row r="311" spans="1:6" ht="13.2">
      <c r="A311" s="116">
        <v>6901401</v>
      </c>
      <c r="B311" s="116">
        <v>200600</v>
      </c>
      <c r="C311" s="117" t="s">
        <v>2283</v>
      </c>
      <c r="D311" s="116">
        <v>1600</v>
      </c>
      <c r="E311" s="116">
        <v>1247</v>
      </c>
      <c r="F311" s="116" t="s">
        <v>2025</v>
      </c>
    </row>
    <row r="312" spans="1:6" ht="13.2">
      <c r="A312" s="116">
        <v>6901501</v>
      </c>
      <c r="B312" s="116">
        <v>170191</v>
      </c>
      <c r="C312" s="117" t="s">
        <v>2284</v>
      </c>
      <c r="D312" s="116">
        <v>767</v>
      </c>
      <c r="E312" s="116">
        <v>345</v>
      </c>
      <c r="F312" s="116" t="s">
        <v>2178</v>
      </c>
    </row>
    <row r="313" spans="1:6" ht="13.2">
      <c r="A313" s="116">
        <v>6901602</v>
      </c>
      <c r="B313" s="116">
        <v>40900</v>
      </c>
      <c r="C313" s="117" t="s">
        <v>1563</v>
      </c>
      <c r="D313" s="116">
        <v>1998</v>
      </c>
      <c r="E313" s="116">
        <v>3978</v>
      </c>
      <c r="F313" s="116" t="s">
        <v>2044</v>
      </c>
    </row>
    <row r="314" spans="1:6" ht="13.2">
      <c r="A314" s="116">
        <v>6901701</v>
      </c>
      <c r="B314" s="116">
        <v>200799</v>
      </c>
      <c r="C314" s="117" t="s">
        <v>2285</v>
      </c>
      <c r="D314" s="116">
        <v>2948</v>
      </c>
      <c r="E314" s="116">
        <v>1247</v>
      </c>
      <c r="F314" s="116" t="s">
        <v>2025</v>
      </c>
    </row>
    <row r="315" spans="1:6" ht="13.2">
      <c r="A315" s="116">
        <v>6901801</v>
      </c>
      <c r="B315" s="116">
        <v>210690</v>
      </c>
      <c r="C315" s="117" t="s">
        <v>2286</v>
      </c>
      <c r="D315" s="116">
        <v>44570</v>
      </c>
      <c r="E315" s="116">
        <v>17481</v>
      </c>
      <c r="F315" s="116" t="s">
        <v>2253</v>
      </c>
    </row>
    <row r="316" spans="1:6" ht="13.2">
      <c r="A316" s="116">
        <v>6902004</v>
      </c>
      <c r="B316" s="116">
        <v>170490</v>
      </c>
      <c r="C316" s="117" t="s">
        <v>2287</v>
      </c>
      <c r="D316" s="116">
        <v>3295</v>
      </c>
      <c r="E316" s="116">
        <v>588</v>
      </c>
      <c r="F316" s="116" t="s">
        <v>2178</v>
      </c>
    </row>
    <row r="317" spans="1:6" ht="13.2">
      <c r="A317" s="116">
        <v>6902301</v>
      </c>
      <c r="B317" s="116">
        <v>200799</v>
      </c>
      <c r="C317" s="117" t="s">
        <v>2288</v>
      </c>
      <c r="D317" s="116">
        <v>2948</v>
      </c>
      <c r="E317" s="116">
        <v>1247</v>
      </c>
      <c r="F317" s="116" t="s">
        <v>2025</v>
      </c>
    </row>
    <row r="318" spans="1:6" ht="13.2">
      <c r="A318" s="116">
        <v>6902401</v>
      </c>
      <c r="B318" s="116">
        <v>81340</v>
      </c>
      <c r="C318" s="117" t="s">
        <v>2289</v>
      </c>
      <c r="D318" s="116">
        <v>719</v>
      </c>
      <c r="E318" s="116">
        <v>3082</v>
      </c>
      <c r="F318" s="116" t="s">
        <v>2088</v>
      </c>
    </row>
    <row r="319" spans="1:6" ht="13.2">
      <c r="A319" s="116">
        <v>6902402</v>
      </c>
      <c r="B319" s="116">
        <v>80620</v>
      </c>
      <c r="C319" s="117" t="s">
        <v>2197</v>
      </c>
      <c r="D319" s="116">
        <v>684</v>
      </c>
      <c r="E319" s="116">
        <v>1409</v>
      </c>
      <c r="F319" s="116" t="s">
        <v>2088</v>
      </c>
    </row>
    <row r="320" spans="1:6" ht="13.2">
      <c r="A320" s="116">
        <v>6902601</v>
      </c>
      <c r="B320" s="116">
        <v>41000</v>
      </c>
      <c r="C320" s="117" t="s">
        <v>2290</v>
      </c>
      <c r="D320" s="116">
        <v>3200</v>
      </c>
      <c r="E320" s="116">
        <v>3978</v>
      </c>
      <c r="F320" s="116" t="s">
        <v>2291</v>
      </c>
    </row>
    <row r="321" spans="1:6" ht="13.2">
      <c r="A321" s="116">
        <v>6902607</v>
      </c>
      <c r="B321" s="116">
        <v>41000</v>
      </c>
      <c r="C321" s="117" t="s">
        <v>2292</v>
      </c>
      <c r="D321" s="116">
        <v>3200</v>
      </c>
      <c r="E321" s="116">
        <v>3978</v>
      </c>
      <c r="F321" s="116" t="s">
        <v>2291</v>
      </c>
    </row>
    <row r="322" spans="1:6" ht="13.2">
      <c r="A322" s="116">
        <v>6902901</v>
      </c>
      <c r="B322" s="116">
        <v>110220</v>
      </c>
      <c r="C322" s="117" t="s">
        <v>2293</v>
      </c>
      <c r="D322" s="116">
        <v>578</v>
      </c>
      <c r="E322" s="116">
        <v>1790</v>
      </c>
      <c r="F322" s="116" t="s">
        <v>1976</v>
      </c>
    </row>
    <row r="323" spans="1:6" ht="13.2">
      <c r="A323" s="116">
        <v>6903001</v>
      </c>
      <c r="B323" s="116">
        <v>200799</v>
      </c>
      <c r="C323" s="117" t="s">
        <v>2294</v>
      </c>
      <c r="D323" s="116">
        <v>2948</v>
      </c>
      <c r="E323" s="116">
        <v>1247</v>
      </c>
      <c r="F323" s="116" t="s">
        <v>2025</v>
      </c>
    </row>
    <row r="324" spans="1:6" ht="13.2">
      <c r="A324" s="116">
        <v>6903202</v>
      </c>
      <c r="B324" s="116">
        <v>200799</v>
      </c>
      <c r="C324" s="117" t="s">
        <v>2295</v>
      </c>
      <c r="D324" s="116">
        <v>1602</v>
      </c>
      <c r="E324" s="116">
        <v>1247</v>
      </c>
      <c r="F324" s="116" t="s">
        <v>2025</v>
      </c>
    </row>
    <row r="325" spans="1:6" ht="13.2">
      <c r="A325" s="116">
        <v>6903203</v>
      </c>
      <c r="B325" s="116">
        <v>200819</v>
      </c>
      <c r="C325" s="117" t="s">
        <v>2296</v>
      </c>
      <c r="D325" s="116">
        <v>1602</v>
      </c>
      <c r="E325" s="116">
        <v>1247</v>
      </c>
      <c r="F325" s="116" t="s">
        <v>2025</v>
      </c>
    </row>
    <row r="326" spans="1:6" ht="13.2">
      <c r="A326" s="116">
        <v>6903205</v>
      </c>
      <c r="B326" s="116">
        <v>200819</v>
      </c>
      <c r="C326" s="117" t="s">
        <v>2297</v>
      </c>
      <c r="D326" s="116">
        <v>1602</v>
      </c>
      <c r="E326" s="116">
        <v>1247</v>
      </c>
      <c r="F326" s="116" t="s">
        <v>2025</v>
      </c>
    </row>
    <row r="327" spans="1:6" ht="13.2">
      <c r="A327" s="116">
        <v>6903208</v>
      </c>
      <c r="B327" s="116">
        <v>200819</v>
      </c>
      <c r="C327" s="117" t="s">
        <v>2298</v>
      </c>
      <c r="D327" s="116">
        <v>1602</v>
      </c>
      <c r="E327" s="116">
        <v>1247</v>
      </c>
      <c r="F327" s="116" t="s">
        <v>2025</v>
      </c>
    </row>
    <row r="328" spans="1:6" ht="13.2">
      <c r="A328" s="116">
        <v>6903303</v>
      </c>
      <c r="B328" s="116">
        <v>200819</v>
      </c>
      <c r="C328" s="117" t="s">
        <v>2299</v>
      </c>
      <c r="D328" s="116">
        <v>1602</v>
      </c>
      <c r="E328" s="116">
        <v>1247</v>
      </c>
      <c r="F328" s="116" t="s">
        <v>2025</v>
      </c>
    </row>
    <row r="329" spans="1:6" ht="13.2">
      <c r="A329" s="116">
        <v>6903701</v>
      </c>
      <c r="B329" s="116">
        <v>180500</v>
      </c>
      <c r="C329" s="117" t="s">
        <v>2300</v>
      </c>
      <c r="D329" s="116">
        <v>2333</v>
      </c>
      <c r="E329" s="116">
        <v>26430</v>
      </c>
      <c r="F329" s="116" t="s">
        <v>2223</v>
      </c>
    </row>
    <row r="330" spans="1:6" ht="13.2">
      <c r="A330" s="116">
        <v>6903801</v>
      </c>
      <c r="B330" s="116">
        <v>190590</v>
      </c>
      <c r="C330" s="117" t="s">
        <v>2301</v>
      </c>
      <c r="D330" s="116">
        <v>1796</v>
      </c>
      <c r="E330" s="116">
        <v>1270</v>
      </c>
      <c r="F330" s="116" t="s">
        <v>2062</v>
      </c>
    </row>
    <row r="331" spans="1:6" ht="13.2">
      <c r="A331" s="116">
        <v>6903901</v>
      </c>
      <c r="B331" s="116">
        <v>170490</v>
      </c>
      <c r="C331" s="117" t="s">
        <v>2302</v>
      </c>
      <c r="D331" s="116">
        <v>3295</v>
      </c>
      <c r="E331" s="116">
        <v>588</v>
      </c>
      <c r="F331" s="116" t="s">
        <v>2178</v>
      </c>
    </row>
    <row r="332" spans="1:6" ht="13.2">
      <c r="A332" s="116">
        <v>6904101</v>
      </c>
      <c r="B332" s="116">
        <v>170490</v>
      </c>
      <c r="C332" s="117" t="s">
        <v>2303</v>
      </c>
      <c r="D332" s="116">
        <v>3295</v>
      </c>
      <c r="E332" s="116">
        <v>588</v>
      </c>
      <c r="F332" s="116" t="s">
        <v>2178</v>
      </c>
    </row>
    <row r="333" spans="1:6" ht="13.2">
      <c r="A333" s="116">
        <v>6904104</v>
      </c>
      <c r="B333" s="116">
        <v>190190</v>
      </c>
      <c r="C333" s="117" t="s">
        <v>2304</v>
      </c>
      <c r="D333" s="116">
        <v>3295</v>
      </c>
      <c r="E333" s="116">
        <v>588</v>
      </c>
      <c r="F333" s="116" t="s">
        <v>2178</v>
      </c>
    </row>
    <row r="334" spans="1:6" ht="13.2">
      <c r="A334" s="116">
        <v>6904201</v>
      </c>
      <c r="B334" s="116">
        <v>190190</v>
      </c>
      <c r="C334" s="117" t="s">
        <v>2305</v>
      </c>
      <c r="D334" s="116">
        <v>3295</v>
      </c>
      <c r="E334" s="116">
        <v>588</v>
      </c>
      <c r="F334" s="116" t="s">
        <v>2178</v>
      </c>
    </row>
    <row r="335" spans="1:6" ht="13.2">
      <c r="A335" s="116">
        <v>6904204</v>
      </c>
      <c r="B335" s="116">
        <v>190190</v>
      </c>
      <c r="C335" s="117" t="s">
        <v>2306</v>
      </c>
      <c r="D335" s="116">
        <v>2004</v>
      </c>
      <c r="E335" s="116">
        <v>1647</v>
      </c>
      <c r="F335" s="116" t="s">
        <v>2027</v>
      </c>
    </row>
    <row r="336" spans="1:6" ht="13.2">
      <c r="A336" s="116">
        <v>6904205</v>
      </c>
      <c r="B336" s="116">
        <v>40390</v>
      </c>
      <c r="C336" s="117" t="s">
        <v>2307</v>
      </c>
      <c r="D336" s="116">
        <v>2004</v>
      </c>
      <c r="E336" s="116">
        <v>1647</v>
      </c>
      <c r="F336" s="116" t="s">
        <v>2027</v>
      </c>
    </row>
    <row r="337" spans="1:6" ht="13.2">
      <c r="A337" s="116">
        <v>6904302</v>
      </c>
      <c r="B337" s="116">
        <v>190190</v>
      </c>
      <c r="C337" s="117" t="s">
        <v>2308</v>
      </c>
      <c r="D337" s="116">
        <v>2004</v>
      </c>
      <c r="E337" s="116">
        <v>1647</v>
      </c>
      <c r="F337" s="116" t="s">
        <v>2027</v>
      </c>
    </row>
    <row r="338" spans="1:6" ht="13.2">
      <c r="A338" s="116">
        <v>6904401</v>
      </c>
      <c r="B338" s="116">
        <v>190590</v>
      </c>
      <c r="C338" s="117" t="s">
        <v>2309</v>
      </c>
      <c r="D338" s="116">
        <v>3331</v>
      </c>
      <c r="E338" s="116">
        <v>2653</v>
      </c>
      <c r="F338" s="116" t="s">
        <v>2310</v>
      </c>
    </row>
    <row r="339" spans="1:6" ht="13.2">
      <c r="A339" s="116">
        <v>6904502</v>
      </c>
      <c r="B339" s="116">
        <v>110620</v>
      </c>
      <c r="C339" s="117" t="s">
        <v>2311</v>
      </c>
      <c r="D339" s="116">
        <v>2004</v>
      </c>
      <c r="E339" s="116">
        <v>1647</v>
      </c>
      <c r="F339" s="116" t="s">
        <v>2027</v>
      </c>
    </row>
    <row r="340" spans="1:6" ht="13.2">
      <c r="A340" s="116">
        <v>6904801</v>
      </c>
      <c r="B340" s="116">
        <v>210500</v>
      </c>
      <c r="C340" s="117" t="s">
        <v>2312</v>
      </c>
      <c r="D340" s="116">
        <v>1796</v>
      </c>
      <c r="E340" s="116">
        <v>1270</v>
      </c>
      <c r="F340" s="116" t="s">
        <v>2062</v>
      </c>
    </row>
    <row r="341" spans="1:6" ht="13.2">
      <c r="A341" s="116">
        <v>6904807</v>
      </c>
      <c r="B341" s="116">
        <v>210500</v>
      </c>
      <c r="C341" s="117" t="s">
        <v>2313</v>
      </c>
      <c r="D341" s="116">
        <v>594</v>
      </c>
      <c r="E341" s="116">
        <v>1966</v>
      </c>
      <c r="F341" s="116" t="s">
        <v>1976</v>
      </c>
    </row>
    <row r="342" spans="1:6" ht="13.2">
      <c r="A342" s="116">
        <v>6905001</v>
      </c>
      <c r="B342" s="116">
        <v>190120</v>
      </c>
      <c r="C342" s="117" t="s">
        <v>2314</v>
      </c>
      <c r="D342" s="116">
        <v>2350</v>
      </c>
      <c r="E342" s="116">
        <v>6115</v>
      </c>
      <c r="F342" s="116" t="s">
        <v>2253</v>
      </c>
    </row>
    <row r="343" spans="1:6" ht="13.2">
      <c r="A343" s="116">
        <v>6905401</v>
      </c>
      <c r="B343" s="116">
        <v>190531</v>
      </c>
      <c r="C343" s="117" t="s">
        <v>2315</v>
      </c>
      <c r="D343" s="116">
        <v>2350</v>
      </c>
      <c r="E343" s="116">
        <v>6115</v>
      </c>
      <c r="F343" s="116" t="s">
        <v>2253</v>
      </c>
    </row>
    <row r="344" spans="1:6" ht="13.2">
      <c r="A344" s="116">
        <v>6905603</v>
      </c>
      <c r="B344" s="116">
        <v>180690</v>
      </c>
      <c r="C344" s="117" t="s">
        <v>2316</v>
      </c>
      <c r="D344" s="116">
        <v>2004</v>
      </c>
      <c r="E344" s="116">
        <v>1647</v>
      </c>
      <c r="F344" s="116" t="s">
        <v>2027</v>
      </c>
    </row>
    <row r="345" spans="1:6" ht="13.2">
      <c r="A345" s="116">
        <v>6905801</v>
      </c>
      <c r="B345" s="116">
        <v>180500</v>
      </c>
      <c r="C345" s="117" t="s">
        <v>2317</v>
      </c>
      <c r="D345" s="116">
        <v>1642</v>
      </c>
      <c r="E345" s="116">
        <v>2233</v>
      </c>
      <c r="F345" s="116" t="s">
        <v>2318</v>
      </c>
    </row>
    <row r="346" spans="1:6" ht="13.2">
      <c r="A346" s="116">
        <v>6905804</v>
      </c>
      <c r="B346" s="116">
        <v>180500</v>
      </c>
      <c r="C346" s="117" t="s">
        <v>2319</v>
      </c>
      <c r="D346" s="116">
        <v>2525</v>
      </c>
      <c r="E346" s="116">
        <v>24910</v>
      </c>
      <c r="F346" s="116" t="s">
        <v>2223</v>
      </c>
    </row>
    <row r="347" spans="1:6" ht="13.2">
      <c r="A347" s="116">
        <v>6905901</v>
      </c>
      <c r="B347" s="116">
        <v>170490</v>
      </c>
      <c r="C347" s="117" t="s">
        <v>2320</v>
      </c>
      <c r="D347" s="116">
        <v>2333</v>
      </c>
      <c r="E347" s="116">
        <v>26430</v>
      </c>
      <c r="F347" s="116" t="s">
        <v>2223</v>
      </c>
    </row>
    <row r="348" spans="1:6" ht="13.2">
      <c r="A348" s="116">
        <v>6906404</v>
      </c>
      <c r="B348" s="116">
        <v>80111</v>
      </c>
      <c r="C348" s="117" t="s">
        <v>2321</v>
      </c>
      <c r="D348" s="116">
        <v>2333</v>
      </c>
      <c r="E348" s="116">
        <v>26430</v>
      </c>
      <c r="F348" s="116" t="s">
        <v>2223</v>
      </c>
    </row>
    <row r="349" spans="1:6" ht="13.2">
      <c r="A349" s="116">
        <v>6906501</v>
      </c>
      <c r="B349" s="116">
        <v>220290</v>
      </c>
      <c r="C349" s="117" t="s">
        <v>2322</v>
      </c>
      <c r="D349" s="116">
        <v>3295</v>
      </c>
      <c r="E349" s="116">
        <v>588</v>
      </c>
      <c r="F349" s="116" t="s">
        <v>2178</v>
      </c>
    </row>
    <row r="350" spans="1:6" ht="13.2">
      <c r="A350" s="116">
        <v>6906502</v>
      </c>
      <c r="B350" s="116">
        <v>220290</v>
      </c>
      <c r="C350" s="117" t="s">
        <v>2323</v>
      </c>
      <c r="D350" s="116">
        <v>1853</v>
      </c>
      <c r="E350" s="116">
        <v>928</v>
      </c>
      <c r="F350" s="116" t="s">
        <v>2088</v>
      </c>
    </row>
    <row r="351" spans="1:6" ht="13.2">
      <c r="A351" s="116">
        <v>6906602</v>
      </c>
      <c r="B351" s="116">
        <v>170111</v>
      </c>
      <c r="C351" s="117" t="s">
        <v>641</v>
      </c>
      <c r="D351" s="116">
        <v>794</v>
      </c>
      <c r="E351" s="116">
        <v>1519</v>
      </c>
      <c r="F351" s="116" t="s">
        <v>2079</v>
      </c>
    </row>
    <row r="352" spans="1:6" ht="13.2">
      <c r="A352" s="116">
        <v>6907001</v>
      </c>
      <c r="B352" s="116">
        <v>170113</v>
      </c>
      <c r="C352" s="117" t="s">
        <v>2324</v>
      </c>
      <c r="D352" s="116">
        <v>794</v>
      </c>
      <c r="E352" s="116">
        <v>1519</v>
      </c>
      <c r="F352" s="116" t="s">
        <v>2079</v>
      </c>
    </row>
    <row r="353" spans="1:6" ht="13.2">
      <c r="A353" s="116">
        <v>6907201</v>
      </c>
      <c r="B353" s="116">
        <v>190420</v>
      </c>
      <c r="C353" s="117" t="s">
        <v>2325</v>
      </c>
      <c r="D353" s="116">
        <v>422</v>
      </c>
      <c r="E353" s="116">
        <v>684</v>
      </c>
      <c r="F353" s="116" t="s">
        <v>2178</v>
      </c>
    </row>
    <row r="354" spans="1:6" ht="13.2">
      <c r="A354" s="116">
        <v>6907202</v>
      </c>
      <c r="B354" s="116">
        <v>190420</v>
      </c>
      <c r="C354" s="117" t="s">
        <v>2326</v>
      </c>
      <c r="D354" s="116">
        <v>767</v>
      </c>
      <c r="E354" s="116">
        <v>649</v>
      </c>
      <c r="F354" s="116" t="s">
        <v>2178</v>
      </c>
    </row>
    <row r="355" spans="1:6" ht="13.2">
      <c r="A355" s="116">
        <v>6907203</v>
      </c>
      <c r="B355" s="116">
        <v>190420</v>
      </c>
      <c r="C355" s="117" t="s">
        <v>2327</v>
      </c>
      <c r="D355" s="116">
        <v>2903</v>
      </c>
      <c r="E355" s="116">
        <v>1772</v>
      </c>
      <c r="F355" s="116" t="s">
        <v>2027</v>
      </c>
    </row>
    <row r="356" spans="1:6" ht="13.2">
      <c r="A356" s="116">
        <v>6907301</v>
      </c>
      <c r="B356" s="116">
        <v>190590</v>
      </c>
      <c r="C356" s="117" t="s">
        <v>2328</v>
      </c>
      <c r="D356" s="116">
        <v>2903</v>
      </c>
      <c r="E356" s="116">
        <v>1772</v>
      </c>
      <c r="F356" s="116" t="s">
        <v>2027</v>
      </c>
    </row>
    <row r="357" spans="1:6" ht="13.2">
      <c r="A357" s="116">
        <v>6907501</v>
      </c>
      <c r="B357" s="116">
        <v>210500</v>
      </c>
      <c r="C357" s="117" t="s">
        <v>2329</v>
      </c>
      <c r="D357" s="116">
        <v>2903</v>
      </c>
      <c r="E357" s="116">
        <v>1772</v>
      </c>
      <c r="F357" s="116" t="s">
        <v>2027</v>
      </c>
    </row>
    <row r="358" spans="1:6" ht="13.2">
      <c r="A358" s="116">
        <v>6907901</v>
      </c>
      <c r="B358" s="116">
        <v>200799</v>
      </c>
      <c r="C358" s="117" t="s">
        <v>2330</v>
      </c>
      <c r="D358" s="116">
        <v>1796</v>
      </c>
      <c r="E358" s="116">
        <v>1270</v>
      </c>
      <c r="F358" s="116" t="s">
        <v>2062</v>
      </c>
    </row>
    <row r="359" spans="1:6" ht="13.2">
      <c r="A359" s="116">
        <v>6908001</v>
      </c>
      <c r="B359" s="116">
        <v>200799</v>
      </c>
      <c r="C359" s="117" t="s">
        <v>2331</v>
      </c>
      <c r="D359" s="116">
        <v>2350</v>
      </c>
      <c r="E359" s="116">
        <v>6115</v>
      </c>
      <c r="F359" s="116" t="s">
        <v>2253</v>
      </c>
    </row>
    <row r="360" spans="1:6" ht="13.2">
      <c r="A360" s="116">
        <v>6909301</v>
      </c>
      <c r="B360" s="116">
        <v>80410</v>
      </c>
      <c r="C360" s="117" t="s">
        <v>2332</v>
      </c>
      <c r="D360" s="116">
        <v>2948</v>
      </c>
      <c r="E360" s="116">
        <v>1247</v>
      </c>
      <c r="F360" s="116" t="s">
        <v>2025</v>
      </c>
    </row>
    <row r="361" spans="1:6" ht="13.2">
      <c r="A361" s="116">
        <v>6909601</v>
      </c>
      <c r="B361" s="116">
        <v>210500</v>
      </c>
      <c r="C361" s="117" t="s">
        <v>2333</v>
      </c>
      <c r="D361" s="116">
        <v>2948</v>
      </c>
      <c r="E361" s="116">
        <v>1247</v>
      </c>
      <c r="F361" s="116" t="s">
        <v>2025</v>
      </c>
    </row>
    <row r="362" spans="1:6" ht="13.2">
      <c r="A362" s="116">
        <v>6909701</v>
      </c>
      <c r="B362" s="116">
        <v>210500</v>
      </c>
      <c r="C362" s="117" t="s">
        <v>2334</v>
      </c>
      <c r="D362" s="116">
        <v>239</v>
      </c>
      <c r="E362" s="116">
        <v>841</v>
      </c>
      <c r="F362" s="116" t="s">
        <v>2088</v>
      </c>
    </row>
    <row r="363" spans="1:6" ht="13.2">
      <c r="A363" s="116">
        <v>6909803</v>
      </c>
      <c r="B363" s="116">
        <v>170490</v>
      </c>
      <c r="C363" s="117" t="s">
        <v>2335</v>
      </c>
      <c r="D363" s="116">
        <v>2350</v>
      </c>
      <c r="E363" s="116">
        <v>6115</v>
      </c>
      <c r="F363" s="116" t="s">
        <v>2253</v>
      </c>
    </row>
    <row r="364" spans="1:6" ht="13.2">
      <c r="A364" s="116">
        <v>6909901</v>
      </c>
      <c r="B364" s="116">
        <v>170490</v>
      </c>
      <c r="C364" s="117" t="s">
        <v>2336</v>
      </c>
      <c r="D364" s="116">
        <v>2350</v>
      </c>
      <c r="E364" s="116">
        <v>6115</v>
      </c>
      <c r="F364" s="116" t="s">
        <v>2253</v>
      </c>
    </row>
    <row r="365" spans="1:6" ht="13.2">
      <c r="A365" s="116">
        <v>6909903</v>
      </c>
      <c r="B365" s="116">
        <v>170490</v>
      </c>
      <c r="C365" s="117" t="s">
        <v>2337</v>
      </c>
      <c r="D365" s="116">
        <v>3295</v>
      </c>
      <c r="E365" s="116">
        <v>588</v>
      </c>
      <c r="F365" s="116" t="s">
        <v>2178</v>
      </c>
    </row>
    <row r="366" spans="1:6" ht="13.2">
      <c r="A366" s="116">
        <v>6910002</v>
      </c>
      <c r="B366" s="116">
        <v>180500</v>
      </c>
      <c r="C366" s="117" t="s">
        <v>2338</v>
      </c>
      <c r="D366" s="116">
        <v>3295</v>
      </c>
      <c r="E366" s="116">
        <v>588</v>
      </c>
      <c r="F366" s="116" t="s">
        <v>2178</v>
      </c>
    </row>
    <row r="367" spans="1:6" ht="13.2">
      <c r="A367" s="116">
        <v>6910102</v>
      </c>
      <c r="B367" s="116">
        <v>180500</v>
      </c>
      <c r="C367" s="117" t="s">
        <v>2339</v>
      </c>
      <c r="D367" s="116">
        <v>3295</v>
      </c>
      <c r="E367" s="116">
        <v>588</v>
      </c>
      <c r="F367" s="116" t="s">
        <v>2178</v>
      </c>
    </row>
    <row r="368" spans="1:6" ht="13.2">
      <c r="A368" s="116">
        <v>6910221</v>
      </c>
      <c r="B368" s="116">
        <v>220290</v>
      </c>
      <c r="C368" s="117" t="s">
        <v>2340</v>
      </c>
      <c r="D368" s="116">
        <v>2333</v>
      </c>
      <c r="E368" s="116">
        <v>26430</v>
      </c>
      <c r="F368" s="116" t="s">
        <v>2223</v>
      </c>
    </row>
    <row r="369" spans="1:6" ht="13.2">
      <c r="A369" s="116">
        <v>6910321</v>
      </c>
      <c r="B369" s="116">
        <v>220290</v>
      </c>
      <c r="C369" s="117" t="s">
        <v>2341</v>
      </c>
      <c r="D369" s="116">
        <v>2333</v>
      </c>
      <c r="E369" s="116">
        <v>26430</v>
      </c>
      <c r="F369" s="116" t="s">
        <v>2223</v>
      </c>
    </row>
    <row r="370" spans="1:6" ht="13.2">
      <c r="A370" s="116">
        <v>6910322</v>
      </c>
      <c r="B370" s="116">
        <v>220290</v>
      </c>
      <c r="C370" s="117" t="s">
        <v>2342</v>
      </c>
      <c r="D370" s="116">
        <v>794</v>
      </c>
      <c r="E370" s="116">
        <v>1519</v>
      </c>
      <c r="F370" s="116" t="s">
        <v>2079</v>
      </c>
    </row>
    <row r="371" spans="1:6" ht="13.2">
      <c r="A371" s="116">
        <v>6910401</v>
      </c>
      <c r="B371" s="116">
        <v>180500</v>
      </c>
      <c r="C371" s="117" t="s">
        <v>2343</v>
      </c>
      <c r="D371" s="116">
        <v>794</v>
      </c>
      <c r="E371" s="116">
        <v>1519</v>
      </c>
      <c r="F371" s="116" t="s">
        <v>2079</v>
      </c>
    </row>
    <row r="372" spans="1:6" ht="13.2">
      <c r="A372" s="116">
        <v>6910501</v>
      </c>
      <c r="B372" s="116">
        <v>180500</v>
      </c>
      <c r="C372" s="117" t="s">
        <v>2344</v>
      </c>
      <c r="D372" s="116">
        <v>794</v>
      </c>
      <c r="E372" s="116">
        <v>1519</v>
      </c>
      <c r="F372" s="116" t="s">
        <v>2079</v>
      </c>
    </row>
    <row r="373" spans="1:6" ht="13.2">
      <c r="A373" s="116">
        <v>6910502</v>
      </c>
      <c r="B373" s="116">
        <v>180500</v>
      </c>
      <c r="C373" s="117" t="s">
        <v>2345</v>
      </c>
      <c r="D373" s="116">
        <v>2333</v>
      </c>
      <c r="E373" s="116">
        <v>26430</v>
      </c>
      <c r="F373" s="116" t="s">
        <v>2223</v>
      </c>
    </row>
    <row r="374" spans="1:6" ht="13.2">
      <c r="A374" s="116">
        <v>6910601</v>
      </c>
      <c r="B374" s="116">
        <v>200799</v>
      </c>
      <c r="C374" s="117" t="s">
        <v>2346</v>
      </c>
      <c r="D374" s="116">
        <v>2333</v>
      </c>
      <c r="E374" s="116">
        <v>26430</v>
      </c>
      <c r="F374" s="116" t="s">
        <v>2223</v>
      </c>
    </row>
    <row r="375" spans="1:6" ht="13.2">
      <c r="A375" s="116">
        <v>6910604</v>
      </c>
      <c r="B375" s="116">
        <v>200799</v>
      </c>
      <c r="C375" s="117" t="s">
        <v>2347</v>
      </c>
      <c r="D375" s="116">
        <v>2333</v>
      </c>
      <c r="E375" s="116">
        <v>26430</v>
      </c>
      <c r="F375" s="116" t="s">
        <v>2223</v>
      </c>
    </row>
    <row r="376" spans="1:6" ht="13.2">
      <c r="A376" s="116">
        <v>6910605</v>
      </c>
      <c r="B376" s="116">
        <v>200799</v>
      </c>
      <c r="C376" s="117" t="s">
        <v>2348</v>
      </c>
      <c r="D376" s="116">
        <v>2948</v>
      </c>
      <c r="E376" s="116">
        <v>1247</v>
      </c>
      <c r="F376" s="116" t="s">
        <v>2025</v>
      </c>
    </row>
    <row r="377" spans="1:6" ht="13.2">
      <c r="A377" s="116">
        <v>6910701</v>
      </c>
      <c r="B377" s="116">
        <v>200799</v>
      </c>
      <c r="C377" s="117" t="s">
        <v>2349</v>
      </c>
      <c r="D377" s="116">
        <v>2948</v>
      </c>
      <c r="E377" s="116">
        <v>1247</v>
      </c>
      <c r="F377" s="116" t="s">
        <v>2025</v>
      </c>
    </row>
    <row r="378" spans="1:6" ht="13.2">
      <c r="A378" s="116">
        <v>6910702</v>
      </c>
      <c r="B378" s="116">
        <v>200799</v>
      </c>
      <c r="C378" s="117" t="s">
        <v>2350</v>
      </c>
      <c r="D378" s="116">
        <v>2948</v>
      </c>
      <c r="E378" s="116">
        <v>1247</v>
      </c>
      <c r="F378" s="116" t="s">
        <v>2025</v>
      </c>
    </row>
    <row r="379" spans="1:6" ht="13.2">
      <c r="A379" s="116">
        <v>6910801</v>
      </c>
      <c r="B379" s="116">
        <v>41000</v>
      </c>
      <c r="C379" s="117" t="s">
        <v>2351</v>
      </c>
      <c r="D379" s="116">
        <v>2948</v>
      </c>
      <c r="E379" s="116">
        <v>1247</v>
      </c>
      <c r="F379" s="116" t="s">
        <v>2025</v>
      </c>
    </row>
    <row r="380" spans="1:6" ht="13.2">
      <c r="A380" s="116">
        <v>6910808</v>
      </c>
      <c r="B380" s="116">
        <v>41000</v>
      </c>
      <c r="C380" s="117" t="s">
        <v>2352</v>
      </c>
      <c r="D380" s="116">
        <v>2948</v>
      </c>
      <c r="E380" s="116">
        <v>1247</v>
      </c>
      <c r="F380" s="116" t="s">
        <v>2025</v>
      </c>
    </row>
    <row r="381" spans="1:6" ht="13.2">
      <c r="A381" s="116">
        <v>6910901</v>
      </c>
      <c r="B381" s="116">
        <v>41000</v>
      </c>
      <c r="C381" s="117" t="s">
        <v>2353</v>
      </c>
      <c r="D381" s="116">
        <v>3200</v>
      </c>
      <c r="E381" s="116">
        <v>3978</v>
      </c>
      <c r="F381" s="116" t="s">
        <v>2291</v>
      </c>
    </row>
    <row r="382" spans="1:6" ht="13.2">
      <c r="A382" s="116">
        <v>6911201</v>
      </c>
      <c r="B382" s="116">
        <v>190190</v>
      </c>
      <c r="C382" s="117" t="s">
        <v>2354</v>
      </c>
      <c r="D382" s="116">
        <v>3200</v>
      </c>
      <c r="E382" s="116">
        <v>3978</v>
      </c>
      <c r="F382" s="116" t="s">
        <v>2291</v>
      </c>
    </row>
    <row r="383" spans="1:6" ht="13.2">
      <c r="A383" s="116">
        <v>6911301</v>
      </c>
      <c r="B383" s="116">
        <v>190190</v>
      </c>
      <c r="C383" s="117" t="s">
        <v>2355</v>
      </c>
      <c r="D383" s="116">
        <v>3200</v>
      </c>
      <c r="E383" s="116">
        <v>3978</v>
      </c>
      <c r="F383" s="116" t="s">
        <v>2291</v>
      </c>
    </row>
    <row r="384" spans="1:6" ht="13.2">
      <c r="A384" s="116">
        <v>6912501</v>
      </c>
      <c r="B384" s="116">
        <v>190420</v>
      </c>
      <c r="C384" s="117" t="s">
        <v>2356</v>
      </c>
      <c r="D384" s="116">
        <v>2004</v>
      </c>
      <c r="E384" s="116">
        <v>1647</v>
      </c>
      <c r="F384" s="116" t="s">
        <v>2027</v>
      </c>
    </row>
    <row r="385" spans="1:6" ht="13.2">
      <c r="A385" s="116">
        <v>6912502</v>
      </c>
      <c r="B385" s="116">
        <v>190420</v>
      </c>
      <c r="C385" s="117" t="s">
        <v>2357</v>
      </c>
      <c r="D385" s="116">
        <v>2004</v>
      </c>
      <c r="E385" s="116">
        <v>1647</v>
      </c>
      <c r="F385" s="116" t="s">
        <v>2027</v>
      </c>
    </row>
    <row r="386" spans="1:6" ht="13.2">
      <c r="A386" s="116">
        <v>6912801</v>
      </c>
      <c r="B386" s="116">
        <v>220290</v>
      </c>
      <c r="C386" s="117" t="s">
        <v>2358</v>
      </c>
      <c r="D386" s="116">
        <v>2903</v>
      </c>
      <c r="E386" s="116">
        <v>1772</v>
      </c>
      <c r="F386" s="116" t="s">
        <v>2027</v>
      </c>
    </row>
    <row r="387" spans="1:6" ht="13.2">
      <c r="A387" s="116">
        <v>6913001</v>
      </c>
      <c r="B387" s="116">
        <v>200799</v>
      </c>
      <c r="C387" s="117" t="s">
        <v>2359</v>
      </c>
      <c r="D387" s="116">
        <v>2903</v>
      </c>
      <c r="E387" s="116">
        <v>1772</v>
      </c>
      <c r="F387" s="116" t="s">
        <v>2027</v>
      </c>
    </row>
    <row r="388" spans="1:6" ht="13.2">
      <c r="A388" s="116">
        <v>6913101</v>
      </c>
      <c r="B388" s="116">
        <v>200819</v>
      </c>
      <c r="C388" s="117" t="s">
        <v>2360</v>
      </c>
      <c r="D388" s="116">
        <v>794</v>
      </c>
      <c r="E388" s="116">
        <v>1519</v>
      </c>
      <c r="F388" s="116" t="s">
        <v>2079</v>
      </c>
    </row>
    <row r="389" spans="1:6" ht="13.2">
      <c r="A389" s="116">
        <v>6913103</v>
      </c>
      <c r="B389" s="116">
        <v>200799</v>
      </c>
      <c r="C389" s="117" t="s">
        <v>2361</v>
      </c>
      <c r="D389" s="116">
        <v>2948</v>
      </c>
      <c r="E389" s="116">
        <v>1247</v>
      </c>
      <c r="F389" s="116" t="s">
        <v>2025</v>
      </c>
    </row>
    <row r="390" spans="1:6" ht="13.2">
      <c r="A390" s="116">
        <v>6913108</v>
      </c>
      <c r="B390" s="116">
        <v>200819</v>
      </c>
      <c r="C390" s="117" t="s">
        <v>2362</v>
      </c>
      <c r="D390" s="116">
        <v>1602</v>
      </c>
      <c r="E390" s="116">
        <v>1247</v>
      </c>
      <c r="F390" s="116" t="s">
        <v>2025</v>
      </c>
    </row>
    <row r="391" spans="1:6" ht="13.2">
      <c r="A391" s="116">
        <v>6913801</v>
      </c>
      <c r="B391" s="116">
        <v>190190</v>
      </c>
      <c r="C391" s="117" t="s">
        <v>2363</v>
      </c>
      <c r="D391" s="116">
        <v>2948</v>
      </c>
      <c r="E391" s="116">
        <v>1247</v>
      </c>
      <c r="F391" s="116" t="s">
        <v>2025</v>
      </c>
    </row>
    <row r="392" spans="1:6" ht="13.2">
      <c r="A392" s="116">
        <v>6913901</v>
      </c>
      <c r="B392" s="116">
        <v>200799</v>
      </c>
      <c r="C392" s="117" t="s">
        <v>2364</v>
      </c>
      <c r="D392" s="116">
        <v>1602</v>
      </c>
      <c r="E392" s="116">
        <v>1247</v>
      </c>
      <c r="F392" s="116" t="s">
        <v>2025</v>
      </c>
    </row>
    <row r="393" spans="1:6" ht="13.2">
      <c r="A393" s="116">
        <v>6914001</v>
      </c>
      <c r="B393" s="116">
        <v>210690</v>
      </c>
      <c r="C393" s="117" t="s">
        <v>2365</v>
      </c>
      <c r="D393" s="116">
        <v>2004</v>
      </c>
      <c r="E393" s="116">
        <v>1647</v>
      </c>
      <c r="F393" s="116" t="s">
        <v>2027</v>
      </c>
    </row>
    <row r="394" spans="1:6" ht="13.2">
      <c r="A394" s="116">
        <v>6914002</v>
      </c>
      <c r="B394" s="116">
        <v>210690</v>
      </c>
      <c r="C394" s="117" t="s">
        <v>2366</v>
      </c>
      <c r="D394" s="116">
        <v>2948</v>
      </c>
      <c r="E394" s="116">
        <v>1247</v>
      </c>
      <c r="F394" s="116" t="s">
        <v>2025</v>
      </c>
    </row>
    <row r="395" spans="1:6" ht="13.2">
      <c r="A395" s="116">
        <v>6914003</v>
      </c>
      <c r="B395" s="116">
        <v>210690</v>
      </c>
      <c r="C395" s="117" t="s">
        <v>2367</v>
      </c>
      <c r="D395" s="116">
        <v>44570</v>
      </c>
      <c r="E395" s="116">
        <v>17481</v>
      </c>
      <c r="F395" s="116" t="s">
        <v>2253</v>
      </c>
    </row>
    <row r="396" spans="1:6" ht="13.2">
      <c r="A396" s="116">
        <v>70006</v>
      </c>
      <c r="B396" s="116">
        <v>210230</v>
      </c>
      <c r="C396" s="117" t="s">
        <v>2368</v>
      </c>
      <c r="D396" s="116">
        <v>44570</v>
      </c>
      <c r="E396" s="116">
        <v>17481</v>
      </c>
      <c r="F396" s="116" t="s">
        <v>2253</v>
      </c>
    </row>
    <row r="397" spans="1:6" ht="13.2">
      <c r="A397" s="116">
        <v>7001501</v>
      </c>
      <c r="B397" s="116">
        <v>210330</v>
      </c>
      <c r="C397" s="117" t="s">
        <v>2369</v>
      </c>
      <c r="D397" s="116">
        <v>44570</v>
      </c>
      <c r="E397" s="116">
        <v>17481</v>
      </c>
      <c r="F397" s="116" t="s">
        <v>2253</v>
      </c>
    </row>
    <row r="398" spans="1:6" ht="13.2">
      <c r="A398" s="116">
        <v>7002304</v>
      </c>
      <c r="B398" s="116">
        <v>70999</v>
      </c>
      <c r="C398" s="117" t="s">
        <v>1542</v>
      </c>
      <c r="D398" s="116">
        <v>7313</v>
      </c>
      <c r="E398" s="116">
        <v>6115</v>
      </c>
      <c r="F398" s="116" t="s">
        <v>2253</v>
      </c>
    </row>
    <row r="399" spans="1:6" ht="13.2">
      <c r="A399" s="116">
        <v>7002401</v>
      </c>
      <c r="B399" s="116">
        <v>200190</v>
      </c>
      <c r="C399" s="117" t="s">
        <v>2370</v>
      </c>
      <c r="D399" s="116">
        <v>1560</v>
      </c>
      <c r="E399" s="116">
        <v>432</v>
      </c>
      <c r="F399" s="116" t="s">
        <v>2253</v>
      </c>
    </row>
    <row r="400" spans="1:6" ht="13.2">
      <c r="A400" s="116">
        <v>7002601</v>
      </c>
      <c r="B400" s="116">
        <v>70519</v>
      </c>
      <c r="C400" s="117" t="s">
        <v>1635</v>
      </c>
      <c r="D400" s="116">
        <v>335</v>
      </c>
      <c r="E400" s="116">
        <v>799</v>
      </c>
      <c r="F400" s="116" t="s">
        <v>2020</v>
      </c>
    </row>
    <row r="401" spans="1:6" ht="13.2">
      <c r="A401" s="116">
        <v>7003601</v>
      </c>
      <c r="B401" s="116">
        <v>210310</v>
      </c>
      <c r="C401" s="117" t="s">
        <v>692</v>
      </c>
      <c r="D401" s="116">
        <v>808</v>
      </c>
      <c r="E401" s="116">
        <v>5129</v>
      </c>
      <c r="F401" s="116" t="s">
        <v>2025</v>
      </c>
    </row>
    <row r="402" spans="1:6" ht="13.2">
      <c r="A402" s="116">
        <v>7003604</v>
      </c>
      <c r="B402" s="116">
        <v>210310</v>
      </c>
      <c r="C402" s="117" t="s">
        <v>2371</v>
      </c>
      <c r="D402" s="116">
        <v>337</v>
      </c>
      <c r="E402" s="116">
        <v>416</v>
      </c>
      <c r="F402" s="116" t="s">
        <v>2119</v>
      </c>
    </row>
    <row r="403" spans="1:6" ht="13.2">
      <c r="A403" s="116">
        <v>7003801</v>
      </c>
      <c r="B403" s="116">
        <v>200989</v>
      </c>
      <c r="C403" s="117" t="s">
        <v>663</v>
      </c>
      <c r="D403" s="116">
        <v>1560</v>
      </c>
      <c r="E403" s="116">
        <v>628</v>
      </c>
      <c r="F403" s="116" t="s">
        <v>2253</v>
      </c>
    </row>
    <row r="404" spans="1:6" ht="13.2">
      <c r="A404" s="116">
        <v>7004301</v>
      </c>
      <c r="B404" s="116">
        <v>210390</v>
      </c>
      <c r="C404" s="117" t="s">
        <v>2372</v>
      </c>
      <c r="D404" s="116">
        <v>1560</v>
      </c>
      <c r="E404" s="116">
        <v>628</v>
      </c>
      <c r="F404" s="116" t="s">
        <v>2253</v>
      </c>
    </row>
    <row r="405" spans="1:6" ht="13.2">
      <c r="A405" s="116">
        <v>7004701</v>
      </c>
      <c r="B405" s="116">
        <v>200210</v>
      </c>
      <c r="C405" s="117" t="s">
        <v>1471</v>
      </c>
      <c r="D405" s="116">
        <v>943</v>
      </c>
      <c r="E405" s="116">
        <v>2072</v>
      </c>
      <c r="F405" s="116" t="s">
        <v>2373</v>
      </c>
    </row>
    <row r="406" spans="1:6" ht="13.2">
      <c r="A406" s="116">
        <v>7004801</v>
      </c>
      <c r="B406" s="116">
        <v>200950</v>
      </c>
      <c r="C406" s="117" t="s">
        <v>657</v>
      </c>
      <c r="D406" s="116">
        <v>1560</v>
      </c>
      <c r="E406" s="116">
        <v>432</v>
      </c>
      <c r="F406" s="116" t="s">
        <v>2253</v>
      </c>
    </row>
    <row r="407" spans="1:6" ht="13.2">
      <c r="A407" s="116">
        <v>7004802</v>
      </c>
      <c r="B407" s="116">
        <v>210320</v>
      </c>
      <c r="C407" s="117" t="s">
        <v>596</v>
      </c>
      <c r="D407" s="116">
        <v>1500</v>
      </c>
      <c r="E407" s="116">
        <v>357</v>
      </c>
      <c r="F407" s="116" t="s">
        <v>2025</v>
      </c>
    </row>
    <row r="408" spans="1:6" ht="13.2">
      <c r="A408" s="116">
        <v>7004803</v>
      </c>
      <c r="B408" s="116">
        <v>210320</v>
      </c>
      <c r="C408" s="117" t="s">
        <v>2374</v>
      </c>
      <c r="D408" s="116">
        <v>1300</v>
      </c>
      <c r="E408" s="116">
        <v>322</v>
      </c>
      <c r="F408" s="116" t="s">
        <v>1983</v>
      </c>
    </row>
    <row r="409" spans="1:6" ht="13.2">
      <c r="A409" s="116">
        <v>7006101</v>
      </c>
      <c r="B409" s="116">
        <v>90412</v>
      </c>
      <c r="C409" s="117" t="s">
        <v>2375</v>
      </c>
      <c r="D409" s="116">
        <v>1560</v>
      </c>
      <c r="E409" s="116">
        <v>236</v>
      </c>
      <c r="F409" s="116" t="s">
        <v>2253</v>
      </c>
    </row>
    <row r="410" spans="1:6" ht="13.2">
      <c r="A410" s="116">
        <v>7007101</v>
      </c>
      <c r="B410" s="116">
        <v>210410</v>
      </c>
      <c r="C410" s="117" t="s">
        <v>2376</v>
      </c>
      <c r="D410" s="116">
        <v>1560</v>
      </c>
      <c r="E410" s="116">
        <v>236</v>
      </c>
      <c r="F410" s="116" t="s">
        <v>2253</v>
      </c>
    </row>
    <row r="411" spans="1:6" ht="13.2">
      <c r="A411" s="116">
        <v>7007502</v>
      </c>
      <c r="B411" s="116">
        <v>40630</v>
      </c>
      <c r="C411" s="117" t="s">
        <v>1535</v>
      </c>
      <c r="D411" s="116">
        <v>330</v>
      </c>
      <c r="E411" s="116">
        <v>1842</v>
      </c>
      <c r="F411" s="116" t="s">
        <v>2022</v>
      </c>
    </row>
    <row r="412" spans="1:6" ht="13.2">
      <c r="A412" s="116">
        <v>7007701</v>
      </c>
      <c r="B412" s="116">
        <v>210410</v>
      </c>
      <c r="C412" s="117" t="s">
        <v>1692</v>
      </c>
      <c r="D412" s="116">
        <v>2900</v>
      </c>
      <c r="E412" s="116">
        <v>6115</v>
      </c>
      <c r="F412" s="116" t="s">
        <v>2253</v>
      </c>
    </row>
    <row r="413" spans="1:6" ht="13.2">
      <c r="A413" s="116">
        <v>7009102</v>
      </c>
      <c r="B413" s="116">
        <v>120740</v>
      </c>
      <c r="C413" s="117" t="s">
        <v>2377</v>
      </c>
      <c r="D413" s="116">
        <v>8180</v>
      </c>
      <c r="E413" s="116">
        <v>6262</v>
      </c>
      <c r="F413" s="116" t="s">
        <v>2378</v>
      </c>
    </row>
    <row r="414" spans="1:6" ht="13.2">
      <c r="A414" s="116">
        <v>70012</v>
      </c>
      <c r="B414" s="116">
        <v>91099</v>
      </c>
      <c r="C414" s="117" t="s">
        <v>1462</v>
      </c>
      <c r="D414" s="116">
        <v>2900</v>
      </c>
      <c r="E414" s="116">
        <v>6115</v>
      </c>
      <c r="F414" s="116" t="s">
        <v>2253</v>
      </c>
    </row>
    <row r="415" spans="1:6" ht="13.2">
      <c r="A415" s="116">
        <v>70033</v>
      </c>
      <c r="B415" s="116">
        <v>220900</v>
      </c>
      <c r="C415" s="117" t="s">
        <v>714</v>
      </c>
      <c r="D415" s="116">
        <v>1936</v>
      </c>
      <c r="E415" s="116">
        <v>6849</v>
      </c>
      <c r="F415" s="116" t="s">
        <v>1979</v>
      </c>
    </row>
    <row r="416" spans="1:6" ht="13.2">
      <c r="A416" s="116">
        <v>7010301</v>
      </c>
      <c r="B416" s="116">
        <v>70200</v>
      </c>
      <c r="C416" s="117" t="s">
        <v>2379</v>
      </c>
      <c r="D416" s="116">
        <v>330</v>
      </c>
      <c r="E416" s="116">
        <v>8159</v>
      </c>
      <c r="F416" s="116" t="s">
        <v>2022</v>
      </c>
    </row>
    <row r="417" spans="1:6" ht="13.2">
      <c r="A417" s="116">
        <v>7010401</v>
      </c>
      <c r="B417" s="116">
        <v>210390</v>
      </c>
      <c r="C417" s="117" t="s">
        <v>2380</v>
      </c>
      <c r="D417" s="116">
        <v>1331</v>
      </c>
      <c r="E417" s="116">
        <v>793</v>
      </c>
      <c r="F417" s="116" t="s">
        <v>2381</v>
      </c>
    </row>
    <row r="418" spans="1:6" ht="13.2">
      <c r="A418" s="116">
        <v>7010501</v>
      </c>
      <c r="B418" s="116">
        <v>210310</v>
      </c>
      <c r="C418" s="117" t="s">
        <v>2382</v>
      </c>
      <c r="D418" s="116">
        <v>772</v>
      </c>
      <c r="E418" s="116">
        <v>1887</v>
      </c>
      <c r="F418" s="116" t="s">
        <v>2153</v>
      </c>
    </row>
    <row r="419" spans="1:6" ht="13.2">
      <c r="A419" s="116">
        <v>7010601</v>
      </c>
      <c r="B419" s="116">
        <v>200989</v>
      </c>
      <c r="C419" s="117" t="s">
        <v>2383</v>
      </c>
      <c r="D419" s="116">
        <v>1560</v>
      </c>
      <c r="E419" s="116">
        <v>432</v>
      </c>
      <c r="F419" s="116" t="s">
        <v>2253</v>
      </c>
    </row>
    <row r="420" spans="1:6" ht="13.2">
      <c r="A420" s="116">
        <v>7079202</v>
      </c>
      <c r="B420" s="116">
        <v>210390</v>
      </c>
      <c r="C420" s="117" t="s">
        <v>2384</v>
      </c>
      <c r="D420" s="116">
        <v>1560</v>
      </c>
      <c r="E420" s="116">
        <v>628</v>
      </c>
      <c r="F420" s="116" t="s">
        <v>2253</v>
      </c>
    </row>
    <row r="421" spans="1:6" ht="13.2">
      <c r="A421" s="116">
        <v>7100101</v>
      </c>
      <c r="B421" s="116">
        <v>20130</v>
      </c>
      <c r="C421" s="117" t="s">
        <v>2385</v>
      </c>
      <c r="D421" s="116">
        <v>943</v>
      </c>
      <c r="E421" s="116">
        <v>2072</v>
      </c>
      <c r="F421" s="116" t="s">
        <v>2373</v>
      </c>
    </row>
    <row r="422" spans="1:6" ht="13.2">
      <c r="A422" s="116">
        <v>7100201</v>
      </c>
      <c r="B422" s="116">
        <v>20130</v>
      </c>
      <c r="C422" s="117" t="s">
        <v>2386</v>
      </c>
      <c r="D422" s="116">
        <v>1560</v>
      </c>
      <c r="E422" s="116">
        <v>432</v>
      </c>
      <c r="F422" s="116" t="s">
        <v>2253</v>
      </c>
    </row>
    <row r="423" spans="1:6" ht="13.2">
      <c r="A423" s="116">
        <v>7100205</v>
      </c>
      <c r="B423" s="116">
        <v>20130</v>
      </c>
      <c r="C423" s="117" t="s">
        <v>2387</v>
      </c>
      <c r="D423" s="116">
        <v>26938</v>
      </c>
      <c r="E423" s="116">
        <v>18136</v>
      </c>
      <c r="F423" s="116" t="s">
        <v>2388</v>
      </c>
    </row>
    <row r="424" spans="1:6" ht="13.2">
      <c r="A424" s="116">
        <v>7100301</v>
      </c>
      <c r="B424" s="116">
        <v>20130</v>
      </c>
      <c r="C424" s="117" t="s">
        <v>2389</v>
      </c>
      <c r="D424" s="116">
        <v>26938</v>
      </c>
      <c r="E424" s="116">
        <v>18136</v>
      </c>
      <c r="F424" s="116" t="s">
        <v>2388</v>
      </c>
    </row>
    <row r="425" spans="1:6" ht="13.2">
      <c r="A425" s="116">
        <v>7100303</v>
      </c>
      <c r="B425" s="116">
        <v>20130</v>
      </c>
      <c r="C425" s="117" t="s">
        <v>2390</v>
      </c>
      <c r="D425" s="116">
        <v>26938</v>
      </c>
      <c r="E425" s="116">
        <v>18136</v>
      </c>
      <c r="F425" s="116" t="s">
        <v>2388</v>
      </c>
    </row>
    <row r="426" spans="1:6" ht="13.2">
      <c r="A426" s="116">
        <v>7100304</v>
      </c>
      <c r="B426" s="116">
        <v>20130</v>
      </c>
      <c r="C426" s="117" t="s">
        <v>2391</v>
      </c>
      <c r="D426" s="116">
        <v>26938</v>
      </c>
      <c r="E426" s="116">
        <v>18136</v>
      </c>
      <c r="F426" s="116" t="s">
        <v>2388</v>
      </c>
    </row>
    <row r="427" spans="1:6" ht="13.2">
      <c r="A427" s="116">
        <v>7100501</v>
      </c>
      <c r="B427" s="116">
        <v>20130</v>
      </c>
      <c r="C427" s="117" t="s">
        <v>2392</v>
      </c>
      <c r="D427" s="116">
        <v>26938</v>
      </c>
      <c r="E427" s="116">
        <v>18136</v>
      </c>
      <c r="F427" s="116" t="s">
        <v>2388</v>
      </c>
    </row>
    <row r="428" spans="1:6" ht="13.2">
      <c r="A428" s="116">
        <v>7100502</v>
      </c>
      <c r="B428" s="116">
        <v>20130</v>
      </c>
      <c r="C428" s="117" t="s">
        <v>2393</v>
      </c>
      <c r="D428" s="116">
        <v>26938</v>
      </c>
      <c r="E428" s="116">
        <v>18136</v>
      </c>
      <c r="F428" s="116" t="s">
        <v>2388</v>
      </c>
    </row>
    <row r="429" spans="1:6" ht="13.2">
      <c r="A429" s="116">
        <v>7100604</v>
      </c>
      <c r="B429" s="116">
        <v>20130</v>
      </c>
      <c r="C429" s="117" t="s">
        <v>2394</v>
      </c>
      <c r="D429" s="116">
        <v>26938</v>
      </c>
      <c r="E429" s="116">
        <v>18136</v>
      </c>
      <c r="F429" s="116" t="s">
        <v>2388</v>
      </c>
    </row>
    <row r="430" spans="1:6" ht="13.2">
      <c r="A430" s="116">
        <v>7100606</v>
      </c>
      <c r="B430" s="116">
        <v>20130</v>
      </c>
      <c r="C430" s="117" t="s">
        <v>2395</v>
      </c>
      <c r="D430" s="116">
        <v>26938</v>
      </c>
      <c r="E430" s="116">
        <v>18136</v>
      </c>
      <c r="F430" s="116" t="s">
        <v>2388</v>
      </c>
    </row>
    <row r="431" spans="1:6" ht="13.2">
      <c r="A431" s="116">
        <v>7100607</v>
      </c>
      <c r="B431" s="116">
        <v>20130</v>
      </c>
      <c r="C431" s="117" t="s">
        <v>2396</v>
      </c>
      <c r="D431" s="116">
        <v>26938</v>
      </c>
      <c r="E431" s="116">
        <v>18136</v>
      </c>
      <c r="F431" s="116" t="s">
        <v>2388</v>
      </c>
    </row>
    <row r="432" spans="1:6" ht="13.2">
      <c r="A432" s="116">
        <v>7100608</v>
      </c>
      <c r="B432" s="116">
        <v>20130</v>
      </c>
      <c r="C432" s="117" t="s">
        <v>2397</v>
      </c>
      <c r="D432" s="116">
        <v>26938</v>
      </c>
      <c r="E432" s="116">
        <v>18136</v>
      </c>
      <c r="F432" s="116" t="s">
        <v>2388</v>
      </c>
    </row>
    <row r="433" spans="1:6" ht="13.2">
      <c r="A433" s="116">
        <v>7100702</v>
      </c>
      <c r="B433" s="116">
        <v>20130</v>
      </c>
      <c r="C433" s="117" t="s">
        <v>2398</v>
      </c>
      <c r="D433" s="116">
        <v>26938</v>
      </c>
      <c r="E433" s="116">
        <v>18136</v>
      </c>
      <c r="F433" s="116" t="s">
        <v>2388</v>
      </c>
    </row>
    <row r="434" spans="1:6" ht="13.2">
      <c r="A434" s="116">
        <v>7100801</v>
      </c>
      <c r="B434" s="116">
        <v>20130</v>
      </c>
      <c r="C434" s="117" t="s">
        <v>2399</v>
      </c>
      <c r="D434" s="116">
        <v>26938</v>
      </c>
      <c r="E434" s="116">
        <v>18136</v>
      </c>
      <c r="F434" s="116" t="s">
        <v>2388</v>
      </c>
    </row>
    <row r="435" spans="1:6" ht="13.2">
      <c r="A435" s="116">
        <v>7100803</v>
      </c>
      <c r="B435" s="116">
        <v>20130</v>
      </c>
      <c r="C435" s="117" t="s">
        <v>2400</v>
      </c>
      <c r="D435" s="116">
        <v>26938</v>
      </c>
      <c r="E435" s="116">
        <v>18136</v>
      </c>
      <c r="F435" s="116" t="s">
        <v>2388</v>
      </c>
    </row>
    <row r="436" spans="1:6" ht="13.2">
      <c r="A436" s="116">
        <v>7100905</v>
      </c>
      <c r="B436" s="116">
        <v>20130</v>
      </c>
      <c r="C436" s="117" t="s">
        <v>2401</v>
      </c>
      <c r="D436" s="116">
        <v>26938</v>
      </c>
      <c r="E436" s="116">
        <v>18136</v>
      </c>
      <c r="F436" s="116" t="s">
        <v>2388</v>
      </c>
    </row>
    <row r="437" spans="1:6" ht="13.2">
      <c r="A437" s="116">
        <v>7100908</v>
      </c>
      <c r="B437" s="116">
        <v>20120</v>
      </c>
      <c r="C437" s="117" t="s">
        <v>2402</v>
      </c>
      <c r="D437" s="116">
        <v>26938</v>
      </c>
      <c r="E437" s="116">
        <v>18136</v>
      </c>
      <c r="F437" s="116" t="s">
        <v>2388</v>
      </c>
    </row>
    <row r="438" spans="1:6" ht="13.2">
      <c r="A438" s="116">
        <v>7101001</v>
      </c>
      <c r="B438" s="116">
        <v>20130</v>
      </c>
      <c r="C438" s="117" t="s">
        <v>2403</v>
      </c>
      <c r="D438" s="116">
        <v>26938</v>
      </c>
      <c r="E438" s="116">
        <v>18136</v>
      </c>
      <c r="F438" s="116" t="s">
        <v>2388</v>
      </c>
    </row>
    <row r="439" spans="1:6" ht="13.2">
      <c r="A439" s="116">
        <v>7101006</v>
      </c>
      <c r="B439" s="116">
        <v>20130</v>
      </c>
      <c r="C439" s="117" t="s">
        <v>2404</v>
      </c>
      <c r="D439" s="116">
        <v>26938</v>
      </c>
      <c r="E439" s="116">
        <v>18136</v>
      </c>
      <c r="F439" s="116" t="s">
        <v>2388</v>
      </c>
    </row>
    <row r="440" spans="1:6" ht="13.2">
      <c r="A440" s="116">
        <v>7101009</v>
      </c>
      <c r="B440" s="116">
        <v>20130</v>
      </c>
      <c r="C440" s="117" t="s">
        <v>2405</v>
      </c>
      <c r="D440" s="116">
        <v>26938</v>
      </c>
      <c r="E440" s="116">
        <v>18136</v>
      </c>
      <c r="F440" s="116" t="s">
        <v>2388</v>
      </c>
    </row>
    <row r="441" spans="1:6" ht="13.2">
      <c r="A441" s="116">
        <v>7101011</v>
      </c>
      <c r="B441" s="116">
        <v>20130</v>
      </c>
      <c r="C441" s="117" t="s">
        <v>2406</v>
      </c>
      <c r="D441" s="116">
        <v>26938</v>
      </c>
      <c r="E441" s="116">
        <v>18136</v>
      </c>
      <c r="F441" s="116" t="s">
        <v>2388</v>
      </c>
    </row>
    <row r="442" spans="1:6" ht="13.2">
      <c r="A442" s="116">
        <v>7101101</v>
      </c>
      <c r="B442" s="116">
        <v>20130</v>
      </c>
      <c r="C442" s="117" t="s">
        <v>2407</v>
      </c>
      <c r="D442" s="116">
        <v>26938</v>
      </c>
      <c r="E442" s="116">
        <v>18136</v>
      </c>
      <c r="F442" s="116" t="s">
        <v>2388</v>
      </c>
    </row>
    <row r="443" spans="1:6" ht="13.2">
      <c r="A443" s="116">
        <v>7101202</v>
      </c>
      <c r="B443" s="116">
        <v>20130</v>
      </c>
      <c r="C443" s="117" t="s">
        <v>2408</v>
      </c>
      <c r="D443" s="116">
        <v>26938</v>
      </c>
      <c r="E443" s="116">
        <v>18136</v>
      </c>
      <c r="F443" s="116" t="s">
        <v>2388</v>
      </c>
    </row>
    <row r="444" spans="1:6" ht="13.2">
      <c r="A444" s="116">
        <v>7101203</v>
      </c>
      <c r="B444" s="116">
        <v>20130</v>
      </c>
      <c r="C444" s="117" t="s">
        <v>2409</v>
      </c>
      <c r="D444" s="116">
        <v>26938</v>
      </c>
      <c r="E444" s="116">
        <v>18136</v>
      </c>
      <c r="F444" s="116" t="s">
        <v>2388</v>
      </c>
    </row>
    <row r="445" spans="1:6" ht="13.2">
      <c r="A445" s="116">
        <v>7101301</v>
      </c>
      <c r="B445" s="116">
        <v>20120</v>
      </c>
      <c r="C445" s="117" t="s">
        <v>2410</v>
      </c>
      <c r="D445" s="116">
        <v>26938</v>
      </c>
      <c r="E445" s="116">
        <v>18136</v>
      </c>
      <c r="F445" s="116" t="s">
        <v>2388</v>
      </c>
    </row>
    <row r="446" spans="1:6" ht="13.2">
      <c r="A446" s="116">
        <v>7101704</v>
      </c>
      <c r="B446" s="116">
        <v>20130</v>
      </c>
      <c r="C446" s="117" t="s">
        <v>2411</v>
      </c>
      <c r="D446" s="116">
        <v>26938</v>
      </c>
      <c r="E446" s="116">
        <v>18136</v>
      </c>
      <c r="F446" s="116" t="s">
        <v>2388</v>
      </c>
    </row>
    <row r="447" spans="1:6" ht="13.2">
      <c r="A447" s="116">
        <v>7101706</v>
      </c>
      <c r="B447" s="116">
        <v>20130</v>
      </c>
      <c r="C447" s="117" t="s">
        <v>2412</v>
      </c>
      <c r="D447" s="116">
        <v>26938</v>
      </c>
      <c r="E447" s="116">
        <v>18136</v>
      </c>
      <c r="F447" s="116" t="s">
        <v>2388</v>
      </c>
    </row>
    <row r="448" spans="1:6" ht="13.2">
      <c r="A448" s="116">
        <v>7101801</v>
      </c>
      <c r="B448" s="116">
        <v>20629</v>
      </c>
      <c r="C448" s="117" t="s">
        <v>2413</v>
      </c>
      <c r="D448" s="116">
        <v>26938</v>
      </c>
      <c r="E448" s="116">
        <v>18136</v>
      </c>
      <c r="F448" s="116" t="s">
        <v>2388</v>
      </c>
    </row>
    <row r="449" spans="1:6" ht="13.2">
      <c r="A449" s="116">
        <v>7101806</v>
      </c>
      <c r="B449" s="116">
        <v>20610</v>
      </c>
      <c r="C449" s="117" t="s">
        <v>2414</v>
      </c>
      <c r="D449" s="116">
        <v>26938</v>
      </c>
      <c r="E449" s="116">
        <v>18136</v>
      </c>
      <c r="F449" s="116" t="s">
        <v>2388</v>
      </c>
    </row>
    <row r="450" spans="1:6" ht="13.2">
      <c r="A450" s="116">
        <v>7101901</v>
      </c>
      <c r="B450" s="116">
        <v>20610</v>
      </c>
      <c r="C450" s="117" t="s">
        <v>2415</v>
      </c>
      <c r="D450" s="116">
        <v>10100</v>
      </c>
      <c r="E450" s="116">
        <v>1389</v>
      </c>
      <c r="F450" s="116" t="s">
        <v>2416</v>
      </c>
    </row>
    <row r="451" spans="1:6" ht="13.2">
      <c r="A451" s="116">
        <v>7102001</v>
      </c>
      <c r="B451" s="116">
        <v>20610</v>
      </c>
      <c r="C451" s="117" t="s">
        <v>2417</v>
      </c>
      <c r="D451" s="116">
        <v>10100</v>
      </c>
      <c r="E451" s="116">
        <v>1389</v>
      </c>
      <c r="F451" s="116" t="s">
        <v>2416</v>
      </c>
    </row>
    <row r="452" spans="1:6" ht="13.2">
      <c r="A452" s="116">
        <v>7102102</v>
      </c>
      <c r="B452" s="116">
        <v>20610</v>
      </c>
      <c r="C452" s="117" t="s">
        <v>2418</v>
      </c>
      <c r="D452" s="116">
        <v>10100</v>
      </c>
      <c r="E452" s="116">
        <v>1389</v>
      </c>
      <c r="F452" s="116" t="s">
        <v>2416</v>
      </c>
    </row>
    <row r="453" spans="1:6" ht="13.2">
      <c r="A453" s="116">
        <v>7102201</v>
      </c>
      <c r="B453" s="116">
        <v>20610</v>
      </c>
      <c r="C453" s="117" t="s">
        <v>2419</v>
      </c>
      <c r="D453" s="116">
        <v>10100</v>
      </c>
      <c r="E453" s="116">
        <v>1389</v>
      </c>
      <c r="F453" s="116" t="s">
        <v>2416</v>
      </c>
    </row>
    <row r="454" spans="1:6" ht="13.2">
      <c r="A454" s="116">
        <v>7102401</v>
      </c>
      <c r="B454" s="116">
        <v>20610</v>
      </c>
      <c r="C454" s="117" t="s">
        <v>2420</v>
      </c>
      <c r="D454" s="116">
        <v>10100</v>
      </c>
      <c r="E454" s="116">
        <v>1389</v>
      </c>
      <c r="F454" s="116" t="s">
        <v>2416</v>
      </c>
    </row>
    <row r="455" spans="1:6" ht="13.2">
      <c r="A455" s="116">
        <v>7102402</v>
      </c>
      <c r="B455" s="116">
        <v>20610</v>
      </c>
      <c r="C455" s="117" t="s">
        <v>2421</v>
      </c>
      <c r="D455" s="116">
        <v>10100</v>
      </c>
      <c r="E455" s="116">
        <v>1389</v>
      </c>
      <c r="F455" s="116" t="s">
        <v>2416</v>
      </c>
    </row>
    <row r="456" spans="1:6" ht="13.2">
      <c r="A456" s="116">
        <v>7102403</v>
      </c>
      <c r="B456" s="116">
        <v>20610</v>
      </c>
      <c r="C456" s="117" t="s">
        <v>2422</v>
      </c>
      <c r="D456" s="116">
        <v>10100</v>
      </c>
      <c r="E456" s="116">
        <v>1389</v>
      </c>
      <c r="F456" s="116" t="s">
        <v>2416</v>
      </c>
    </row>
    <row r="457" spans="1:6" ht="13.2">
      <c r="A457" s="116">
        <v>7102404</v>
      </c>
      <c r="B457" s="116">
        <v>20680</v>
      </c>
      <c r="C457" s="117" t="s">
        <v>2423</v>
      </c>
      <c r="D457" s="116">
        <v>10100</v>
      </c>
      <c r="E457" s="116">
        <v>1389</v>
      </c>
      <c r="F457" s="116" t="s">
        <v>2416</v>
      </c>
    </row>
    <row r="458" spans="1:6" ht="13.2">
      <c r="A458" s="116">
        <v>7102501</v>
      </c>
      <c r="B458" s="116">
        <v>20622</v>
      </c>
      <c r="C458" s="117" t="s">
        <v>2424</v>
      </c>
      <c r="D458" s="116">
        <v>10100</v>
      </c>
      <c r="E458" s="116">
        <v>1389</v>
      </c>
      <c r="F458" s="116" t="s">
        <v>2416</v>
      </c>
    </row>
    <row r="459" spans="1:6" ht="13.2">
      <c r="A459" s="116">
        <v>7102601</v>
      </c>
      <c r="B459" s="116">
        <v>20130</v>
      </c>
      <c r="C459" s="117" t="s">
        <v>2424</v>
      </c>
      <c r="D459" s="116">
        <v>10100</v>
      </c>
      <c r="E459" s="116">
        <v>1389</v>
      </c>
      <c r="F459" s="116" t="s">
        <v>2416</v>
      </c>
    </row>
    <row r="460" spans="1:6" ht="13.2">
      <c r="A460" s="116">
        <v>7102701</v>
      </c>
      <c r="B460" s="116">
        <v>20621</v>
      </c>
      <c r="C460" s="117" t="s">
        <v>2425</v>
      </c>
      <c r="D460" s="116">
        <v>10100</v>
      </c>
      <c r="E460" s="116">
        <v>1389</v>
      </c>
      <c r="F460" s="116" t="s">
        <v>2416</v>
      </c>
    </row>
    <row r="461" spans="1:6" ht="13.2">
      <c r="A461" s="116">
        <v>7102801</v>
      </c>
      <c r="B461" s="116">
        <v>20120</v>
      </c>
      <c r="C461" s="117" t="s">
        <v>1426</v>
      </c>
      <c r="D461" s="116">
        <v>26938</v>
      </c>
      <c r="E461" s="116">
        <v>18136</v>
      </c>
      <c r="F461" s="116" t="s">
        <v>2388</v>
      </c>
    </row>
    <row r="462" spans="1:6" ht="13.2">
      <c r="A462" s="116">
        <v>7103101</v>
      </c>
      <c r="B462" s="116">
        <v>20610</v>
      </c>
      <c r="C462" s="117" t="s">
        <v>2426</v>
      </c>
      <c r="D462" s="116">
        <v>10100</v>
      </c>
      <c r="E462" s="116">
        <v>1389</v>
      </c>
      <c r="F462" s="116" t="s">
        <v>2416</v>
      </c>
    </row>
    <row r="463" spans="1:6" ht="13.2">
      <c r="A463" s="116">
        <v>7103104</v>
      </c>
      <c r="B463" s="116">
        <v>20130</v>
      </c>
      <c r="C463" s="117" t="s">
        <v>2427</v>
      </c>
      <c r="D463" s="116">
        <v>26938</v>
      </c>
      <c r="E463" s="116">
        <v>18136</v>
      </c>
      <c r="F463" s="116" t="s">
        <v>2388</v>
      </c>
    </row>
    <row r="464" spans="1:6" ht="13.2">
      <c r="A464" s="116">
        <v>7103105</v>
      </c>
      <c r="B464" s="116">
        <v>20610</v>
      </c>
      <c r="C464" s="117" t="s">
        <v>2428</v>
      </c>
      <c r="D464" s="116">
        <v>10100</v>
      </c>
      <c r="E464" s="116">
        <v>1389</v>
      </c>
      <c r="F464" s="116" t="s">
        <v>2416</v>
      </c>
    </row>
    <row r="465" spans="1:6" ht="13.2">
      <c r="A465" s="116">
        <v>7103301</v>
      </c>
      <c r="B465" s="116">
        <v>20319</v>
      </c>
      <c r="C465" s="117" t="s">
        <v>2429</v>
      </c>
      <c r="D465" s="116">
        <v>26938</v>
      </c>
      <c r="E465" s="116">
        <v>18136</v>
      </c>
      <c r="F465" s="116" t="s">
        <v>2388</v>
      </c>
    </row>
    <row r="466" spans="1:6" ht="13.2">
      <c r="A466" s="116">
        <v>7103305</v>
      </c>
      <c r="B466" s="116">
        <v>20319</v>
      </c>
      <c r="C466" s="117" t="s">
        <v>2430</v>
      </c>
      <c r="D466" s="116">
        <v>10100</v>
      </c>
      <c r="E466" s="116">
        <v>1389</v>
      </c>
      <c r="F466" s="116" t="s">
        <v>2416</v>
      </c>
    </row>
    <row r="467" spans="1:6" ht="13.2">
      <c r="A467" s="116">
        <v>7103401</v>
      </c>
      <c r="B467" s="116">
        <v>20319</v>
      </c>
      <c r="C467" s="117" t="s">
        <v>2431</v>
      </c>
      <c r="D467" s="116">
        <v>4005</v>
      </c>
      <c r="E467" s="116">
        <v>7509</v>
      </c>
      <c r="F467" s="116" t="s">
        <v>2432</v>
      </c>
    </row>
    <row r="468" spans="1:6" ht="13.2">
      <c r="A468" s="116">
        <v>7103403</v>
      </c>
      <c r="B468" s="116">
        <v>20319</v>
      </c>
      <c r="C468" s="117" t="s">
        <v>2433</v>
      </c>
      <c r="D468" s="116">
        <v>4005</v>
      </c>
      <c r="E468" s="116">
        <v>7509</v>
      </c>
      <c r="F468" s="116" t="s">
        <v>2432</v>
      </c>
    </row>
    <row r="469" spans="1:6" ht="13.2">
      <c r="A469" s="116">
        <v>7103501</v>
      </c>
      <c r="B469" s="116">
        <v>20319</v>
      </c>
      <c r="C469" s="117" t="s">
        <v>1558</v>
      </c>
      <c r="D469" s="116">
        <v>4005</v>
      </c>
      <c r="E469" s="116">
        <v>7509</v>
      </c>
      <c r="F469" s="116" t="s">
        <v>2432</v>
      </c>
    </row>
    <row r="470" spans="1:6" ht="13.2">
      <c r="A470" s="116">
        <v>7103701</v>
      </c>
      <c r="B470" s="116">
        <v>20319</v>
      </c>
      <c r="C470" s="117" t="s">
        <v>1812</v>
      </c>
      <c r="D470" s="116">
        <v>4005</v>
      </c>
      <c r="E470" s="116">
        <v>7509</v>
      </c>
      <c r="F470" s="116" t="s">
        <v>2432</v>
      </c>
    </row>
    <row r="471" spans="1:6" ht="13.2">
      <c r="A471" s="116">
        <v>7103801</v>
      </c>
      <c r="B471" s="116">
        <v>21012</v>
      </c>
      <c r="C471" s="117" t="s">
        <v>1445</v>
      </c>
      <c r="D471" s="116">
        <v>4005</v>
      </c>
      <c r="E471" s="116">
        <v>7509</v>
      </c>
      <c r="F471" s="116" t="s">
        <v>2432</v>
      </c>
    </row>
    <row r="472" spans="1:6" ht="13.2">
      <c r="A472" s="116">
        <v>7103903</v>
      </c>
      <c r="B472" s="116">
        <v>20641</v>
      </c>
      <c r="C472" s="117" t="s">
        <v>2434</v>
      </c>
      <c r="D472" s="116">
        <v>4885</v>
      </c>
      <c r="E472" s="116">
        <v>7509</v>
      </c>
      <c r="F472" s="116" t="s">
        <v>2432</v>
      </c>
    </row>
    <row r="473" spans="1:6" ht="13.2">
      <c r="A473" s="116">
        <v>7103906</v>
      </c>
      <c r="B473" s="116">
        <v>20641</v>
      </c>
      <c r="C473" s="117" t="s">
        <v>2435</v>
      </c>
      <c r="D473" s="116">
        <v>10200</v>
      </c>
      <c r="E473" s="116">
        <v>7360</v>
      </c>
      <c r="F473" s="116" t="s">
        <v>2436</v>
      </c>
    </row>
    <row r="474" spans="1:6" ht="13.2">
      <c r="A474" s="116">
        <v>7103907</v>
      </c>
      <c r="B474" s="116">
        <v>20641</v>
      </c>
      <c r="C474" s="117" t="s">
        <v>2437</v>
      </c>
      <c r="D474" s="116">
        <v>2925</v>
      </c>
      <c r="E474" s="116">
        <v>1389</v>
      </c>
      <c r="F474" s="116" t="s">
        <v>2416</v>
      </c>
    </row>
    <row r="475" spans="1:6" ht="13.2">
      <c r="A475" s="116">
        <v>7104101</v>
      </c>
      <c r="B475" s="116">
        <v>20319</v>
      </c>
      <c r="C475" s="117" t="s">
        <v>703</v>
      </c>
      <c r="D475" s="116">
        <v>2925</v>
      </c>
      <c r="E475" s="116">
        <v>1389</v>
      </c>
      <c r="F475" s="116" t="s">
        <v>2416</v>
      </c>
    </row>
    <row r="476" spans="1:6" ht="13.2">
      <c r="A476" s="116">
        <v>7104301</v>
      </c>
      <c r="B476" s="116">
        <v>20130</v>
      </c>
      <c r="C476" s="117" t="s">
        <v>2438</v>
      </c>
      <c r="D476" s="116">
        <v>2925</v>
      </c>
      <c r="E476" s="116">
        <v>1389</v>
      </c>
      <c r="F476" s="116" t="s">
        <v>2416</v>
      </c>
    </row>
    <row r="477" spans="1:6" ht="13.2">
      <c r="A477" s="116">
        <v>7104501</v>
      </c>
      <c r="B477" s="116">
        <v>20630</v>
      </c>
      <c r="C477" s="117" t="s">
        <v>2439</v>
      </c>
      <c r="D477" s="116">
        <v>3983</v>
      </c>
      <c r="E477" s="116">
        <v>7509</v>
      </c>
      <c r="F477" s="116" t="s">
        <v>2432</v>
      </c>
    </row>
    <row r="478" spans="1:6" ht="13.2">
      <c r="A478" s="116">
        <v>7104601</v>
      </c>
      <c r="B478" s="116">
        <v>20641</v>
      </c>
      <c r="C478" s="117" t="s">
        <v>2440</v>
      </c>
      <c r="D478" s="116">
        <v>26938</v>
      </c>
      <c r="E478" s="116">
        <v>18136</v>
      </c>
      <c r="F478" s="116" t="s">
        <v>2388</v>
      </c>
    </row>
    <row r="479" spans="1:6" ht="13.2">
      <c r="A479" s="116">
        <v>7104701</v>
      </c>
      <c r="B479" s="116">
        <v>20630</v>
      </c>
      <c r="C479" s="117" t="s">
        <v>2441</v>
      </c>
      <c r="D479" s="116">
        <v>2925</v>
      </c>
      <c r="E479" s="116">
        <v>1389</v>
      </c>
      <c r="F479" s="116" t="s">
        <v>2416</v>
      </c>
    </row>
    <row r="480" spans="1:6" ht="13.2">
      <c r="A480" s="116">
        <v>7105001</v>
      </c>
      <c r="B480" s="116">
        <v>20630</v>
      </c>
      <c r="C480" s="117" t="s">
        <v>2441</v>
      </c>
      <c r="D480" s="116">
        <v>2925</v>
      </c>
      <c r="E480" s="116">
        <v>1389</v>
      </c>
      <c r="F480" s="116" t="s">
        <v>2416</v>
      </c>
    </row>
    <row r="481" spans="1:6" ht="13.2">
      <c r="A481" s="116">
        <v>7105203</v>
      </c>
      <c r="B481" s="116">
        <v>20630</v>
      </c>
      <c r="C481" s="117" t="s">
        <v>2442</v>
      </c>
      <c r="D481" s="116">
        <v>2925</v>
      </c>
      <c r="E481" s="116">
        <v>1389</v>
      </c>
      <c r="F481" s="116" t="s">
        <v>2416</v>
      </c>
    </row>
    <row r="482" spans="1:6" ht="13.2">
      <c r="A482" s="116">
        <v>7105401</v>
      </c>
      <c r="B482" s="116">
        <v>20450</v>
      </c>
      <c r="C482" s="117" t="s">
        <v>2443</v>
      </c>
      <c r="D482" s="116">
        <v>2925</v>
      </c>
      <c r="E482" s="116">
        <v>1389</v>
      </c>
      <c r="F482" s="116" t="s">
        <v>2416</v>
      </c>
    </row>
    <row r="483" spans="1:6" ht="13.2">
      <c r="A483" s="116">
        <v>7105402</v>
      </c>
      <c r="B483" s="116">
        <v>20450</v>
      </c>
      <c r="C483" s="117" t="s">
        <v>2444</v>
      </c>
      <c r="D483" s="116">
        <v>2925</v>
      </c>
      <c r="E483" s="116">
        <v>1389</v>
      </c>
      <c r="F483" s="116" t="s">
        <v>2416</v>
      </c>
    </row>
    <row r="484" spans="1:6" ht="13.2">
      <c r="A484" s="116">
        <v>7105403</v>
      </c>
      <c r="B484" s="116">
        <v>20450</v>
      </c>
      <c r="C484" s="117" t="s">
        <v>2445</v>
      </c>
      <c r="D484" s="116">
        <v>14000</v>
      </c>
      <c r="E484" s="116">
        <v>7594</v>
      </c>
      <c r="F484" s="116" t="s">
        <v>2446</v>
      </c>
    </row>
    <row r="485" spans="1:6" ht="13.2">
      <c r="A485" s="116">
        <v>7105405</v>
      </c>
      <c r="B485" s="116">
        <v>20450</v>
      </c>
      <c r="C485" s="117" t="s">
        <v>2447</v>
      </c>
      <c r="D485" s="116">
        <v>14000</v>
      </c>
      <c r="E485" s="116">
        <v>7594</v>
      </c>
      <c r="F485" s="116" t="s">
        <v>2446</v>
      </c>
    </row>
    <row r="486" spans="1:6" ht="13.2">
      <c r="A486" s="116">
        <v>7105601</v>
      </c>
      <c r="B486" s="116">
        <v>20443</v>
      </c>
      <c r="C486" s="117" t="s">
        <v>2448</v>
      </c>
      <c r="D486" s="116">
        <v>14000</v>
      </c>
      <c r="E486" s="116">
        <v>7594</v>
      </c>
      <c r="F486" s="116" t="s">
        <v>2446</v>
      </c>
    </row>
    <row r="487" spans="1:6" ht="13.2">
      <c r="A487" s="116">
        <v>7105602</v>
      </c>
      <c r="B487" s="116">
        <v>20443</v>
      </c>
      <c r="C487" s="117" t="s">
        <v>2449</v>
      </c>
      <c r="D487" s="116">
        <v>14000</v>
      </c>
      <c r="E487" s="116">
        <v>7594</v>
      </c>
      <c r="F487" s="116" t="s">
        <v>2446</v>
      </c>
    </row>
    <row r="488" spans="1:6" ht="13.2">
      <c r="A488" s="116">
        <v>7105801</v>
      </c>
      <c r="B488" s="116">
        <v>20680</v>
      </c>
      <c r="C488" s="117" t="s">
        <v>2450</v>
      </c>
      <c r="D488" s="116">
        <v>14000</v>
      </c>
      <c r="E488" s="116">
        <v>7594</v>
      </c>
      <c r="F488" s="116" t="s">
        <v>2446</v>
      </c>
    </row>
    <row r="489" spans="1:6" ht="13.2">
      <c r="A489" s="116">
        <v>7106301</v>
      </c>
      <c r="B489" s="116">
        <v>20319</v>
      </c>
      <c r="C489" s="117" t="s">
        <v>2431</v>
      </c>
      <c r="D489" s="116">
        <v>14000</v>
      </c>
      <c r="E489" s="116">
        <v>7594</v>
      </c>
      <c r="F489" s="116" t="s">
        <v>2446</v>
      </c>
    </row>
    <row r="490" spans="1:6" ht="13.2">
      <c r="A490" s="116">
        <v>7106401</v>
      </c>
      <c r="B490" s="116">
        <v>20130</v>
      </c>
      <c r="C490" s="117" t="s">
        <v>2451</v>
      </c>
      <c r="D490" s="116">
        <v>10100</v>
      </c>
      <c r="E490" s="116">
        <v>1389</v>
      </c>
      <c r="F490" s="116" t="s">
        <v>2416</v>
      </c>
    </row>
    <row r="491" spans="1:6" ht="13.2">
      <c r="A491" s="116">
        <v>7106501</v>
      </c>
      <c r="B491" s="116">
        <v>20319</v>
      </c>
      <c r="C491" s="117" t="s">
        <v>2452</v>
      </c>
      <c r="D491" s="116">
        <v>4005</v>
      </c>
      <c r="E491" s="116">
        <v>7509</v>
      </c>
      <c r="F491" s="116" t="s">
        <v>2432</v>
      </c>
    </row>
    <row r="492" spans="1:6" ht="13.2">
      <c r="A492" s="116">
        <v>7107501</v>
      </c>
      <c r="B492" s="116">
        <v>20319</v>
      </c>
      <c r="C492" s="117" t="s">
        <v>2453</v>
      </c>
      <c r="D492" s="116">
        <v>26938</v>
      </c>
      <c r="E492" s="116">
        <v>18136</v>
      </c>
      <c r="F492" s="116" t="s">
        <v>2388</v>
      </c>
    </row>
    <row r="493" spans="1:6" ht="13.2">
      <c r="A493" s="116">
        <v>7107601</v>
      </c>
      <c r="B493" s="116">
        <v>20890</v>
      </c>
      <c r="C493" s="117" t="s">
        <v>2454</v>
      </c>
      <c r="D493" s="116">
        <v>4005</v>
      </c>
      <c r="E493" s="116">
        <v>7509</v>
      </c>
      <c r="F493" s="116" t="s">
        <v>2432</v>
      </c>
    </row>
    <row r="494" spans="1:6" ht="13.2">
      <c r="A494" s="116">
        <v>7107603</v>
      </c>
      <c r="B494" s="116">
        <v>20890</v>
      </c>
      <c r="C494" s="117" t="s">
        <v>2455</v>
      </c>
      <c r="D494" s="116">
        <v>2925</v>
      </c>
      <c r="E494" s="116">
        <v>1389</v>
      </c>
      <c r="F494" s="116" t="s">
        <v>2432</v>
      </c>
    </row>
    <row r="495" spans="1:6" ht="13.2">
      <c r="A495" s="116">
        <v>7107611</v>
      </c>
      <c r="B495" s="116">
        <v>20850</v>
      </c>
      <c r="C495" s="117" t="s">
        <v>2456</v>
      </c>
      <c r="D495" s="116">
        <v>3321</v>
      </c>
      <c r="E495" s="116">
        <v>10064</v>
      </c>
      <c r="F495" s="116" t="s">
        <v>2416</v>
      </c>
    </row>
    <row r="496" spans="1:6" ht="13.2">
      <c r="A496" s="116">
        <v>7107615</v>
      </c>
      <c r="B496" s="116">
        <v>20890</v>
      </c>
      <c r="C496" s="117" t="s">
        <v>2457</v>
      </c>
      <c r="D496" s="116">
        <v>3321</v>
      </c>
      <c r="E496" s="116">
        <v>10064</v>
      </c>
      <c r="F496" s="116" t="s">
        <v>2416</v>
      </c>
    </row>
    <row r="497" spans="1:6" ht="13.2">
      <c r="A497" s="116">
        <v>7107617</v>
      </c>
      <c r="B497" s="116">
        <v>20890</v>
      </c>
      <c r="C497" s="117" t="s">
        <v>2458</v>
      </c>
      <c r="D497" s="116">
        <v>3321</v>
      </c>
      <c r="E497" s="116">
        <v>10064</v>
      </c>
      <c r="F497" s="116" t="s">
        <v>2416</v>
      </c>
    </row>
    <row r="498" spans="1:6" ht="13.2">
      <c r="A498" s="116">
        <v>7107622</v>
      </c>
      <c r="B498" s="116">
        <v>20850</v>
      </c>
      <c r="C498" s="117" t="s">
        <v>2459</v>
      </c>
      <c r="D498" s="116">
        <v>3321</v>
      </c>
      <c r="E498" s="116">
        <v>10064</v>
      </c>
      <c r="F498" s="116" t="s">
        <v>2416</v>
      </c>
    </row>
    <row r="499" spans="1:6" ht="13.2">
      <c r="A499" s="116">
        <v>7107801</v>
      </c>
      <c r="B499" s="116">
        <v>20130</v>
      </c>
      <c r="C499" s="117" t="s">
        <v>2460</v>
      </c>
      <c r="D499" s="116">
        <v>3321</v>
      </c>
      <c r="E499" s="116">
        <v>10064</v>
      </c>
      <c r="F499" s="116" t="s">
        <v>2416</v>
      </c>
    </row>
    <row r="500" spans="1:6" ht="13.2">
      <c r="A500" s="116">
        <v>7107804</v>
      </c>
      <c r="B500" s="116">
        <v>20130</v>
      </c>
      <c r="C500" s="117" t="s">
        <v>2461</v>
      </c>
      <c r="D500" s="116">
        <v>3321</v>
      </c>
      <c r="E500" s="116">
        <v>10064</v>
      </c>
      <c r="F500" s="116" t="s">
        <v>2416</v>
      </c>
    </row>
    <row r="501" spans="1:6" ht="13.2">
      <c r="A501" s="116">
        <v>7107805</v>
      </c>
      <c r="B501" s="116">
        <v>20130</v>
      </c>
      <c r="C501" s="117" t="s">
        <v>2462</v>
      </c>
      <c r="D501" s="116">
        <v>26938</v>
      </c>
      <c r="E501" s="116">
        <v>18136</v>
      </c>
      <c r="F501" s="116" t="s">
        <v>2388</v>
      </c>
    </row>
    <row r="502" spans="1:6" ht="13.2">
      <c r="A502" s="116">
        <v>7108107</v>
      </c>
      <c r="B502" s="116">
        <v>20680</v>
      </c>
      <c r="C502" s="117" t="s">
        <v>2463</v>
      </c>
      <c r="D502" s="116">
        <v>26938</v>
      </c>
      <c r="E502" s="116">
        <v>18136</v>
      </c>
      <c r="F502" s="116" t="s">
        <v>2388</v>
      </c>
    </row>
    <row r="503" spans="1:6" ht="13.2">
      <c r="A503" s="116">
        <v>7108301</v>
      </c>
      <c r="B503" s="116">
        <v>20630</v>
      </c>
      <c r="C503" s="117" t="s">
        <v>2464</v>
      </c>
      <c r="D503" s="116">
        <v>26938</v>
      </c>
      <c r="E503" s="116">
        <v>18136</v>
      </c>
      <c r="F503" s="116" t="s">
        <v>2388</v>
      </c>
    </row>
    <row r="504" spans="1:6" ht="13.2">
      <c r="A504" s="116">
        <v>7109101</v>
      </c>
      <c r="B504" s="116">
        <v>20130</v>
      </c>
      <c r="C504" s="117" t="s">
        <v>2465</v>
      </c>
      <c r="D504" s="116">
        <v>10100</v>
      </c>
      <c r="E504" s="116">
        <v>1389</v>
      </c>
      <c r="F504" s="116" t="s">
        <v>2416</v>
      </c>
    </row>
    <row r="505" spans="1:6" ht="13.2">
      <c r="A505" s="116">
        <v>7110601</v>
      </c>
      <c r="B505" s="116">
        <v>20319</v>
      </c>
      <c r="C505" s="117" t="s">
        <v>2466</v>
      </c>
      <c r="D505" s="116">
        <v>2925</v>
      </c>
      <c r="E505" s="116">
        <v>1389</v>
      </c>
      <c r="F505" s="116" t="s">
        <v>2416</v>
      </c>
    </row>
    <row r="506" spans="1:6" ht="13.2">
      <c r="A506" s="116">
        <v>7110801</v>
      </c>
      <c r="B506" s="116">
        <v>20130</v>
      </c>
      <c r="C506" s="117" t="s">
        <v>2467</v>
      </c>
      <c r="D506" s="116">
        <v>26938</v>
      </c>
      <c r="E506" s="116">
        <v>18136</v>
      </c>
      <c r="F506" s="116" t="s">
        <v>2388</v>
      </c>
    </row>
    <row r="507" spans="1:6" ht="13.2">
      <c r="A507" s="116">
        <v>7110902</v>
      </c>
      <c r="B507" s="116">
        <v>20120</v>
      </c>
      <c r="C507" s="117" t="s">
        <v>2468</v>
      </c>
      <c r="D507" s="116">
        <v>4005</v>
      </c>
      <c r="E507" s="116">
        <v>7509</v>
      </c>
      <c r="F507" s="116" t="s">
        <v>2432</v>
      </c>
    </row>
    <row r="508" spans="1:6" ht="13.2">
      <c r="A508" s="116">
        <v>7111202</v>
      </c>
      <c r="B508" s="116">
        <v>20130</v>
      </c>
      <c r="C508" s="117" t="s">
        <v>2469</v>
      </c>
      <c r="D508" s="116">
        <v>26938</v>
      </c>
      <c r="E508" s="116">
        <v>18136</v>
      </c>
      <c r="F508" s="116" t="s">
        <v>2388</v>
      </c>
    </row>
    <row r="509" spans="1:6" ht="13.2">
      <c r="A509" s="116">
        <v>7111401</v>
      </c>
      <c r="B509" s="116">
        <v>20130</v>
      </c>
      <c r="C509" s="117" t="s">
        <v>2470</v>
      </c>
      <c r="D509" s="116">
        <v>26938</v>
      </c>
      <c r="E509" s="116">
        <v>18136</v>
      </c>
      <c r="F509" s="116" t="s">
        <v>2388</v>
      </c>
    </row>
    <row r="510" spans="1:6" ht="13.2">
      <c r="A510" s="116">
        <v>7111405</v>
      </c>
      <c r="B510" s="116">
        <v>20130</v>
      </c>
      <c r="C510" s="117" t="s">
        <v>2471</v>
      </c>
      <c r="D510" s="116">
        <v>26938</v>
      </c>
      <c r="E510" s="116">
        <v>18136</v>
      </c>
      <c r="F510" s="116" t="s">
        <v>2388</v>
      </c>
    </row>
    <row r="511" spans="1:6" ht="13.2">
      <c r="A511" s="116">
        <v>7111702</v>
      </c>
      <c r="B511" s="116">
        <v>20319</v>
      </c>
      <c r="C511" s="117" t="s">
        <v>2472</v>
      </c>
      <c r="D511" s="116">
        <v>26938</v>
      </c>
      <c r="E511" s="116">
        <v>18136</v>
      </c>
      <c r="F511" s="116" t="s">
        <v>2388</v>
      </c>
    </row>
    <row r="512" spans="1:6" ht="13.2">
      <c r="A512" s="116">
        <v>7111806</v>
      </c>
      <c r="B512" s="116">
        <v>20130</v>
      </c>
      <c r="C512" s="117" t="s">
        <v>2473</v>
      </c>
      <c r="D512" s="116">
        <v>26938</v>
      </c>
      <c r="E512" s="116">
        <v>18136</v>
      </c>
      <c r="F512" s="116" t="s">
        <v>2388</v>
      </c>
    </row>
    <row r="513" spans="1:6" ht="13.2">
      <c r="A513" s="116">
        <v>7200101</v>
      </c>
      <c r="B513" s="116">
        <v>30250</v>
      </c>
      <c r="C513" s="117" t="s">
        <v>2474</v>
      </c>
      <c r="D513" s="116">
        <v>4005</v>
      </c>
      <c r="E513" s="116">
        <v>7509</v>
      </c>
      <c r="F513" s="116" t="s">
        <v>2432</v>
      </c>
    </row>
    <row r="514" spans="1:6" ht="13.2">
      <c r="A514" s="116">
        <v>7200401</v>
      </c>
      <c r="B514" s="116">
        <v>30250</v>
      </c>
      <c r="C514" s="117" t="s">
        <v>2475</v>
      </c>
      <c r="D514" s="116">
        <v>26938</v>
      </c>
      <c r="E514" s="116">
        <v>18136</v>
      </c>
      <c r="F514" s="116" t="s">
        <v>2388</v>
      </c>
    </row>
    <row r="515" spans="1:6" ht="13.2">
      <c r="A515" s="116">
        <v>7260101</v>
      </c>
      <c r="B515" s="116">
        <v>30627</v>
      </c>
      <c r="C515" s="117" t="s">
        <v>709</v>
      </c>
      <c r="D515" s="116">
        <v>4452</v>
      </c>
      <c r="E515" s="116">
        <v>0</v>
      </c>
      <c r="F515" s="116" t="s">
        <v>2476</v>
      </c>
    </row>
    <row r="516" spans="1:6" ht="13.2">
      <c r="A516" s="116">
        <v>7261101</v>
      </c>
      <c r="B516" s="116">
        <v>30627</v>
      </c>
      <c r="C516" s="117" t="s">
        <v>2477</v>
      </c>
      <c r="D516" s="116">
        <v>4227</v>
      </c>
      <c r="E516" s="116">
        <v>0</v>
      </c>
      <c r="F516" s="116" t="s">
        <v>2478</v>
      </c>
    </row>
    <row r="517" spans="1:6" ht="13.2">
      <c r="A517" s="116">
        <v>7261120</v>
      </c>
      <c r="B517" s="116">
        <v>30627</v>
      </c>
      <c r="C517" s="117" t="s">
        <v>2479</v>
      </c>
      <c r="D517" s="116">
        <v>20742</v>
      </c>
      <c r="E517" s="116">
        <v>0</v>
      </c>
      <c r="F517" s="116" t="s">
        <v>2478</v>
      </c>
    </row>
    <row r="518" spans="1:6" ht="13.2">
      <c r="A518" s="116">
        <v>7261121</v>
      </c>
      <c r="B518" s="116">
        <v>30627</v>
      </c>
      <c r="C518" s="117" t="s">
        <v>2480</v>
      </c>
      <c r="D518" s="116">
        <v>6320</v>
      </c>
      <c r="E518" s="116">
        <v>0</v>
      </c>
      <c r="F518" s="116" t="s">
        <v>2478</v>
      </c>
    </row>
    <row r="519" spans="1:6" ht="13.2">
      <c r="A519" s="116">
        <v>7262101</v>
      </c>
      <c r="B519" s="116">
        <v>30627</v>
      </c>
      <c r="C519" s="117" t="s">
        <v>2481</v>
      </c>
      <c r="D519" s="116">
        <v>6320</v>
      </c>
      <c r="E519" s="116">
        <v>0</v>
      </c>
      <c r="F519" s="116" t="s">
        <v>2478</v>
      </c>
    </row>
    <row r="520" spans="1:6" ht="13.2">
      <c r="A520" s="116">
        <v>7262105</v>
      </c>
      <c r="B520" s="116">
        <v>30627</v>
      </c>
      <c r="C520" s="117" t="s">
        <v>2482</v>
      </c>
      <c r="D520" s="116">
        <v>17858</v>
      </c>
      <c r="E520" s="116">
        <v>0</v>
      </c>
      <c r="F520" s="116" t="s">
        <v>2478</v>
      </c>
    </row>
    <row r="521" spans="1:6" ht="13.2">
      <c r="A521" s="116">
        <v>7263101</v>
      </c>
      <c r="B521" s="116">
        <v>30710</v>
      </c>
      <c r="C521" s="117" t="s">
        <v>1675</v>
      </c>
      <c r="D521" s="116">
        <v>6320</v>
      </c>
      <c r="E521" s="116">
        <v>0</v>
      </c>
      <c r="F521" s="116" t="s">
        <v>2478</v>
      </c>
    </row>
    <row r="522" spans="1:6" ht="13.2">
      <c r="A522" s="116">
        <v>7264101</v>
      </c>
      <c r="B522" s="116">
        <v>30710</v>
      </c>
      <c r="C522" s="117" t="s">
        <v>2483</v>
      </c>
      <c r="D522" s="116">
        <v>17858</v>
      </c>
      <c r="E522" s="116">
        <v>0</v>
      </c>
      <c r="F522" s="116" t="s">
        <v>2478</v>
      </c>
    </row>
    <row r="523" spans="1:6" ht="13.2">
      <c r="A523" s="116">
        <v>7265101</v>
      </c>
      <c r="B523" s="116">
        <v>30749</v>
      </c>
      <c r="C523" s="117" t="s">
        <v>2484</v>
      </c>
      <c r="D523" s="116">
        <v>4611</v>
      </c>
      <c r="E523" s="116">
        <v>0</v>
      </c>
      <c r="F523" s="116" t="s">
        <v>2478</v>
      </c>
    </row>
    <row r="524" spans="1:6" ht="13.2">
      <c r="A524" s="116">
        <v>7266101</v>
      </c>
      <c r="B524" s="116">
        <v>30731</v>
      </c>
      <c r="C524" s="117" t="s">
        <v>2485</v>
      </c>
      <c r="D524" s="116">
        <v>4611</v>
      </c>
      <c r="E524" s="116">
        <v>0</v>
      </c>
      <c r="F524" s="116" t="s">
        <v>2478</v>
      </c>
    </row>
    <row r="525" spans="1:6" ht="13.2">
      <c r="A525" s="116">
        <v>7270401</v>
      </c>
      <c r="B525" s="116">
        <v>30551</v>
      </c>
      <c r="C525" s="117" t="s">
        <v>2486</v>
      </c>
      <c r="D525" s="116">
        <v>6883</v>
      </c>
      <c r="E525" s="116">
        <v>0</v>
      </c>
      <c r="F525" s="116" t="s">
        <v>2478</v>
      </c>
    </row>
    <row r="526" spans="1:6" ht="13.2">
      <c r="A526" s="116">
        <v>7273101</v>
      </c>
      <c r="B526" s="116">
        <v>160431</v>
      </c>
      <c r="C526" s="117" t="s">
        <v>2487</v>
      </c>
      <c r="D526" s="116">
        <v>5585</v>
      </c>
      <c r="E526" s="116">
        <v>0</v>
      </c>
      <c r="F526" s="116" t="s">
        <v>2478</v>
      </c>
    </row>
    <row r="527" spans="1:6" ht="13.2">
      <c r="A527" s="116">
        <v>7400101</v>
      </c>
      <c r="B527" s="116">
        <v>30250</v>
      </c>
      <c r="C527" s="117" t="s">
        <v>2488</v>
      </c>
      <c r="D527" s="116">
        <v>2858</v>
      </c>
      <c r="E527" s="116">
        <v>0</v>
      </c>
      <c r="F527" s="116" t="s">
        <v>2478</v>
      </c>
    </row>
    <row r="528" spans="1:6" ht="13.2">
      <c r="A528" s="116">
        <v>7400401</v>
      </c>
      <c r="B528" s="116">
        <v>30552</v>
      </c>
      <c r="C528" s="117" t="s">
        <v>2488</v>
      </c>
      <c r="D528" s="116">
        <v>5870</v>
      </c>
      <c r="E528" s="116">
        <v>12800</v>
      </c>
      <c r="F528" s="116" t="s">
        <v>2489</v>
      </c>
    </row>
    <row r="529" spans="1:6" ht="13.2">
      <c r="A529" s="116">
        <v>7444101</v>
      </c>
      <c r="B529" s="116">
        <v>30250</v>
      </c>
      <c r="C529" s="117" t="s">
        <v>2490</v>
      </c>
      <c r="D529" s="116">
        <v>3325</v>
      </c>
      <c r="E529" s="116">
        <v>0</v>
      </c>
      <c r="F529" s="116" t="s">
        <v>2491</v>
      </c>
    </row>
    <row r="530" spans="1:6" ht="13.2">
      <c r="A530" s="116">
        <v>7600101</v>
      </c>
      <c r="B530" s="116">
        <v>30250</v>
      </c>
      <c r="C530" s="117" t="s">
        <v>2492</v>
      </c>
      <c r="D530" s="116">
        <v>2858</v>
      </c>
      <c r="E530" s="116">
        <v>0</v>
      </c>
      <c r="F530" s="116" t="s">
        <v>2478</v>
      </c>
    </row>
    <row r="531" spans="1:6" ht="13.2">
      <c r="A531" s="116">
        <v>7600401</v>
      </c>
      <c r="B531" s="116">
        <v>30554</v>
      </c>
      <c r="C531" s="117" t="s">
        <v>2493</v>
      </c>
      <c r="D531" s="116">
        <v>4227</v>
      </c>
      <c r="E531" s="116">
        <v>0</v>
      </c>
      <c r="F531" s="116" t="s">
        <v>2478</v>
      </c>
    </row>
    <row r="532" spans="1:6" ht="13.2">
      <c r="A532" s="116">
        <v>7700101</v>
      </c>
      <c r="B532" s="116">
        <v>200190</v>
      </c>
      <c r="C532" s="117" t="s">
        <v>665</v>
      </c>
      <c r="D532" s="116">
        <v>4114</v>
      </c>
      <c r="E532" s="116">
        <v>0</v>
      </c>
      <c r="F532" s="116" t="s">
        <v>2494</v>
      </c>
    </row>
    <row r="533" spans="1:6" ht="13.2">
      <c r="A533" s="116">
        <v>7700201</v>
      </c>
      <c r="B533" s="116">
        <v>200540</v>
      </c>
      <c r="C533" s="117" t="s">
        <v>2495</v>
      </c>
      <c r="D533" s="116">
        <v>2858</v>
      </c>
      <c r="E533" s="116">
        <v>0</v>
      </c>
      <c r="F533" s="116" t="s">
        <v>2478</v>
      </c>
    </row>
    <row r="534" spans="1:6" ht="13.2">
      <c r="A534" s="116">
        <v>7700202</v>
      </c>
      <c r="B534" s="116">
        <v>200540</v>
      </c>
      <c r="C534" s="117" t="s">
        <v>2496</v>
      </c>
      <c r="D534" s="116">
        <v>625</v>
      </c>
      <c r="E534" s="116">
        <v>7688</v>
      </c>
      <c r="F534" s="116" t="s">
        <v>2025</v>
      </c>
    </row>
    <row r="535" spans="1:6" ht="13.2">
      <c r="A535" s="116">
        <v>7700401</v>
      </c>
      <c r="B535" s="116">
        <v>200580</v>
      </c>
      <c r="C535" s="117" t="s">
        <v>2497</v>
      </c>
      <c r="D535" s="116">
        <v>1730</v>
      </c>
      <c r="E535" s="116">
        <v>1247</v>
      </c>
      <c r="F535" s="116" t="s">
        <v>2161</v>
      </c>
    </row>
    <row r="536" spans="1:6" ht="13.2">
      <c r="A536" s="116">
        <v>7700501</v>
      </c>
      <c r="B536" s="116">
        <v>200190</v>
      </c>
      <c r="C536" s="117" t="s">
        <v>2498</v>
      </c>
      <c r="D536" s="116">
        <v>1730</v>
      </c>
      <c r="E536" s="116">
        <v>1247</v>
      </c>
      <c r="F536" s="116" t="s">
        <v>2161</v>
      </c>
    </row>
    <row r="537" spans="1:6" ht="13.2">
      <c r="A537" s="116">
        <v>7700601</v>
      </c>
      <c r="B537" s="116">
        <v>200310</v>
      </c>
      <c r="C537" s="117" t="s">
        <v>2499</v>
      </c>
      <c r="D537" s="116">
        <v>1730</v>
      </c>
      <c r="E537" s="116">
        <v>1247</v>
      </c>
      <c r="F537" s="116" t="s">
        <v>2161</v>
      </c>
    </row>
    <row r="538" spans="1:6" ht="13.2">
      <c r="A538" s="116">
        <v>7700602</v>
      </c>
      <c r="B538" s="116">
        <v>200310</v>
      </c>
      <c r="C538" s="117" t="s">
        <v>2500</v>
      </c>
      <c r="D538" s="116">
        <v>808</v>
      </c>
      <c r="E538" s="116">
        <v>5129</v>
      </c>
      <c r="F538" s="116" t="s">
        <v>2025</v>
      </c>
    </row>
    <row r="539" spans="1:6" ht="13.2">
      <c r="A539" s="116">
        <v>7700701</v>
      </c>
      <c r="B539" s="116">
        <v>200190</v>
      </c>
      <c r="C539" s="117" t="s">
        <v>2501</v>
      </c>
      <c r="D539" s="116">
        <v>3328</v>
      </c>
      <c r="E539" s="116">
        <v>1247</v>
      </c>
      <c r="F539" s="116" t="s">
        <v>2502</v>
      </c>
    </row>
    <row r="540" spans="1:6" ht="13.2">
      <c r="A540" s="116">
        <v>7700901</v>
      </c>
      <c r="B540" s="116">
        <v>200190</v>
      </c>
      <c r="C540" s="117" t="s">
        <v>2503</v>
      </c>
      <c r="D540" s="116">
        <v>3328</v>
      </c>
      <c r="E540" s="116">
        <v>1247</v>
      </c>
      <c r="F540" s="116" t="s">
        <v>2502</v>
      </c>
    </row>
    <row r="541" spans="1:6" ht="13.2">
      <c r="A541" s="116">
        <v>7700902</v>
      </c>
      <c r="B541" s="116">
        <v>200190</v>
      </c>
      <c r="C541" s="117" t="s">
        <v>2504</v>
      </c>
      <c r="D541" s="116">
        <v>606</v>
      </c>
      <c r="E541" s="116">
        <v>2570</v>
      </c>
      <c r="F541" s="116" t="s">
        <v>2025</v>
      </c>
    </row>
    <row r="542" spans="1:6" ht="13.2">
      <c r="A542" s="116">
        <v>7701101</v>
      </c>
      <c r="B542" s="116">
        <v>200190</v>
      </c>
      <c r="C542" s="117" t="s">
        <v>2505</v>
      </c>
      <c r="D542" s="116">
        <v>808</v>
      </c>
      <c r="E542" s="116">
        <v>5129</v>
      </c>
      <c r="F542" s="116" t="s">
        <v>2025</v>
      </c>
    </row>
    <row r="543" spans="1:6" ht="13.2">
      <c r="A543" s="116">
        <v>7701404</v>
      </c>
      <c r="B543" s="116">
        <v>210410</v>
      </c>
      <c r="C543" s="117" t="s">
        <v>2506</v>
      </c>
      <c r="D543" s="116">
        <v>808</v>
      </c>
      <c r="E543" s="116">
        <v>5129</v>
      </c>
      <c r="F543" s="116" t="s">
        <v>2025</v>
      </c>
    </row>
    <row r="544" spans="1:6" ht="13.2">
      <c r="A544" s="116">
        <v>7701405</v>
      </c>
      <c r="B544" s="116">
        <v>210410</v>
      </c>
      <c r="C544" s="117" t="s">
        <v>2507</v>
      </c>
      <c r="D544" s="116">
        <v>1600</v>
      </c>
      <c r="E544" s="116">
        <v>5129</v>
      </c>
      <c r="F544" s="116" t="s">
        <v>2025</v>
      </c>
    </row>
    <row r="545" spans="1:6" ht="13.2">
      <c r="A545" s="116">
        <v>7701501</v>
      </c>
      <c r="B545" s="116">
        <v>200599</v>
      </c>
      <c r="C545" s="117" t="s">
        <v>2508</v>
      </c>
      <c r="D545" s="116">
        <v>3000</v>
      </c>
      <c r="E545" s="116">
        <v>6115</v>
      </c>
      <c r="F545" s="116" t="s">
        <v>2253</v>
      </c>
    </row>
    <row r="546" spans="1:6" ht="13.2">
      <c r="A546" s="116">
        <v>7702001</v>
      </c>
      <c r="B546" s="116">
        <v>160249</v>
      </c>
      <c r="C546" s="117" t="s">
        <v>2509</v>
      </c>
      <c r="D546" s="116">
        <v>2900</v>
      </c>
      <c r="E546" s="116">
        <v>6115</v>
      </c>
      <c r="F546" s="116" t="s">
        <v>2253</v>
      </c>
    </row>
    <row r="547" spans="1:6" ht="13.2">
      <c r="A547" s="116">
        <v>7702302</v>
      </c>
      <c r="B547" s="116">
        <v>160210</v>
      </c>
      <c r="C547" s="117" t="s">
        <v>2510</v>
      </c>
      <c r="D547" s="116">
        <v>1730</v>
      </c>
      <c r="E547" s="116">
        <v>1247</v>
      </c>
      <c r="F547" s="116" t="s">
        <v>2161</v>
      </c>
    </row>
    <row r="548" spans="1:6" ht="13.2">
      <c r="A548" s="116">
        <v>7702402</v>
      </c>
      <c r="B548" s="116">
        <v>160210</v>
      </c>
      <c r="C548" s="117" t="s">
        <v>2511</v>
      </c>
      <c r="D548" s="116">
        <v>5300</v>
      </c>
      <c r="E548" s="116">
        <v>12800</v>
      </c>
      <c r="F548" s="116" t="s">
        <v>2489</v>
      </c>
    </row>
    <row r="549" spans="1:6" ht="13.2">
      <c r="A549" s="116">
        <v>7702502</v>
      </c>
      <c r="B549" s="116">
        <v>160210</v>
      </c>
      <c r="C549" s="117" t="s">
        <v>2512</v>
      </c>
      <c r="D549" s="116">
        <v>5300</v>
      </c>
      <c r="E549" s="116">
        <v>12800</v>
      </c>
      <c r="F549" s="116" t="s">
        <v>2489</v>
      </c>
    </row>
    <row r="550" spans="1:6" ht="13.2">
      <c r="A550" s="116">
        <v>7702601</v>
      </c>
      <c r="B550" s="116">
        <v>160250</v>
      </c>
      <c r="C550" s="117" t="s">
        <v>2513</v>
      </c>
      <c r="D550" s="116">
        <v>5300</v>
      </c>
      <c r="E550" s="116">
        <v>12800</v>
      </c>
      <c r="F550" s="116" t="s">
        <v>2489</v>
      </c>
    </row>
    <row r="551" spans="1:6" ht="13.2">
      <c r="A551" s="116">
        <v>7702602</v>
      </c>
      <c r="B551" s="116">
        <v>20130</v>
      </c>
      <c r="C551" s="117" t="s">
        <v>2514</v>
      </c>
      <c r="D551" s="116">
        <v>5300</v>
      </c>
      <c r="E551" s="116">
        <v>12800</v>
      </c>
      <c r="F551" s="116" t="s">
        <v>2489</v>
      </c>
    </row>
    <row r="552" spans="1:6" ht="13.2">
      <c r="A552" s="116">
        <v>7702603</v>
      </c>
      <c r="B552" s="116">
        <v>160250</v>
      </c>
      <c r="C552" s="117" t="s">
        <v>2515</v>
      </c>
      <c r="D552" s="116">
        <v>14500</v>
      </c>
      <c r="E552" s="116">
        <v>12800</v>
      </c>
      <c r="F552" s="116" t="s">
        <v>2489</v>
      </c>
    </row>
    <row r="553" spans="1:6" ht="13.2">
      <c r="A553" s="116">
        <v>7702604</v>
      </c>
      <c r="B553" s="116">
        <v>160210</v>
      </c>
      <c r="C553" s="117" t="s">
        <v>2516</v>
      </c>
      <c r="D553" s="116">
        <v>26938</v>
      </c>
      <c r="E553" s="116">
        <v>18136</v>
      </c>
      <c r="F553" s="116" t="s">
        <v>2388</v>
      </c>
    </row>
    <row r="554" spans="1:6" ht="13.2">
      <c r="A554" s="116">
        <v>7702704</v>
      </c>
      <c r="B554" s="116">
        <v>160250</v>
      </c>
      <c r="C554" s="117" t="s">
        <v>2517</v>
      </c>
      <c r="D554" s="116">
        <v>14500</v>
      </c>
      <c r="E554" s="116">
        <v>12800</v>
      </c>
      <c r="F554" s="116" t="s">
        <v>2489</v>
      </c>
    </row>
    <row r="555" spans="1:6" ht="13.2">
      <c r="A555" s="116">
        <v>7702705</v>
      </c>
      <c r="B555" s="116">
        <v>160249</v>
      </c>
      <c r="C555" s="117" t="s">
        <v>2518</v>
      </c>
      <c r="D555" s="116">
        <v>5300</v>
      </c>
      <c r="E555" s="116">
        <v>12800</v>
      </c>
      <c r="F555" s="116" t="s">
        <v>2489</v>
      </c>
    </row>
    <row r="556" spans="1:6" ht="13.2">
      <c r="A556" s="116">
        <v>7702707</v>
      </c>
      <c r="B556" s="116">
        <v>160250</v>
      </c>
      <c r="C556" s="117" t="s">
        <v>2519</v>
      </c>
      <c r="D556" s="116">
        <v>14500</v>
      </c>
      <c r="E556" s="116">
        <v>12800</v>
      </c>
      <c r="F556" s="116" t="s">
        <v>2489</v>
      </c>
    </row>
    <row r="557" spans="1:6" ht="13.2">
      <c r="A557" s="116">
        <v>7702801</v>
      </c>
      <c r="B557" s="116">
        <v>160100</v>
      </c>
      <c r="C557" s="117" t="s">
        <v>2520</v>
      </c>
      <c r="D557" s="116">
        <v>5300</v>
      </c>
      <c r="E557" s="116">
        <v>12800</v>
      </c>
      <c r="F557" s="116" t="s">
        <v>2489</v>
      </c>
    </row>
    <row r="558" spans="1:6" ht="13.2">
      <c r="A558" s="116">
        <v>7703002</v>
      </c>
      <c r="B558" s="116">
        <v>160413</v>
      </c>
      <c r="C558" s="117" t="s">
        <v>2521</v>
      </c>
      <c r="D558" s="116">
        <v>14500</v>
      </c>
      <c r="E558" s="116">
        <v>12800</v>
      </c>
      <c r="F558" s="116" t="s">
        <v>2489</v>
      </c>
    </row>
    <row r="559" spans="1:6" ht="13.2">
      <c r="A559" s="116">
        <v>7703402</v>
      </c>
      <c r="B559" s="116">
        <v>160414</v>
      </c>
      <c r="C559" s="117" t="s">
        <v>2522</v>
      </c>
      <c r="D559" s="116">
        <v>14550</v>
      </c>
      <c r="E559" s="116">
        <v>12800</v>
      </c>
      <c r="F559" s="116" t="s">
        <v>2489</v>
      </c>
    </row>
    <row r="560" spans="1:6" ht="13.2">
      <c r="A560" s="116">
        <v>7703701</v>
      </c>
      <c r="B560" s="116">
        <v>200110</v>
      </c>
      <c r="C560" s="117" t="s">
        <v>2523</v>
      </c>
      <c r="D560" s="116">
        <v>3500</v>
      </c>
      <c r="E560" s="116">
        <v>12800</v>
      </c>
      <c r="F560" s="116" t="s">
        <v>2489</v>
      </c>
    </row>
    <row r="561" spans="1:6" ht="13.2">
      <c r="A561" s="116">
        <v>7703902</v>
      </c>
      <c r="B561" s="116">
        <v>160420</v>
      </c>
      <c r="C561" s="117" t="s">
        <v>2524</v>
      </c>
      <c r="D561" s="116">
        <v>3500</v>
      </c>
      <c r="E561" s="116">
        <v>12800</v>
      </c>
      <c r="F561" s="116" t="s">
        <v>2489</v>
      </c>
    </row>
    <row r="562" spans="1:6" ht="13.2">
      <c r="A562" s="116">
        <v>7704001</v>
      </c>
      <c r="B562" s="116">
        <v>200190</v>
      </c>
      <c r="C562" s="117" t="s">
        <v>2525</v>
      </c>
      <c r="D562" s="116">
        <v>808</v>
      </c>
      <c r="E562" s="116">
        <v>5129</v>
      </c>
      <c r="F562" s="116" t="s">
        <v>2025</v>
      </c>
    </row>
    <row r="563" spans="1:6" ht="13.2">
      <c r="A563" s="116">
        <v>7705201</v>
      </c>
      <c r="B563" s="116">
        <v>200190</v>
      </c>
      <c r="C563" s="117" t="s">
        <v>2526</v>
      </c>
      <c r="D563" s="116">
        <v>3500</v>
      </c>
      <c r="E563" s="116">
        <v>12800</v>
      </c>
      <c r="F563" s="116" t="s">
        <v>2489</v>
      </c>
    </row>
    <row r="564" spans="1:6" ht="13.2">
      <c r="A564" s="116">
        <v>7706001</v>
      </c>
      <c r="B564" s="116">
        <v>160414</v>
      </c>
      <c r="C564" s="117" t="s">
        <v>2527</v>
      </c>
      <c r="D564" s="116">
        <v>808</v>
      </c>
      <c r="E564" s="116">
        <v>5129</v>
      </c>
      <c r="F564" s="116" t="s">
        <v>2025</v>
      </c>
    </row>
    <row r="565" spans="1:6" ht="13.2">
      <c r="A565" s="116">
        <v>7706104</v>
      </c>
      <c r="B565" s="116">
        <v>210410</v>
      </c>
      <c r="C565" s="117" t="s">
        <v>2528</v>
      </c>
      <c r="D565" s="116">
        <v>808</v>
      </c>
      <c r="E565" s="116">
        <v>5129</v>
      </c>
      <c r="F565" s="116" t="s">
        <v>2025</v>
      </c>
    </row>
    <row r="566" spans="1:6" ht="13.2">
      <c r="A566" s="116">
        <v>7706105</v>
      </c>
      <c r="B566" s="116">
        <v>210410</v>
      </c>
      <c r="C566" s="117" t="s">
        <v>2529</v>
      </c>
      <c r="D566" s="116">
        <v>3500</v>
      </c>
      <c r="E566" s="116">
        <v>12800</v>
      </c>
      <c r="F566" s="116" t="s">
        <v>2489</v>
      </c>
    </row>
    <row r="567" spans="1:6" ht="13.2">
      <c r="A567" s="116">
        <v>7706106</v>
      </c>
      <c r="B567" s="116">
        <v>190230</v>
      </c>
      <c r="C567" s="117" t="s">
        <v>2530</v>
      </c>
      <c r="D567" s="116">
        <v>2900</v>
      </c>
      <c r="E567" s="116">
        <v>6115</v>
      </c>
      <c r="F567" s="116" t="s">
        <v>2253</v>
      </c>
    </row>
    <row r="568" spans="1:6" ht="13.2">
      <c r="A568" s="116">
        <v>7706302</v>
      </c>
      <c r="B568" s="116">
        <v>160414</v>
      </c>
      <c r="C568" s="117" t="s">
        <v>2531</v>
      </c>
      <c r="D568" s="116">
        <v>2900</v>
      </c>
      <c r="E568" s="116">
        <v>6115</v>
      </c>
      <c r="F568" s="116" t="s">
        <v>2253</v>
      </c>
    </row>
    <row r="569" spans="1:6" ht="13.2">
      <c r="A569" s="116">
        <v>7800103</v>
      </c>
      <c r="B569" s="116">
        <v>20711</v>
      </c>
      <c r="C569" s="117" t="s">
        <v>2532</v>
      </c>
      <c r="D569" s="116">
        <v>2421</v>
      </c>
      <c r="E569" s="116">
        <v>1730</v>
      </c>
      <c r="F569" s="116" t="s">
        <v>2030</v>
      </c>
    </row>
    <row r="570" spans="1:6" ht="13.2">
      <c r="A570" s="116">
        <v>7800301</v>
      </c>
      <c r="B570" s="116">
        <v>20711</v>
      </c>
      <c r="C570" s="117" t="s">
        <v>2533</v>
      </c>
      <c r="D570" s="116">
        <v>3500</v>
      </c>
      <c r="E570" s="116">
        <v>12800</v>
      </c>
      <c r="F570" s="116" t="s">
        <v>2489</v>
      </c>
    </row>
    <row r="571" spans="1:6" ht="13.2">
      <c r="A571" s="116">
        <v>7800302</v>
      </c>
      <c r="B571" s="116">
        <v>20711</v>
      </c>
      <c r="C571" s="117" t="s">
        <v>2534</v>
      </c>
      <c r="D571" s="116">
        <v>3321</v>
      </c>
      <c r="E571" s="116">
        <v>4474</v>
      </c>
      <c r="F571" s="116" t="s">
        <v>2535</v>
      </c>
    </row>
    <row r="572" spans="1:6" ht="13.2">
      <c r="A572" s="116">
        <v>7800303</v>
      </c>
      <c r="B572" s="116">
        <v>20711</v>
      </c>
      <c r="C572" s="117" t="s">
        <v>2536</v>
      </c>
      <c r="D572" s="116">
        <v>3321</v>
      </c>
      <c r="E572" s="116">
        <v>4474</v>
      </c>
      <c r="F572" s="116" t="s">
        <v>2535</v>
      </c>
    </row>
    <row r="573" spans="1:6" ht="13.2">
      <c r="A573" s="116">
        <v>7800304</v>
      </c>
      <c r="B573" s="116">
        <v>20711</v>
      </c>
      <c r="C573" s="117" t="s">
        <v>2537</v>
      </c>
      <c r="D573" s="116">
        <v>3321</v>
      </c>
      <c r="E573" s="116">
        <v>4474</v>
      </c>
      <c r="F573" s="116" t="s">
        <v>2535</v>
      </c>
    </row>
    <row r="574" spans="1:6" ht="13.2">
      <c r="A574" s="116">
        <v>7800401</v>
      </c>
      <c r="B574" s="116">
        <v>20711</v>
      </c>
      <c r="C574" s="117" t="s">
        <v>1636</v>
      </c>
      <c r="D574" s="116">
        <v>3321</v>
      </c>
      <c r="E574" s="116">
        <v>4474</v>
      </c>
      <c r="F574" s="116" t="s">
        <v>2535</v>
      </c>
    </row>
    <row r="575" spans="1:6" ht="13.2">
      <c r="A575" s="116">
        <v>7800402</v>
      </c>
      <c r="B575" s="116">
        <v>20711</v>
      </c>
      <c r="C575" s="117" t="s">
        <v>2538</v>
      </c>
      <c r="D575" s="116">
        <v>3321</v>
      </c>
      <c r="E575" s="116">
        <v>4474</v>
      </c>
      <c r="F575" s="116" t="s">
        <v>2535</v>
      </c>
    </row>
    <row r="576" spans="1:6" ht="13.2">
      <c r="A576" s="116">
        <v>7800602</v>
      </c>
      <c r="B576" s="116">
        <v>20711</v>
      </c>
      <c r="C576" s="117" t="s">
        <v>2539</v>
      </c>
      <c r="D576" s="116">
        <v>3321</v>
      </c>
      <c r="E576" s="116">
        <v>4474</v>
      </c>
      <c r="F576" s="116" t="s">
        <v>2535</v>
      </c>
    </row>
    <row r="577" spans="1:6" ht="13.2">
      <c r="A577" s="116">
        <v>7800701</v>
      </c>
      <c r="B577" s="116">
        <v>20711</v>
      </c>
      <c r="C577" s="117" t="s">
        <v>2540</v>
      </c>
      <c r="D577" s="116">
        <v>3321</v>
      </c>
      <c r="E577" s="116">
        <v>4474</v>
      </c>
      <c r="F577" s="116" t="s">
        <v>2535</v>
      </c>
    </row>
    <row r="578" spans="1:6" ht="13.2">
      <c r="A578" s="116">
        <v>7800702</v>
      </c>
      <c r="B578" s="116">
        <v>20711</v>
      </c>
      <c r="C578" s="117" t="s">
        <v>2541</v>
      </c>
      <c r="D578" s="116">
        <v>3321</v>
      </c>
      <c r="E578" s="116">
        <v>4474</v>
      </c>
      <c r="F578" s="116" t="s">
        <v>2535</v>
      </c>
    </row>
    <row r="579" spans="1:6" ht="13.2">
      <c r="A579" s="116">
        <v>7800801</v>
      </c>
      <c r="B579" s="116">
        <v>20711</v>
      </c>
      <c r="C579" s="117" t="s">
        <v>2542</v>
      </c>
      <c r="D579" s="116">
        <v>3321</v>
      </c>
      <c r="E579" s="116">
        <v>4474</v>
      </c>
      <c r="F579" s="116" t="s">
        <v>2535</v>
      </c>
    </row>
    <row r="580" spans="1:6" ht="13.2">
      <c r="A580" s="116">
        <v>7800901</v>
      </c>
      <c r="B580" s="116">
        <v>20711</v>
      </c>
      <c r="C580" s="117" t="s">
        <v>2543</v>
      </c>
      <c r="D580" s="116">
        <v>3321</v>
      </c>
      <c r="E580" s="116">
        <v>4474</v>
      </c>
      <c r="F580" s="116" t="s">
        <v>2535</v>
      </c>
    </row>
    <row r="581" spans="1:6" ht="13.2">
      <c r="A581" s="116">
        <v>7801001</v>
      </c>
      <c r="B581" s="116">
        <v>20711</v>
      </c>
      <c r="C581" s="117" t="s">
        <v>2544</v>
      </c>
      <c r="D581" s="116">
        <v>3321</v>
      </c>
      <c r="E581" s="116">
        <v>4474</v>
      </c>
      <c r="F581" s="116" t="s">
        <v>2535</v>
      </c>
    </row>
    <row r="582" spans="1:6" ht="13.2">
      <c r="A582" s="116">
        <v>7801101</v>
      </c>
      <c r="B582" s="116">
        <v>20711</v>
      </c>
      <c r="C582" s="117" t="s">
        <v>2545</v>
      </c>
      <c r="D582" s="116">
        <v>3321</v>
      </c>
      <c r="E582" s="116">
        <v>4474</v>
      </c>
      <c r="F582" s="116" t="s">
        <v>2535</v>
      </c>
    </row>
    <row r="583" spans="1:6" ht="13.2">
      <c r="A583" s="116">
        <v>7801202</v>
      </c>
      <c r="B583" s="116">
        <v>20711</v>
      </c>
      <c r="C583" s="117" t="s">
        <v>2546</v>
      </c>
      <c r="D583" s="116">
        <v>3321</v>
      </c>
      <c r="E583" s="116">
        <v>4474</v>
      </c>
      <c r="F583" s="116" t="s">
        <v>2535</v>
      </c>
    </row>
    <row r="584" spans="1:6" ht="13.2">
      <c r="A584" s="116">
        <v>7801301</v>
      </c>
      <c r="B584" s="116">
        <v>20711</v>
      </c>
      <c r="C584" s="117" t="s">
        <v>2547</v>
      </c>
      <c r="D584" s="116">
        <v>3321</v>
      </c>
      <c r="E584" s="116">
        <v>4474</v>
      </c>
      <c r="F584" s="116" t="s">
        <v>2535</v>
      </c>
    </row>
    <row r="585" spans="1:6" ht="13.2">
      <c r="A585" s="116">
        <v>7801407</v>
      </c>
      <c r="B585" s="116">
        <v>20711</v>
      </c>
      <c r="C585" s="117" t="s">
        <v>2548</v>
      </c>
      <c r="D585" s="116">
        <v>3321</v>
      </c>
      <c r="E585" s="116">
        <v>4474</v>
      </c>
      <c r="F585" s="116" t="s">
        <v>2535</v>
      </c>
    </row>
    <row r="586" spans="1:6" ht="13.2">
      <c r="A586" s="116">
        <v>7801702</v>
      </c>
      <c r="B586" s="116">
        <v>20725</v>
      </c>
      <c r="C586" s="117" t="s">
        <v>2549</v>
      </c>
      <c r="D586" s="116">
        <v>3321</v>
      </c>
      <c r="E586" s="116">
        <v>4474</v>
      </c>
      <c r="F586" s="116" t="s">
        <v>2535</v>
      </c>
    </row>
    <row r="587" spans="1:6" ht="13.2">
      <c r="A587" s="116">
        <v>7801801</v>
      </c>
      <c r="B587" s="116">
        <v>20725</v>
      </c>
      <c r="C587" s="117" t="s">
        <v>2550</v>
      </c>
      <c r="D587" s="116">
        <v>3321</v>
      </c>
      <c r="E587" s="116">
        <v>4474</v>
      </c>
      <c r="F587" s="116" t="s">
        <v>2535</v>
      </c>
    </row>
    <row r="588" spans="1:6" ht="13.2">
      <c r="A588" s="116">
        <v>7802101</v>
      </c>
      <c r="B588" s="116">
        <v>20725</v>
      </c>
      <c r="C588" s="117" t="s">
        <v>2551</v>
      </c>
      <c r="D588" s="116">
        <v>3760</v>
      </c>
      <c r="E588" s="116">
        <v>4474</v>
      </c>
      <c r="F588" s="116" t="s">
        <v>2535</v>
      </c>
    </row>
    <row r="589" spans="1:6" ht="13.2">
      <c r="A589" s="116">
        <v>7802701</v>
      </c>
      <c r="B589" s="116">
        <v>20711</v>
      </c>
      <c r="C589" s="117" t="s">
        <v>2552</v>
      </c>
      <c r="D589" s="116">
        <v>3760</v>
      </c>
      <c r="E589" s="116">
        <v>4474</v>
      </c>
      <c r="F589" s="116" t="s">
        <v>2535</v>
      </c>
    </row>
    <row r="590" spans="1:6" ht="13.2">
      <c r="A590" s="116">
        <v>7802702</v>
      </c>
      <c r="B590" s="116">
        <v>20711</v>
      </c>
      <c r="C590" s="117" t="s">
        <v>2553</v>
      </c>
      <c r="D590" s="116">
        <v>3760</v>
      </c>
      <c r="E590" s="116">
        <v>4474</v>
      </c>
      <c r="F590" s="116" t="s">
        <v>2535</v>
      </c>
    </row>
    <row r="591" spans="1:6" ht="13.2">
      <c r="A591" s="116">
        <v>7802801</v>
      </c>
      <c r="B591" s="116">
        <v>20711</v>
      </c>
      <c r="C591" s="117" t="s">
        <v>2554</v>
      </c>
      <c r="D591" s="116">
        <v>3321</v>
      </c>
      <c r="E591" s="116">
        <v>4474</v>
      </c>
      <c r="F591" s="116" t="s">
        <v>2535</v>
      </c>
    </row>
    <row r="592" spans="1:6" ht="13.2">
      <c r="A592" s="116">
        <v>7802901</v>
      </c>
      <c r="B592" s="116">
        <v>160230</v>
      </c>
      <c r="C592" s="117" t="s">
        <v>2555</v>
      </c>
      <c r="D592" s="116">
        <v>3321</v>
      </c>
      <c r="E592" s="116">
        <v>4474</v>
      </c>
      <c r="F592" s="116" t="s">
        <v>2535</v>
      </c>
    </row>
    <row r="593" spans="1:6" ht="13.2">
      <c r="A593" s="116">
        <v>7802902</v>
      </c>
      <c r="B593" s="116">
        <v>160230</v>
      </c>
      <c r="C593" s="117" t="s">
        <v>2556</v>
      </c>
      <c r="D593" s="116">
        <v>3321</v>
      </c>
      <c r="E593" s="116">
        <v>4474</v>
      </c>
      <c r="F593" s="116" t="s">
        <v>2535</v>
      </c>
    </row>
    <row r="594" spans="1:6" ht="13.2">
      <c r="A594" s="116">
        <v>7803001</v>
      </c>
      <c r="B594" s="116">
        <v>20711</v>
      </c>
      <c r="C594" s="117" t="s">
        <v>2557</v>
      </c>
      <c r="D594" s="116">
        <v>4225</v>
      </c>
      <c r="E594" s="116">
        <v>12800</v>
      </c>
      <c r="F594" s="116" t="s">
        <v>2489</v>
      </c>
    </row>
    <row r="595" spans="1:6" ht="13.2">
      <c r="A595" s="116">
        <v>7803201</v>
      </c>
      <c r="B595" s="116">
        <v>20711</v>
      </c>
      <c r="C595" s="117" t="s">
        <v>2558</v>
      </c>
      <c r="D595" s="116">
        <v>4225</v>
      </c>
      <c r="E595" s="116">
        <v>12800</v>
      </c>
      <c r="F595" s="116" t="s">
        <v>2489</v>
      </c>
    </row>
    <row r="596" spans="1:6" ht="13.2">
      <c r="A596" s="116">
        <v>7803301</v>
      </c>
      <c r="B596" s="116">
        <v>40721</v>
      </c>
      <c r="C596" s="117" t="s">
        <v>2559</v>
      </c>
      <c r="D596" s="116">
        <v>3321</v>
      </c>
      <c r="E596" s="116">
        <v>4474</v>
      </c>
      <c r="F596" s="116" t="s">
        <v>2535</v>
      </c>
    </row>
    <row r="597" spans="1:6" ht="13.2">
      <c r="A597" s="116">
        <v>7803501</v>
      </c>
      <c r="B597" s="116">
        <v>40729</v>
      </c>
      <c r="C597" s="117" t="s">
        <v>2560</v>
      </c>
      <c r="D597" s="116">
        <v>3321</v>
      </c>
      <c r="E597" s="116">
        <v>4474</v>
      </c>
      <c r="F597" s="116" t="s">
        <v>2535</v>
      </c>
    </row>
    <row r="598" spans="1:6" ht="13.2">
      <c r="A598" s="116">
        <v>7803702</v>
      </c>
      <c r="B598" s="116">
        <v>20711</v>
      </c>
      <c r="C598" s="117" t="s">
        <v>2561</v>
      </c>
      <c r="D598" s="116">
        <v>3363</v>
      </c>
      <c r="E598" s="116">
        <v>3072</v>
      </c>
      <c r="F598" s="116" t="s">
        <v>2562</v>
      </c>
    </row>
    <row r="599" spans="1:6" ht="13.2">
      <c r="A599" s="116">
        <v>7803703</v>
      </c>
      <c r="B599" s="116">
        <v>20711</v>
      </c>
      <c r="C599" s="117" t="s">
        <v>2563</v>
      </c>
      <c r="D599" s="116">
        <v>3363</v>
      </c>
      <c r="E599" s="116">
        <v>3072</v>
      </c>
      <c r="F599" s="116" t="s">
        <v>2562</v>
      </c>
    </row>
    <row r="600" spans="1:6" ht="13.2">
      <c r="A600" s="116">
        <v>7803707</v>
      </c>
      <c r="B600" s="116">
        <v>20711</v>
      </c>
      <c r="C600" s="117" t="s">
        <v>2564</v>
      </c>
      <c r="D600" s="116">
        <v>3321</v>
      </c>
      <c r="E600" s="116">
        <v>4474</v>
      </c>
      <c r="F600" s="116" t="s">
        <v>2535</v>
      </c>
    </row>
    <row r="601" spans="1:6" ht="13.2">
      <c r="A601" s="116">
        <v>7803907</v>
      </c>
      <c r="B601" s="116">
        <v>20711</v>
      </c>
      <c r="C601" s="117" t="s">
        <v>2565</v>
      </c>
      <c r="D601" s="116">
        <v>3321</v>
      </c>
      <c r="E601" s="116">
        <v>4474</v>
      </c>
      <c r="F601" s="116" t="s">
        <v>2535</v>
      </c>
    </row>
    <row r="602" spans="1:6" ht="13.2">
      <c r="A602" s="116">
        <v>7803908</v>
      </c>
      <c r="B602" s="116">
        <v>20711</v>
      </c>
      <c r="C602" s="117" t="s">
        <v>2566</v>
      </c>
      <c r="D602" s="116">
        <v>3321</v>
      </c>
      <c r="E602" s="116">
        <v>4474</v>
      </c>
      <c r="F602" s="116" t="s">
        <v>2535</v>
      </c>
    </row>
    <row r="603" spans="1:6" ht="13.2">
      <c r="A603" s="116">
        <v>7803913</v>
      </c>
      <c r="B603" s="116">
        <v>20711</v>
      </c>
      <c r="C603" s="117" t="s">
        <v>2567</v>
      </c>
      <c r="D603" s="116">
        <v>3321</v>
      </c>
      <c r="E603" s="116">
        <v>4474</v>
      </c>
      <c r="F603" s="116" t="s">
        <v>2535</v>
      </c>
    </row>
    <row r="604" spans="1:6" ht="13.2">
      <c r="A604" s="116">
        <v>7805401</v>
      </c>
      <c r="B604" s="116">
        <v>20725</v>
      </c>
      <c r="C604" s="117" t="s">
        <v>2568</v>
      </c>
      <c r="D604" s="116">
        <v>3321</v>
      </c>
      <c r="E604" s="116">
        <v>4474</v>
      </c>
      <c r="F604" s="116" t="s">
        <v>2535</v>
      </c>
    </row>
    <row r="605" spans="1:6" ht="13.2">
      <c r="A605" s="116">
        <v>7805501</v>
      </c>
      <c r="B605" s="116">
        <v>20711</v>
      </c>
      <c r="C605" s="117" t="s">
        <v>2569</v>
      </c>
      <c r="D605" s="116">
        <v>3321</v>
      </c>
      <c r="E605" s="116">
        <v>4474</v>
      </c>
      <c r="F605" s="116" t="s">
        <v>2535</v>
      </c>
    </row>
    <row r="606" spans="1:6" ht="13.2">
      <c r="A606" s="116">
        <v>7805702</v>
      </c>
      <c r="B606" s="116">
        <v>20711</v>
      </c>
      <c r="C606" s="117" t="s">
        <v>2570</v>
      </c>
      <c r="D606" s="116">
        <v>3760</v>
      </c>
      <c r="E606" s="116">
        <v>4474</v>
      </c>
      <c r="F606" s="116" t="s">
        <v>2535</v>
      </c>
    </row>
    <row r="607" spans="1:6" ht="13.2">
      <c r="A607" s="116">
        <v>7900101</v>
      </c>
      <c r="B607" s="116">
        <v>40120</v>
      </c>
      <c r="C607" s="117" t="s">
        <v>2571</v>
      </c>
      <c r="D607" s="116">
        <v>3321</v>
      </c>
      <c r="E607" s="116">
        <v>4474</v>
      </c>
      <c r="F607" s="116" t="s">
        <v>2535</v>
      </c>
    </row>
    <row r="608" spans="1:6" ht="13.2">
      <c r="A608" s="116">
        <v>7900201</v>
      </c>
      <c r="B608" s="116">
        <v>40110</v>
      </c>
      <c r="C608" s="117" t="s">
        <v>2572</v>
      </c>
      <c r="D608" s="116">
        <v>3321</v>
      </c>
      <c r="E608" s="116">
        <v>4474</v>
      </c>
      <c r="F608" s="116" t="s">
        <v>2535</v>
      </c>
    </row>
    <row r="609" spans="1:6" ht="13.2">
      <c r="A609" s="116">
        <v>7900301</v>
      </c>
      <c r="B609" s="116">
        <v>40110</v>
      </c>
      <c r="C609" s="117" t="s">
        <v>2573</v>
      </c>
      <c r="D609" s="116">
        <v>1265</v>
      </c>
      <c r="E609" s="116">
        <v>1347</v>
      </c>
      <c r="F609" s="116" t="s">
        <v>2574</v>
      </c>
    </row>
    <row r="610" spans="1:6" ht="13.2">
      <c r="A610" s="116">
        <v>7900601</v>
      </c>
      <c r="B610" s="116">
        <v>40210</v>
      </c>
      <c r="C610" s="117" t="s">
        <v>2575</v>
      </c>
      <c r="D610" s="116">
        <v>1266</v>
      </c>
      <c r="E610" s="116">
        <v>1321</v>
      </c>
      <c r="F610" s="116" t="s">
        <v>2574</v>
      </c>
    </row>
    <row r="611" spans="1:6" ht="13.2">
      <c r="A611" s="116">
        <v>7900710</v>
      </c>
      <c r="B611" s="116">
        <v>40221</v>
      </c>
      <c r="C611" s="117" t="s">
        <v>2576</v>
      </c>
      <c r="D611" s="116">
        <v>1322</v>
      </c>
      <c r="E611" s="116">
        <v>1204</v>
      </c>
      <c r="F611" s="116" t="s">
        <v>2574</v>
      </c>
    </row>
    <row r="612" spans="1:6" ht="13.2">
      <c r="A612" s="116">
        <v>7900801</v>
      </c>
      <c r="B612" s="116">
        <v>40110</v>
      </c>
      <c r="C612" s="117" t="s">
        <v>2577</v>
      </c>
      <c r="D612" s="116">
        <v>11000</v>
      </c>
      <c r="E612" s="116">
        <v>5597</v>
      </c>
      <c r="F612" s="116" t="s">
        <v>2291</v>
      </c>
    </row>
    <row r="613" spans="1:6" ht="13.2">
      <c r="A613" s="116">
        <v>7900901</v>
      </c>
      <c r="B613" s="116">
        <v>190190</v>
      </c>
      <c r="C613" s="117" t="s">
        <v>650</v>
      </c>
      <c r="D613" s="116">
        <v>11000</v>
      </c>
      <c r="E613" s="116">
        <v>5597</v>
      </c>
      <c r="F613" s="116" t="s">
        <v>2291</v>
      </c>
    </row>
    <row r="614" spans="1:6" ht="13.2">
      <c r="A614" s="116">
        <v>7900903</v>
      </c>
      <c r="B614" s="116">
        <v>190190</v>
      </c>
      <c r="C614" s="117" t="s">
        <v>2578</v>
      </c>
      <c r="D614" s="116">
        <v>11000</v>
      </c>
      <c r="E614" s="116">
        <v>5597</v>
      </c>
      <c r="F614" s="116" t="s">
        <v>2291</v>
      </c>
    </row>
    <row r="615" spans="1:6" ht="13.2">
      <c r="A615" s="116">
        <v>7901001</v>
      </c>
      <c r="B615" s="116">
        <v>40150</v>
      </c>
      <c r="C615" s="117" t="s">
        <v>2579</v>
      </c>
      <c r="D615" s="116">
        <v>2004</v>
      </c>
      <c r="E615" s="116">
        <v>1647</v>
      </c>
      <c r="F615" s="116" t="s">
        <v>2027</v>
      </c>
    </row>
    <row r="616" spans="1:6" ht="13.2">
      <c r="A616" s="116">
        <v>7901101</v>
      </c>
      <c r="B616" s="116">
        <v>190520</v>
      </c>
      <c r="C616" s="117" t="s">
        <v>2580</v>
      </c>
      <c r="D616" s="116">
        <v>2004</v>
      </c>
      <c r="E616" s="116">
        <v>1647</v>
      </c>
      <c r="F616" s="116" t="s">
        <v>2027</v>
      </c>
    </row>
    <row r="617" spans="1:6" ht="13.2">
      <c r="A617" s="116">
        <v>7901201</v>
      </c>
      <c r="B617" s="116">
        <v>40310</v>
      </c>
      <c r="C617" s="117" t="s">
        <v>2581</v>
      </c>
      <c r="D617" s="116">
        <v>6272</v>
      </c>
      <c r="E617" s="116">
        <v>4954</v>
      </c>
      <c r="F617" s="116" t="s">
        <v>2582</v>
      </c>
    </row>
    <row r="618" spans="1:6" ht="13.2">
      <c r="A618" s="116">
        <v>7901203</v>
      </c>
      <c r="B618" s="116">
        <v>40310</v>
      </c>
      <c r="C618" s="117" t="s">
        <v>2583</v>
      </c>
      <c r="D618" s="116">
        <v>2572</v>
      </c>
      <c r="E618" s="116">
        <v>2039</v>
      </c>
      <c r="F618" s="116" t="s">
        <v>2036</v>
      </c>
    </row>
    <row r="619" spans="1:6" ht="13.2">
      <c r="A619" s="116">
        <v>7901204</v>
      </c>
      <c r="B619" s="116">
        <v>40310</v>
      </c>
      <c r="C619" s="117" t="s">
        <v>2584</v>
      </c>
      <c r="D619" s="116">
        <v>3433</v>
      </c>
      <c r="E619" s="116">
        <v>1502</v>
      </c>
      <c r="F619" s="116" t="s">
        <v>2585</v>
      </c>
    </row>
    <row r="620" spans="1:6" ht="13.2">
      <c r="A620" s="116">
        <v>7901301</v>
      </c>
      <c r="B620" s="116">
        <v>220290</v>
      </c>
      <c r="C620" s="117" t="s">
        <v>2586</v>
      </c>
      <c r="D620" s="116">
        <v>3331</v>
      </c>
      <c r="E620" s="116">
        <v>2653</v>
      </c>
      <c r="F620" s="116" t="s">
        <v>2310</v>
      </c>
    </row>
    <row r="621" spans="1:6" ht="13.2">
      <c r="A621" s="116">
        <v>7901303</v>
      </c>
      <c r="B621" s="116">
        <v>220290</v>
      </c>
      <c r="C621" s="117" t="s">
        <v>2587</v>
      </c>
      <c r="D621" s="116">
        <v>1605</v>
      </c>
      <c r="E621" s="116">
        <v>2653</v>
      </c>
      <c r="F621" s="116" t="s">
        <v>2310</v>
      </c>
    </row>
    <row r="622" spans="1:6" ht="13.2">
      <c r="A622" s="116">
        <v>7901304</v>
      </c>
      <c r="B622" s="116">
        <v>220290</v>
      </c>
      <c r="C622" s="117" t="s">
        <v>2588</v>
      </c>
      <c r="D622" s="116">
        <v>794</v>
      </c>
      <c r="E622" s="116">
        <v>1519</v>
      </c>
      <c r="F622" s="116" t="s">
        <v>2079</v>
      </c>
    </row>
    <row r="623" spans="1:6" ht="13.2">
      <c r="A623" s="116">
        <v>7901401</v>
      </c>
      <c r="B623" s="116">
        <v>40390</v>
      </c>
      <c r="C623" s="117" t="s">
        <v>2589</v>
      </c>
      <c r="D623" s="116">
        <v>794</v>
      </c>
      <c r="E623" s="116">
        <v>1399</v>
      </c>
      <c r="F623" s="116" t="s">
        <v>2079</v>
      </c>
    </row>
    <row r="624" spans="1:6" ht="13.2">
      <c r="A624" s="116">
        <v>7901501</v>
      </c>
      <c r="B624" s="116">
        <v>40510</v>
      </c>
      <c r="C624" s="117" t="s">
        <v>2590</v>
      </c>
      <c r="D624" s="116">
        <v>794</v>
      </c>
      <c r="E624" s="116">
        <v>1519</v>
      </c>
      <c r="F624" s="116" t="s">
        <v>2079</v>
      </c>
    </row>
    <row r="625" spans="1:6" ht="13.2">
      <c r="A625" s="116">
        <v>7901505</v>
      </c>
      <c r="B625" s="116">
        <v>40510</v>
      </c>
      <c r="C625" s="117" t="s">
        <v>2591</v>
      </c>
      <c r="D625" s="116">
        <v>3331</v>
      </c>
      <c r="E625" s="116">
        <v>2653</v>
      </c>
      <c r="F625" s="116" t="s">
        <v>2310</v>
      </c>
    </row>
    <row r="626" spans="1:6" ht="13.2">
      <c r="A626" s="116">
        <v>7901602</v>
      </c>
      <c r="B626" s="116">
        <v>151710</v>
      </c>
      <c r="C626" s="117" t="s">
        <v>2592</v>
      </c>
      <c r="D626" s="116">
        <v>6025</v>
      </c>
      <c r="E626" s="116">
        <v>4218</v>
      </c>
      <c r="F626" s="116" t="s">
        <v>2593</v>
      </c>
    </row>
    <row r="627" spans="1:6" ht="13.2">
      <c r="A627" s="116">
        <v>7901701</v>
      </c>
      <c r="B627" s="116">
        <v>40630</v>
      </c>
      <c r="C627" s="117" t="s">
        <v>2594</v>
      </c>
      <c r="D627" s="116">
        <v>9101</v>
      </c>
      <c r="E627" s="116">
        <v>4218</v>
      </c>
      <c r="F627" s="116" t="s">
        <v>2593</v>
      </c>
    </row>
    <row r="628" spans="1:6" ht="13.2">
      <c r="A628" s="116">
        <v>7901703</v>
      </c>
      <c r="B628" s="116">
        <v>40630</v>
      </c>
      <c r="C628" s="117" t="s">
        <v>2595</v>
      </c>
      <c r="D628" s="116">
        <v>1570</v>
      </c>
      <c r="E628" s="116">
        <v>1324</v>
      </c>
      <c r="F628" s="116" t="s">
        <v>2596</v>
      </c>
    </row>
    <row r="629" spans="1:6" ht="13.2">
      <c r="A629" s="116">
        <v>7901705</v>
      </c>
      <c r="B629" s="116">
        <v>40630</v>
      </c>
      <c r="C629" s="117" t="s">
        <v>2595</v>
      </c>
      <c r="D629" s="116">
        <v>8180</v>
      </c>
      <c r="E629" s="116">
        <v>6262</v>
      </c>
      <c r="F629" s="116" t="s">
        <v>2378</v>
      </c>
    </row>
    <row r="630" spans="1:6" ht="13.2">
      <c r="A630" s="116">
        <v>7901801</v>
      </c>
      <c r="B630" s="116">
        <v>40630</v>
      </c>
      <c r="C630" s="117" t="s">
        <v>2597</v>
      </c>
      <c r="D630" s="116">
        <v>8180</v>
      </c>
      <c r="E630" s="116">
        <v>6262</v>
      </c>
      <c r="F630" s="116" t="s">
        <v>2378</v>
      </c>
    </row>
    <row r="631" spans="1:6" ht="13.2">
      <c r="A631" s="116">
        <v>7901803</v>
      </c>
      <c r="B631" s="116">
        <v>40630</v>
      </c>
      <c r="C631" s="117" t="s">
        <v>1483</v>
      </c>
      <c r="D631" s="116">
        <v>8180</v>
      </c>
      <c r="E631" s="116">
        <v>6262</v>
      </c>
      <c r="F631" s="116" t="s">
        <v>2378</v>
      </c>
    </row>
    <row r="632" spans="1:6" ht="13.2">
      <c r="A632" s="116">
        <v>7901807</v>
      </c>
      <c r="B632" s="116">
        <v>40630</v>
      </c>
      <c r="C632" s="117" t="s">
        <v>2598</v>
      </c>
      <c r="D632" s="116">
        <v>9225</v>
      </c>
      <c r="E632" s="116">
        <v>6958</v>
      </c>
      <c r="F632" s="116" t="s">
        <v>2599</v>
      </c>
    </row>
    <row r="633" spans="1:6" ht="13.2">
      <c r="A633" s="116">
        <v>7901809</v>
      </c>
      <c r="B633" s="116">
        <v>40630</v>
      </c>
      <c r="C633" s="117" t="s">
        <v>2600</v>
      </c>
      <c r="D633" s="116">
        <v>8180</v>
      </c>
      <c r="E633" s="116">
        <v>7117</v>
      </c>
      <c r="F633" s="116" t="s">
        <v>2378</v>
      </c>
    </row>
    <row r="634" spans="1:6" ht="13.2">
      <c r="A634" s="116">
        <v>7901901</v>
      </c>
      <c r="B634" s="116">
        <v>40630</v>
      </c>
      <c r="C634" s="117" t="s">
        <v>2601</v>
      </c>
      <c r="D634" s="116">
        <v>8180</v>
      </c>
      <c r="E634" s="116">
        <v>6262</v>
      </c>
      <c r="F634" s="116" t="s">
        <v>2378</v>
      </c>
    </row>
    <row r="635" spans="1:6" ht="13.2">
      <c r="A635" s="116">
        <v>7902001</v>
      </c>
      <c r="B635" s="116">
        <v>40610</v>
      </c>
      <c r="C635" s="117" t="s">
        <v>2602</v>
      </c>
      <c r="D635" s="116">
        <v>8180</v>
      </c>
      <c r="E635" s="116">
        <v>6262</v>
      </c>
      <c r="F635" s="116" t="s">
        <v>2378</v>
      </c>
    </row>
    <row r="636" spans="1:6" ht="13.2">
      <c r="A636" s="116">
        <v>7902003</v>
      </c>
      <c r="B636" s="116">
        <v>40630</v>
      </c>
      <c r="C636" s="117" t="s">
        <v>2603</v>
      </c>
      <c r="D636" s="116">
        <v>8180</v>
      </c>
      <c r="E636" s="116">
        <v>6262</v>
      </c>
      <c r="F636" s="116" t="s">
        <v>2378</v>
      </c>
    </row>
    <row r="637" spans="1:6" ht="13.2">
      <c r="A637" s="116">
        <v>7902004</v>
      </c>
      <c r="B637" s="116">
        <v>200799</v>
      </c>
      <c r="C637" s="117" t="s">
        <v>2604</v>
      </c>
      <c r="D637" s="116">
        <v>8350</v>
      </c>
      <c r="E637" s="116">
        <v>3749</v>
      </c>
      <c r="F637" s="116" t="s">
        <v>2605</v>
      </c>
    </row>
    <row r="638" spans="1:6" ht="13.2">
      <c r="A638" s="116">
        <v>7902005</v>
      </c>
      <c r="B638" s="116">
        <v>40630</v>
      </c>
      <c r="C638" s="117" t="s">
        <v>2606</v>
      </c>
      <c r="D638" s="116">
        <v>8180</v>
      </c>
      <c r="E638" s="116">
        <v>6262</v>
      </c>
      <c r="F638" s="116" t="s">
        <v>2378</v>
      </c>
    </row>
    <row r="639" spans="1:6" ht="13.2">
      <c r="A639" s="116">
        <v>7902008</v>
      </c>
      <c r="B639" s="116">
        <v>40630</v>
      </c>
      <c r="C639" s="117" t="s">
        <v>2607</v>
      </c>
      <c r="D639" s="116">
        <v>2948</v>
      </c>
      <c r="E639" s="116">
        <v>1247</v>
      </c>
      <c r="F639" s="116" t="s">
        <v>2025</v>
      </c>
    </row>
    <row r="640" spans="1:6" ht="13.2">
      <c r="A640" s="116">
        <v>7902201</v>
      </c>
      <c r="B640" s="116">
        <v>40630</v>
      </c>
      <c r="C640" s="117" t="s">
        <v>2608</v>
      </c>
      <c r="D640" s="116">
        <v>8180</v>
      </c>
      <c r="E640" s="116">
        <v>6262</v>
      </c>
      <c r="F640" s="116" t="s">
        <v>2378</v>
      </c>
    </row>
    <row r="641" spans="1:6" ht="13.2">
      <c r="A641" s="116">
        <v>7902301</v>
      </c>
      <c r="B641" s="116">
        <v>220290</v>
      </c>
      <c r="C641" s="117" t="s">
        <v>2609</v>
      </c>
      <c r="D641" s="116">
        <v>8180</v>
      </c>
      <c r="E641" s="116">
        <v>6262</v>
      </c>
      <c r="F641" s="116" t="s">
        <v>2378</v>
      </c>
    </row>
    <row r="642" spans="1:6" ht="13.2">
      <c r="A642" s="116">
        <v>7902303</v>
      </c>
      <c r="B642" s="116">
        <v>220290</v>
      </c>
      <c r="C642" s="117" t="s">
        <v>2610</v>
      </c>
      <c r="D642" s="116">
        <v>4000</v>
      </c>
      <c r="E642" s="116">
        <v>2620</v>
      </c>
      <c r="F642" s="116" t="s">
        <v>2611</v>
      </c>
    </row>
    <row r="643" spans="1:6" ht="13.2">
      <c r="A643" s="116">
        <v>7902403</v>
      </c>
      <c r="B643" s="116">
        <v>40620</v>
      </c>
      <c r="C643" s="117" t="s">
        <v>2612</v>
      </c>
      <c r="D643" s="116">
        <v>794</v>
      </c>
      <c r="E643" s="116">
        <v>1519</v>
      </c>
      <c r="F643" s="116" t="s">
        <v>2079</v>
      </c>
    </row>
    <row r="644" spans="1:6" ht="13.2">
      <c r="A644" s="116">
        <v>7902501</v>
      </c>
      <c r="B644" s="116">
        <v>40630</v>
      </c>
      <c r="C644" s="117" t="s">
        <v>2613</v>
      </c>
      <c r="D644" s="116">
        <v>940</v>
      </c>
      <c r="E644" s="116">
        <v>411</v>
      </c>
      <c r="F644" s="116" t="s">
        <v>2079</v>
      </c>
    </row>
    <row r="645" spans="1:6" ht="13.2">
      <c r="A645" s="116">
        <v>7902801</v>
      </c>
      <c r="B645" s="116">
        <v>40630</v>
      </c>
      <c r="C645" s="117" t="s">
        <v>2614</v>
      </c>
      <c r="D645" s="116">
        <v>8762</v>
      </c>
      <c r="E645" s="116">
        <v>5966</v>
      </c>
      <c r="F645" s="116" t="s">
        <v>2605</v>
      </c>
    </row>
    <row r="646" spans="1:6" ht="13.2">
      <c r="A646" s="116">
        <v>7902901</v>
      </c>
      <c r="B646" s="116">
        <v>40630</v>
      </c>
      <c r="C646" s="117" t="s">
        <v>2615</v>
      </c>
      <c r="D646" s="116">
        <v>8180</v>
      </c>
      <c r="E646" s="116">
        <v>6262</v>
      </c>
      <c r="F646" s="116" t="s">
        <v>2378</v>
      </c>
    </row>
    <row r="647" spans="1:6" ht="13.2">
      <c r="A647" s="116">
        <v>7902902</v>
      </c>
      <c r="B647" s="116">
        <v>40630</v>
      </c>
      <c r="C647" s="117" t="s">
        <v>1535</v>
      </c>
      <c r="D647" s="116">
        <v>8180</v>
      </c>
      <c r="E647" s="116">
        <v>6262</v>
      </c>
      <c r="F647" s="116" t="s">
        <v>2378</v>
      </c>
    </row>
    <row r="648" spans="1:6" ht="13.2">
      <c r="A648" s="116">
        <v>7903001</v>
      </c>
      <c r="B648" s="116">
        <v>40690</v>
      </c>
      <c r="C648" s="117" t="s">
        <v>2616</v>
      </c>
      <c r="D648" s="116">
        <v>8180</v>
      </c>
      <c r="E648" s="116">
        <v>6262</v>
      </c>
      <c r="F648" s="116" t="s">
        <v>2378</v>
      </c>
    </row>
    <row r="649" spans="1:6" ht="13.2">
      <c r="A649" s="116">
        <v>7903101</v>
      </c>
      <c r="B649" s="116">
        <v>220290</v>
      </c>
      <c r="C649" s="117" t="s">
        <v>2617</v>
      </c>
      <c r="D649" s="116">
        <v>8180</v>
      </c>
      <c r="E649" s="116">
        <v>6262</v>
      </c>
      <c r="F649" s="116" t="s">
        <v>2378</v>
      </c>
    </row>
    <row r="650" spans="1:6" ht="13.2">
      <c r="A650" s="116">
        <v>7903102</v>
      </c>
      <c r="B650" s="116">
        <v>220290</v>
      </c>
      <c r="C650" s="117" t="s">
        <v>2618</v>
      </c>
      <c r="D650" s="116">
        <v>8970</v>
      </c>
      <c r="E650" s="116">
        <v>5966</v>
      </c>
      <c r="F650" s="116" t="s">
        <v>2619</v>
      </c>
    </row>
    <row r="651" spans="1:6" ht="13.2">
      <c r="A651" s="116">
        <v>7903109</v>
      </c>
      <c r="B651" s="116">
        <v>220290</v>
      </c>
      <c r="C651" s="117" t="s">
        <v>2617</v>
      </c>
      <c r="D651" s="116">
        <v>550</v>
      </c>
      <c r="E651" s="116">
        <v>1519</v>
      </c>
      <c r="F651" s="116" t="s">
        <v>2079</v>
      </c>
    </row>
    <row r="652" spans="1:6" ht="13.2">
      <c r="A652" s="116">
        <v>7903110</v>
      </c>
      <c r="B652" s="116">
        <v>220290</v>
      </c>
      <c r="C652" s="117" t="s">
        <v>2620</v>
      </c>
      <c r="D652" s="116">
        <v>794</v>
      </c>
      <c r="E652" s="116">
        <v>1519</v>
      </c>
      <c r="F652" s="116" t="s">
        <v>2079</v>
      </c>
    </row>
    <row r="653" spans="1:6" ht="13.2">
      <c r="A653" s="116">
        <v>7903201</v>
      </c>
      <c r="B653" s="116">
        <v>40150</v>
      </c>
      <c r="C653" s="117" t="s">
        <v>2621</v>
      </c>
      <c r="D653" s="116">
        <v>794</v>
      </c>
      <c r="E653" s="116">
        <v>1519</v>
      </c>
      <c r="F653" s="116" t="s">
        <v>2079</v>
      </c>
    </row>
    <row r="654" spans="1:6" ht="13.2">
      <c r="A654" s="116">
        <v>7903301</v>
      </c>
      <c r="B654" s="116">
        <v>40640</v>
      </c>
      <c r="C654" s="117" t="s">
        <v>2622</v>
      </c>
      <c r="D654" s="116">
        <v>794</v>
      </c>
      <c r="E654" s="116">
        <v>1519</v>
      </c>
      <c r="F654" s="116" t="s">
        <v>2079</v>
      </c>
    </row>
    <row r="655" spans="1:6" ht="13.2">
      <c r="A655" s="116">
        <v>7903402</v>
      </c>
      <c r="B655" s="116">
        <v>120810</v>
      </c>
      <c r="C655" s="117" t="s">
        <v>2623</v>
      </c>
      <c r="D655" s="116">
        <v>3331</v>
      </c>
      <c r="E655" s="116">
        <v>2653</v>
      </c>
      <c r="F655" s="116" t="s">
        <v>2310</v>
      </c>
    </row>
    <row r="656" spans="1:6" ht="13.2">
      <c r="A656" s="116">
        <v>7903501</v>
      </c>
      <c r="B656" s="116">
        <v>220290</v>
      </c>
      <c r="C656" s="117" t="s">
        <v>2624</v>
      </c>
      <c r="D656" s="116">
        <v>8762</v>
      </c>
      <c r="E656" s="116">
        <v>5966</v>
      </c>
      <c r="F656" s="116" t="s">
        <v>2605</v>
      </c>
    </row>
    <row r="657" spans="1:6" ht="13.2">
      <c r="A657" s="116">
        <v>7903601</v>
      </c>
      <c r="B657" s="116">
        <v>40110</v>
      </c>
      <c r="C657" s="117" t="s">
        <v>2625</v>
      </c>
      <c r="D657" s="116">
        <v>1560</v>
      </c>
      <c r="E657" s="116">
        <v>2585</v>
      </c>
      <c r="F657" s="116" t="s">
        <v>1979</v>
      </c>
    </row>
    <row r="658" spans="1:6" ht="13.2">
      <c r="A658" s="116">
        <v>7903702</v>
      </c>
      <c r="B658" s="116">
        <v>40120</v>
      </c>
      <c r="C658" s="117" t="s">
        <v>2626</v>
      </c>
      <c r="D658" s="116">
        <v>893</v>
      </c>
      <c r="E658" s="116">
        <v>3855</v>
      </c>
      <c r="F658" s="116" t="s">
        <v>2079</v>
      </c>
    </row>
    <row r="659" spans="1:6" ht="13.2">
      <c r="A659" s="116">
        <v>7903801</v>
      </c>
      <c r="B659" s="116">
        <v>40110</v>
      </c>
      <c r="C659" s="117" t="s">
        <v>2627</v>
      </c>
      <c r="D659" s="116">
        <v>1106</v>
      </c>
      <c r="E659" s="116">
        <v>1204</v>
      </c>
      <c r="F659" s="116" t="s">
        <v>2574</v>
      </c>
    </row>
    <row r="660" spans="1:6" ht="13.2">
      <c r="A660" s="116">
        <v>7903901</v>
      </c>
      <c r="B660" s="116">
        <v>40310</v>
      </c>
      <c r="C660" s="117" t="s">
        <v>2628</v>
      </c>
      <c r="D660" s="116">
        <v>1408</v>
      </c>
      <c r="E660" s="116">
        <v>1244</v>
      </c>
      <c r="F660" s="116" t="s">
        <v>2574</v>
      </c>
    </row>
    <row r="661" spans="1:6" ht="13.2">
      <c r="A661" s="116">
        <v>7904001</v>
      </c>
      <c r="B661" s="116">
        <v>40310</v>
      </c>
      <c r="C661" s="117" t="s">
        <v>2629</v>
      </c>
      <c r="D661" s="116">
        <v>1266</v>
      </c>
      <c r="E661" s="116">
        <v>1321</v>
      </c>
      <c r="F661" s="116" t="s">
        <v>2574</v>
      </c>
    </row>
    <row r="662" spans="1:6" ht="13.2">
      <c r="A662" s="116">
        <v>7904201</v>
      </c>
      <c r="B662" s="116">
        <v>151710</v>
      </c>
      <c r="C662" s="117" t="s">
        <v>2630</v>
      </c>
      <c r="D662" s="116">
        <v>3331</v>
      </c>
      <c r="E662" s="116">
        <v>2653</v>
      </c>
      <c r="F662" s="116" t="s">
        <v>2310</v>
      </c>
    </row>
    <row r="663" spans="1:6" ht="13.2">
      <c r="A663" s="116">
        <v>7904301</v>
      </c>
      <c r="B663" s="116">
        <v>40110</v>
      </c>
      <c r="C663" s="117" t="s">
        <v>2631</v>
      </c>
      <c r="D663" s="116">
        <v>3331</v>
      </c>
      <c r="E663" s="116">
        <v>2653</v>
      </c>
      <c r="F663" s="116" t="s">
        <v>2310</v>
      </c>
    </row>
    <row r="664" spans="1:6" ht="13.2">
      <c r="A664" s="116">
        <v>7904401</v>
      </c>
      <c r="B664" s="116">
        <v>40110</v>
      </c>
      <c r="C664" s="117" t="s">
        <v>2632</v>
      </c>
      <c r="D664" s="116">
        <v>1570</v>
      </c>
      <c r="E664" s="116">
        <v>1324</v>
      </c>
      <c r="F664" s="116" t="s">
        <v>2596</v>
      </c>
    </row>
    <row r="665" spans="1:6" ht="13.2">
      <c r="A665" s="116">
        <v>7904601</v>
      </c>
      <c r="B665" s="116">
        <v>40110</v>
      </c>
      <c r="C665" s="117" t="s">
        <v>2633</v>
      </c>
      <c r="D665" s="116">
        <v>1266</v>
      </c>
      <c r="E665" s="116">
        <v>1321</v>
      </c>
      <c r="F665" s="116" t="s">
        <v>2574</v>
      </c>
    </row>
    <row r="666" spans="1:6" ht="13.2">
      <c r="A666" s="116">
        <v>7904701</v>
      </c>
      <c r="B666" s="116">
        <v>40150</v>
      </c>
      <c r="C666" s="117" t="s">
        <v>2634</v>
      </c>
      <c r="D666" s="116">
        <v>1266</v>
      </c>
      <c r="E666" s="116">
        <v>1321</v>
      </c>
      <c r="F666" s="116" t="s">
        <v>2574</v>
      </c>
    </row>
    <row r="667" spans="1:6" ht="13.2">
      <c r="A667" s="116">
        <v>7904801</v>
      </c>
      <c r="B667" s="116">
        <v>40310</v>
      </c>
      <c r="C667" s="117" t="s">
        <v>2635</v>
      </c>
      <c r="D667" s="116">
        <v>1178</v>
      </c>
      <c r="E667" s="116">
        <v>1204</v>
      </c>
      <c r="F667" s="116" t="s">
        <v>2574</v>
      </c>
    </row>
    <row r="668" spans="1:6" ht="13.2">
      <c r="A668" s="116">
        <v>7904803</v>
      </c>
      <c r="B668" s="116">
        <v>40310</v>
      </c>
      <c r="C668" s="117" t="s">
        <v>2636</v>
      </c>
      <c r="D668" s="116">
        <v>3331</v>
      </c>
      <c r="E668" s="116">
        <v>2653</v>
      </c>
      <c r="F668" s="116" t="s">
        <v>2310</v>
      </c>
    </row>
    <row r="669" spans="1:6" ht="13.2">
      <c r="A669" s="116">
        <v>7904804</v>
      </c>
      <c r="B669" s="116">
        <v>40310</v>
      </c>
      <c r="C669" s="117" t="s">
        <v>2637</v>
      </c>
      <c r="D669" s="116">
        <v>3331</v>
      </c>
      <c r="E669" s="116">
        <v>2653</v>
      </c>
      <c r="F669" s="116" t="s">
        <v>2310</v>
      </c>
    </row>
    <row r="670" spans="1:6" ht="13.2">
      <c r="A670" s="116">
        <v>7905103</v>
      </c>
      <c r="B670" s="116">
        <v>40630</v>
      </c>
      <c r="C670" s="117" t="s">
        <v>2638</v>
      </c>
      <c r="D670" s="116">
        <v>3331</v>
      </c>
      <c r="E670" s="116">
        <v>2653</v>
      </c>
      <c r="F670" s="116" t="s">
        <v>2310</v>
      </c>
    </row>
    <row r="671" spans="1:6" ht="13.2">
      <c r="A671" s="116">
        <v>7905104</v>
      </c>
      <c r="B671" s="116">
        <v>40630</v>
      </c>
      <c r="C671" s="117" t="s">
        <v>2639</v>
      </c>
      <c r="D671" s="116">
        <v>3331</v>
      </c>
      <c r="E671" s="116">
        <v>2653</v>
      </c>
      <c r="F671" s="116" t="s">
        <v>2310</v>
      </c>
    </row>
    <row r="672" spans="1:6" ht="13.2">
      <c r="A672" s="116">
        <v>7905201</v>
      </c>
      <c r="B672" s="116">
        <v>220290</v>
      </c>
      <c r="C672" s="117" t="s">
        <v>2640</v>
      </c>
      <c r="D672" s="116">
        <v>8180</v>
      </c>
      <c r="E672" s="116">
        <v>6262</v>
      </c>
      <c r="F672" s="116" t="s">
        <v>2378</v>
      </c>
    </row>
    <row r="673" spans="1:6" ht="13.2">
      <c r="A673" s="116">
        <v>7905203</v>
      </c>
      <c r="B673" s="116">
        <v>220290</v>
      </c>
      <c r="C673" s="117" t="s">
        <v>2641</v>
      </c>
      <c r="D673" s="116">
        <v>8180</v>
      </c>
      <c r="E673" s="116">
        <v>6262</v>
      </c>
      <c r="F673" s="116" t="s">
        <v>2378</v>
      </c>
    </row>
    <row r="674" spans="1:6" ht="13.2">
      <c r="A674" s="116">
        <v>7905601</v>
      </c>
      <c r="B674" s="116">
        <v>40150</v>
      </c>
      <c r="C674" s="117" t="s">
        <v>2642</v>
      </c>
      <c r="D674" s="116">
        <v>794</v>
      </c>
      <c r="E674" s="116">
        <v>1519</v>
      </c>
      <c r="F674" s="116" t="s">
        <v>2079</v>
      </c>
    </row>
    <row r="675" spans="1:6" ht="13.2">
      <c r="A675" s="116">
        <v>7905901</v>
      </c>
      <c r="B675" s="116">
        <v>40630</v>
      </c>
      <c r="C675" s="117" t="s">
        <v>2643</v>
      </c>
      <c r="D675" s="116">
        <v>794</v>
      </c>
      <c r="E675" s="116">
        <v>1519</v>
      </c>
      <c r="F675" s="116" t="s">
        <v>2079</v>
      </c>
    </row>
    <row r="676" spans="1:6" ht="13.2">
      <c r="A676" s="116">
        <v>7906001</v>
      </c>
      <c r="B676" s="116">
        <v>40630</v>
      </c>
      <c r="C676" s="117" t="s">
        <v>2644</v>
      </c>
      <c r="D676" s="116">
        <v>3331</v>
      </c>
      <c r="E676" s="116">
        <v>2653</v>
      </c>
      <c r="F676" s="116" t="s">
        <v>2310</v>
      </c>
    </row>
    <row r="677" spans="1:6" ht="13.2">
      <c r="A677" s="116">
        <v>7906005</v>
      </c>
      <c r="B677" s="116">
        <v>40630</v>
      </c>
      <c r="C677" s="117" t="s">
        <v>2645</v>
      </c>
      <c r="D677" s="116">
        <v>8180</v>
      </c>
      <c r="E677" s="116">
        <v>6262</v>
      </c>
      <c r="F677" s="116" t="s">
        <v>2378</v>
      </c>
    </row>
    <row r="678" spans="1:6" ht="13.2">
      <c r="A678" s="116">
        <v>7906201</v>
      </c>
      <c r="B678" s="116">
        <v>40630</v>
      </c>
      <c r="C678" s="117" t="s">
        <v>2646</v>
      </c>
      <c r="D678" s="116">
        <v>8180</v>
      </c>
      <c r="E678" s="116">
        <v>6262</v>
      </c>
      <c r="F678" s="116" t="s">
        <v>2378</v>
      </c>
    </row>
    <row r="679" spans="1:6" ht="13.2">
      <c r="A679" s="116">
        <v>7906303</v>
      </c>
      <c r="B679" s="116">
        <v>40620</v>
      </c>
      <c r="C679" s="117" t="s">
        <v>2647</v>
      </c>
      <c r="D679" s="116">
        <v>8180</v>
      </c>
      <c r="E679" s="116">
        <v>6262</v>
      </c>
      <c r="F679" s="116" t="s">
        <v>2378</v>
      </c>
    </row>
    <row r="680" spans="1:6" ht="13.2">
      <c r="A680" s="116">
        <v>7906401</v>
      </c>
      <c r="B680" s="116">
        <v>40630</v>
      </c>
      <c r="C680" s="117" t="s">
        <v>2648</v>
      </c>
      <c r="D680" s="116">
        <v>8180</v>
      </c>
      <c r="E680" s="116">
        <v>6262</v>
      </c>
      <c r="F680" s="116" t="s">
        <v>2378</v>
      </c>
    </row>
    <row r="681" spans="1:6" ht="13.2">
      <c r="A681" s="116">
        <v>7906501</v>
      </c>
      <c r="B681" s="116">
        <v>40630</v>
      </c>
      <c r="C681" s="117" t="s">
        <v>2649</v>
      </c>
      <c r="D681" s="116">
        <v>8762</v>
      </c>
      <c r="E681" s="116">
        <v>5966</v>
      </c>
      <c r="F681" s="116" t="s">
        <v>2605</v>
      </c>
    </row>
    <row r="682" spans="1:6" ht="13.2">
      <c r="A682" s="116">
        <v>7906601</v>
      </c>
      <c r="B682" s="116">
        <v>40630</v>
      </c>
      <c r="C682" s="117" t="s">
        <v>2650</v>
      </c>
      <c r="D682" s="116">
        <v>8180</v>
      </c>
      <c r="E682" s="116">
        <v>6262</v>
      </c>
      <c r="F682" s="116" t="s">
        <v>2378</v>
      </c>
    </row>
    <row r="683" spans="1:6" ht="13.2">
      <c r="A683" s="116">
        <v>7906702</v>
      </c>
      <c r="B683" s="116">
        <v>220290</v>
      </c>
      <c r="C683" s="117" t="s">
        <v>2651</v>
      </c>
      <c r="D683" s="116">
        <v>8180</v>
      </c>
      <c r="E683" s="116">
        <v>6262</v>
      </c>
      <c r="F683" s="116" t="s">
        <v>2378</v>
      </c>
    </row>
    <row r="684" spans="1:6" ht="13.2">
      <c r="A684" s="116">
        <v>7906710</v>
      </c>
      <c r="B684" s="116">
        <v>220290</v>
      </c>
      <c r="C684" s="117" t="s">
        <v>2652</v>
      </c>
      <c r="D684" s="116">
        <v>8180</v>
      </c>
      <c r="E684" s="116">
        <v>6262</v>
      </c>
      <c r="F684" s="116" t="s">
        <v>2378</v>
      </c>
    </row>
    <row r="685" spans="1:6" ht="13.2">
      <c r="A685" s="116">
        <v>7906801</v>
      </c>
      <c r="B685" s="116">
        <v>220290</v>
      </c>
      <c r="C685" s="117" t="s">
        <v>2653</v>
      </c>
      <c r="D685" s="116">
        <v>794</v>
      </c>
      <c r="E685" s="116">
        <v>1519</v>
      </c>
      <c r="F685" s="116" t="s">
        <v>2079</v>
      </c>
    </row>
    <row r="686" spans="1:6" ht="13.2">
      <c r="A686" s="116">
        <v>7906802</v>
      </c>
      <c r="B686" s="116">
        <v>220290</v>
      </c>
      <c r="C686" s="117" t="s">
        <v>2654</v>
      </c>
      <c r="D686" s="116">
        <v>794</v>
      </c>
      <c r="E686" s="116">
        <v>1519</v>
      </c>
      <c r="F686" s="116" t="s">
        <v>2079</v>
      </c>
    </row>
    <row r="687" spans="1:6" ht="13.2">
      <c r="A687" s="116">
        <v>7906810</v>
      </c>
      <c r="B687" s="116">
        <v>220290</v>
      </c>
      <c r="C687" s="117" t="s">
        <v>2655</v>
      </c>
      <c r="D687" s="116">
        <v>794</v>
      </c>
      <c r="E687" s="116">
        <v>1519</v>
      </c>
      <c r="F687" s="116" t="s">
        <v>2079</v>
      </c>
    </row>
    <row r="688" spans="1:6" ht="13.2">
      <c r="A688" s="116">
        <v>7906901</v>
      </c>
      <c r="B688" s="116">
        <v>220290</v>
      </c>
      <c r="C688" s="117" t="s">
        <v>2656</v>
      </c>
      <c r="D688" s="116">
        <v>794</v>
      </c>
      <c r="E688" s="116">
        <v>1519</v>
      </c>
      <c r="F688" s="116" t="s">
        <v>2079</v>
      </c>
    </row>
    <row r="689" spans="1:6" ht="13.2">
      <c r="A689" s="116">
        <v>7907001</v>
      </c>
      <c r="B689" s="116">
        <v>220290</v>
      </c>
      <c r="C689" s="117" t="s">
        <v>2657</v>
      </c>
      <c r="D689" s="116">
        <v>794</v>
      </c>
      <c r="E689" s="116">
        <v>1519</v>
      </c>
      <c r="F689" s="116" t="s">
        <v>2079</v>
      </c>
    </row>
    <row r="690" spans="1:6" ht="13.2">
      <c r="A690" s="116">
        <v>7907101</v>
      </c>
      <c r="B690" s="116">
        <v>40510</v>
      </c>
      <c r="C690" s="117" t="s">
        <v>2658</v>
      </c>
      <c r="D690" s="116">
        <v>794</v>
      </c>
      <c r="E690" s="116">
        <v>1519</v>
      </c>
      <c r="F690" s="116" t="s">
        <v>2079</v>
      </c>
    </row>
    <row r="691" spans="1:6" ht="13.2">
      <c r="A691" s="116">
        <v>7907301</v>
      </c>
      <c r="B691" s="116">
        <v>40630</v>
      </c>
      <c r="C691" s="117" t="s">
        <v>2659</v>
      </c>
      <c r="D691" s="116">
        <v>794</v>
      </c>
      <c r="E691" s="116">
        <v>1519</v>
      </c>
      <c r="F691" s="116" t="s">
        <v>2079</v>
      </c>
    </row>
    <row r="692" spans="1:6" ht="13.2">
      <c r="A692" s="116">
        <v>7907305</v>
      </c>
      <c r="B692" s="116">
        <v>40630</v>
      </c>
      <c r="C692" s="117" t="s">
        <v>2660</v>
      </c>
      <c r="D692" s="116">
        <v>9870</v>
      </c>
      <c r="E692" s="116">
        <v>4218</v>
      </c>
      <c r="F692" s="116" t="s">
        <v>2593</v>
      </c>
    </row>
    <row r="693" spans="1:6" ht="13.2">
      <c r="A693" s="116">
        <v>8000103</v>
      </c>
      <c r="B693" s="116">
        <v>190590</v>
      </c>
      <c r="C693" s="117" t="s">
        <v>2661</v>
      </c>
      <c r="D693" s="116">
        <v>8180</v>
      </c>
      <c r="E693" s="116">
        <v>6262</v>
      </c>
      <c r="F693" s="116" t="s">
        <v>2378</v>
      </c>
    </row>
    <row r="694" spans="1:6" ht="13.2">
      <c r="A694" s="116">
        <v>8000105</v>
      </c>
      <c r="B694" s="116">
        <v>190590</v>
      </c>
      <c r="C694" s="117" t="s">
        <v>2662</v>
      </c>
      <c r="D694" s="116">
        <v>8180</v>
      </c>
      <c r="E694" s="116">
        <v>6262</v>
      </c>
      <c r="F694" s="116" t="s">
        <v>2378</v>
      </c>
    </row>
    <row r="695" spans="1:6" ht="13.2">
      <c r="A695" s="116">
        <v>8000201</v>
      </c>
      <c r="B695" s="116">
        <v>190590</v>
      </c>
      <c r="C695" s="117" t="s">
        <v>2663</v>
      </c>
      <c r="D695" s="116">
        <v>1796</v>
      </c>
      <c r="E695" s="116">
        <v>1270</v>
      </c>
      <c r="F695" s="116" t="s">
        <v>2062</v>
      </c>
    </row>
    <row r="696" spans="1:6" ht="13.2">
      <c r="A696" s="116">
        <v>8000203</v>
      </c>
      <c r="B696" s="116">
        <v>190520</v>
      </c>
      <c r="C696" s="117" t="s">
        <v>2664</v>
      </c>
      <c r="D696" s="116">
        <v>547</v>
      </c>
      <c r="E696" s="116">
        <v>1870</v>
      </c>
      <c r="F696" s="116" t="s">
        <v>2161</v>
      </c>
    </row>
    <row r="697" spans="1:6" ht="13.2">
      <c r="A697" s="116">
        <v>8000218</v>
      </c>
      <c r="B697" s="116">
        <v>190520</v>
      </c>
      <c r="C697" s="117" t="s">
        <v>2665</v>
      </c>
      <c r="D697" s="116">
        <v>1796</v>
      </c>
      <c r="E697" s="116">
        <v>1270</v>
      </c>
      <c r="F697" s="116" t="s">
        <v>2062</v>
      </c>
    </row>
    <row r="698" spans="1:6" ht="13.2">
      <c r="A698" s="116">
        <v>8000229</v>
      </c>
      <c r="B698" s="116">
        <v>190520</v>
      </c>
      <c r="C698" s="117" t="s">
        <v>2666</v>
      </c>
      <c r="D698" s="116">
        <v>2572</v>
      </c>
      <c r="E698" s="116">
        <v>2039</v>
      </c>
      <c r="F698" s="116" t="s">
        <v>2036</v>
      </c>
    </row>
    <row r="699" spans="1:6" ht="13.2">
      <c r="A699" s="116">
        <v>8000234</v>
      </c>
      <c r="B699" s="116">
        <v>190520</v>
      </c>
      <c r="C699" s="117" t="s">
        <v>2667</v>
      </c>
      <c r="D699" s="116">
        <v>2572</v>
      </c>
      <c r="E699" s="116">
        <v>2039</v>
      </c>
      <c r="F699" s="116" t="s">
        <v>2036</v>
      </c>
    </row>
    <row r="700" spans="1:6" ht="13.2">
      <c r="A700" s="116">
        <v>8000237</v>
      </c>
      <c r="B700" s="116">
        <v>190590</v>
      </c>
      <c r="C700" s="117" t="s">
        <v>2668</v>
      </c>
      <c r="D700" s="116">
        <v>2572</v>
      </c>
      <c r="E700" s="116">
        <v>2039</v>
      </c>
      <c r="F700" s="116" t="s">
        <v>2036</v>
      </c>
    </row>
    <row r="701" spans="1:6" ht="13.2">
      <c r="A701" s="116">
        <v>8000240</v>
      </c>
      <c r="B701" s="116">
        <v>190590</v>
      </c>
      <c r="C701" s="117" t="s">
        <v>2669</v>
      </c>
      <c r="D701" s="116">
        <v>2572</v>
      </c>
      <c r="E701" s="116">
        <v>2039</v>
      </c>
      <c r="F701" s="116" t="s">
        <v>2036</v>
      </c>
    </row>
    <row r="702" spans="1:6" ht="13.2">
      <c r="A702" s="116">
        <v>8000501</v>
      </c>
      <c r="B702" s="116">
        <v>190590</v>
      </c>
      <c r="C702" s="117" t="s">
        <v>2670</v>
      </c>
      <c r="D702" s="116">
        <v>930</v>
      </c>
      <c r="E702" s="116">
        <v>1270</v>
      </c>
      <c r="F702" s="116" t="s">
        <v>2062</v>
      </c>
    </row>
    <row r="703" spans="1:6" ht="13.2">
      <c r="A703" s="116">
        <v>8000801</v>
      </c>
      <c r="B703" s="116">
        <v>190120</v>
      </c>
      <c r="C703" s="117" t="s">
        <v>2671</v>
      </c>
      <c r="D703" s="116">
        <v>1796</v>
      </c>
      <c r="E703" s="116">
        <v>1270</v>
      </c>
      <c r="F703" s="116" t="s">
        <v>2062</v>
      </c>
    </row>
    <row r="704" spans="1:6" ht="13.2">
      <c r="A704" s="116">
        <v>8001101</v>
      </c>
      <c r="B704" s="116">
        <v>190590</v>
      </c>
      <c r="C704" s="117" t="s">
        <v>2672</v>
      </c>
      <c r="D704" s="116">
        <v>1076</v>
      </c>
      <c r="E704" s="116">
        <v>876</v>
      </c>
      <c r="F704" s="116" t="s">
        <v>2025</v>
      </c>
    </row>
    <row r="705" spans="1:6" ht="13.2">
      <c r="A705" s="116">
        <v>8001401</v>
      </c>
      <c r="B705" s="116">
        <v>190590</v>
      </c>
      <c r="C705" s="117" t="s">
        <v>2673</v>
      </c>
      <c r="D705" s="116">
        <v>2004</v>
      </c>
      <c r="E705" s="116">
        <v>1647</v>
      </c>
      <c r="F705" s="116" t="s">
        <v>2027</v>
      </c>
    </row>
    <row r="706" spans="1:6" ht="13.2">
      <c r="A706" s="116">
        <v>8001501</v>
      </c>
      <c r="B706" s="116">
        <v>190590</v>
      </c>
      <c r="C706" s="117" t="s">
        <v>2674</v>
      </c>
      <c r="D706" s="116">
        <v>1796</v>
      </c>
      <c r="E706" s="116">
        <v>1270</v>
      </c>
      <c r="F706" s="116" t="s">
        <v>2062</v>
      </c>
    </row>
    <row r="707" spans="1:6" ht="13.2">
      <c r="A707" s="116">
        <v>8001901</v>
      </c>
      <c r="B707" s="116">
        <v>190590</v>
      </c>
      <c r="C707" s="117" t="s">
        <v>2675</v>
      </c>
      <c r="D707" s="116">
        <v>1796</v>
      </c>
      <c r="E707" s="116">
        <v>1270</v>
      </c>
      <c r="F707" s="116" t="s">
        <v>2062</v>
      </c>
    </row>
    <row r="708" spans="1:6" ht="13.2">
      <c r="A708" s="116">
        <v>8002001</v>
      </c>
      <c r="B708" s="116">
        <v>190520</v>
      </c>
      <c r="C708" s="117" t="s">
        <v>2676</v>
      </c>
      <c r="D708" s="116">
        <v>1796</v>
      </c>
      <c r="E708" s="116">
        <v>1270</v>
      </c>
      <c r="F708" s="116" t="s">
        <v>2062</v>
      </c>
    </row>
    <row r="709" spans="1:6" ht="13.2">
      <c r="A709" s="116">
        <v>8002002</v>
      </c>
      <c r="B709" s="116">
        <v>190530</v>
      </c>
      <c r="C709" s="117" t="s">
        <v>2677</v>
      </c>
      <c r="D709" s="116">
        <v>1545</v>
      </c>
      <c r="E709" s="116">
        <v>1324</v>
      </c>
      <c r="F709" s="116" t="s">
        <v>2678</v>
      </c>
    </row>
    <row r="710" spans="1:6" ht="13.2">
      <c r="A710" s="116">
        <v>8002101</v>
      </c>
      <c r="B710" s="116">
        <v>190530</v>
      </c>
      <c r="C710" s="117" t="s">
        <v>2679</v>
      </c>
      <c r="D710" s="116">
        <v>2572</v>
      </c>
      <c r="E710" s="116">
        <v>2039</v>
      </c>
      <c r="F710" s="116" t="s">
        <v>2036</v>
      </c>
    </row>
    <row r="711" spans="1:6" ht="13.2">
      <c r="A711" s="116">
        <v>8002106</v>
      </c>
      <c r="B711" s="116">
        <v>190590</v>
      </c>
      <c r="C711" s="117" t="s">
        <v>2680</v>
      </c>
      <c r="D711" s="116">
        <v>1942</v>
      </c>
      <c r="E711" s="116">
        <v>2730</v>
      </c>
      <c r="F711" s="116" t="s">
        <v>2681</v>
      </c>
    </row>
    <row r="712" spans="1:6" ht="13.2">
      <c r="A712" s="116">
        <v>8002201</v>
      </c>
      <c r="B712" s="116">
        <v>190590</v>
      </c>
      <c r="C712" s="117" t="s">
        <v>2682</v>
      </c>
      <c r="D712" s="116">
        <v>1642</v>
      </c>
      <c r="E712" s="116">
        <v>2233</v>
      </c>
      <c r="F712" s="116" t="s">
        <v>2318</v>
      </c>
    </row>
    <row r="713" spans="1:6" ht="13.2">
      <c r="A713" s="116">
        <v>8002205</v>
      </c>
      <c r="B713" s="116">
        <v>190590</v>
      </c>
      <c r="C713" s="117" t="s">
        <v>2683</v>
      </c>
      <c r="D713" s="116">
        <v>1796</v>
      </c>
      <c r="E713" s="116">
        <v>1270</v>
      </c>
      <c r="F713" s="116" t="s">
        <v>2062</v>
      </c>
    </row>
    <row r="714" spans="1:6" ht="13.2">
      <c r="A714" s="116">
        <v>8002212</v>
      </c>
      <c r="B714" s="116">
        <v>190530</v>
      </c>
      <c r="C714" s="117" t="s">
        <v>2684</v>
      </c>
      <c r="D714" s="116">
        <v>1552</v>
      </c>
      <c r="E714" s="116">
        <v>1511</v>
      </c>
      <c r="F714" s="116" t="s">
        <v>2030</v>
      </c>
    </row>
    <row r="715" spans="1:6" ht="13.2">
      <c r="A715" s="116">
        <v>8002225</v>
      </c>
      <c r="B715" s="116">
        <v>190590</v>
      </c>
      <c r="C715" s="117" t="s">
        <v>2685</v>
      </c>
      <c r="D715" s="116">
        <v>1796</v>
      </c>
      <c r="E715" s="116">
        <v>1270</v>
      </c>
      <c r="F715" s="116" t="s">
        <v>2062</v>
      </c>
    </row>
    <row r="716" spans="1:6" ht="13.2">
      <c r="A716" s="116">
        <v>8002227</v>
      </c>
      <c r="B716" s="116">
        <v>190590</v>
      </c>
      <c r="C716" s="117" t="s">
        <v>2686</v>
      </c>
      <c r="D716" s="116">
        <v>1642</v>
      </c>
      <c r="E716" s="116">
        <v>2233</v>
      </c>
      <c r="F716" s="116" t="s">
        <v>2318</v>
      </c>
    </row>
    <row r="717" spans="1:6" ht="13.2">
      <c r="A717" s="116">
        <v>8002230</v>
      </c>
      <c r="B717" s="116">
        <v>190590</v>
      </c>
      <c r="C717" s="117" t="s">
        <v>2687</v>
      </c>
      <c r="D717" s="116">
        <v>1449</v>
      </c>
      <c r="E717" s="116">
        <v>975</v>
      </c>
      <c r="F717" s="116" t="s">
        <v>2688</v>
      </c>
    </row>
    <row r="718" spans="1:6" ht="13.2">
      <c r="A718" s="116">
        <v>8002236</v>
      </c>
      <c r="B718" s="116">
        <v>190590</v>
      </c>
      <c r="C718" s="117" t="s">
        <v>2689</v>
      </c>
      <c r="D718" s="116">
        <v>3900</v>
      </c>
      <c r="E718" s="116">
        <v>1270</v>
      </c>
      <c r="F718" s="116" t="s">
        <v>2062</v>
      </c>
    </row>
    <row r="719" spans="1:6" ht="13.2">
      <c r="A719" s="116">
        <v>8002301</v>
      </c>
      <c r="B719" s="116">
        <v>190530</v>
      </c>
      <c r="C719" s="117" t="s">
        <v>2690</v>
      </c>
      <c r="D719" s="116">
        <v>1796</v>
      </c>
      <c r="E719" s="116">
        <v>1270</v>
      </c>
      <c r="F719" s="116" t="s">
        <v>2062</v>
      </c>
    </row>
    <row r="720" spans="1:6" ht="13.2">
      <c r="A720" s="116">
        <v>8002302</v>
      </c>
      <c r="B720" s="116">
        <v>190530</v>
      </c>
      <c r="C720" s="117" t="s">
        <v>2691</v>
      </c>
      <c r="D720" s="116">
        <v>1001</v>
      </c>
      <c r="E720" s="116">
        <v>624</v>
      </c>
      <c r="F720" s="116" t="s">
        <v>2574</v>
      </c>
    </row>
    <row r="721" spans="1:6" ht="13.2">
      <c r="A721" s="116">
        <v>8002305</v>
      </c>
      <c r="B721" s="116">
        <v>190530</v>
      </c>
      <c r="C721" s="117" t="s">
        <v>2692</v>
      </c>
      <c r="D721" s="116">
        <v>1691</v>
      </c>
      <c r="E721" s="116">
        <v>3051</v>
      </c>
      <c r="F721" s="116" t="s">
        <v>2693</v>
      </c>
    </row>
    <row r="722" spans="1:6" ht="13.2">
      <c r="A722" s="116">
        <v>8002306</v>
      </c>
      <c r="B722" s="116">
        <v>190530</v>
      </c>
      <c r="C722" s="117" t="s">
        <v>2694</v>
      </c>
      <c r="D722" s="116">
        <v>1642</v>
      </c>
      <c r="E722" s="116">
        <v>2233</v>
      </c>
      <c r="F722" s="116" t="s">
        <v>2318</v>
      </c>
    </row>
    <row r="723" spans="1:6" ht="13.2">
      <c r="A723" s="116">
        <v>8002309</v>
      </c>
      <c r="B723" s="116">
        <v>190590</v>
      </c>
      <c r="C723" s="117" t="s">
        <v>2695</v>
      </c>
      <c r="D723" s="116">
        <v>1642</v>
      </c>
      <c r="E723" s="116">
        <v>2233</v>
      </c>
      <c r="F723" s="116" t="s">
        <v>2318</v>
      </c>
    </row>
    <row r="724" spans="1:6" ht="13.2">
      <c r="A724" s="116">
        <v>8002315</v>
      </c>
      <c r="B724" s="116">
        <v>190530</v>
      </c>
      <c r="C724" s="117" t="s">
        <v>2696</v>
      </c>
      <c r="D724" s="116">
        <v>1642</v>
      </c>
      <c r="E724" s="116">
        <v>2233</v>
      </c>
      <c r="F724" s="116" t="s">
        <v>2318</v>
      </c>
    </row>
    <row r="725" spans="1:6" ht="13.2">
      <c r="A725" s="116">
        <v>8002334</v>
      </c>
      <c r="B725" s="116">
        <v>190530</v>
      </c>
      <c r="C725" s="117" t="s">
        <v>2697</v>
      </c>
      <c r="D725" s="116">
        <v>1796</v>
      </c>
      <c r="E725" s="116">
        <v>1270</v>
      </c>
      <c r="F725" s="116" t="s">
        <v>2062</v>
      </c>
    </row>
    <row r="726" spans="1:6" ht="13.2">
      <c r="A726" s="116">
        <v>8002335</v>
      </c>
      <c r="B726" s="116">
        <v>190530</v>
      </c>
      <c r="C726" s="117" t="s">
        <v>2698</v>
      </c>
      <c r="D726" s="116">
        <v>1642</v>
      </c>
      <c r="E726" s="116">
        <v>2233</v>
      </c>
      <c r="F726" s="116" t="s">
        <v>2318</v>
      </c>
    </row>
    <row r="727" spans="1:6" ht="13.2">
      <c r="A727" s="116">
        <v>8002405</v>
      </c>
      <c r="B727" s="116">
        <v>190530</v>
      </c>
      <c r="C727" s="117" t="s">
        <v>2699</v>
      </c>
      <c r="D727" s="116">
        <v>1465</v>
      </c>
      <c r="E727" s="116">
        <v>1682</v>
      </c>
      <c r="F727" s="116" t="s">
        <v>2700</v>
      </c>
    </row>
    <row r="728" spans="1:6" ht="13.2">
      <c r="A728" s="116">
        <v>8002502</v>
      </c>
      <c r="B728" s="116">
        <v>190590</v>
      </c>
      <c r="C728" s="117" t="s">
        <v>2701</v>
      </c>
      <c r="D728" s="116">
        <v>1642</v>
      </c>
      <c r="E728" s="116">
        <v>2233</v>
      </c>
      <c r="F728" s="116" t="s">
        <v>2318</v>
      </c>
    </row>
    <row r="729" spans="1:6" ht="13.2">
      <c r="A729" s="116">
        <v>8002503</v>
      </c>
      <c r="B729" s="116">
        <v>190520</v>
      </c>
      <c r="C729" s="117" t="s">
        <v>2702</v>
      </c>
      <c r="D729" s="116">
        <v>1642</v>
      </c>
      <c r="E729" s="116">
        <v>2233</v>
      </c>
      <c r="F729" s="116" t="s">
        <v>2318</v>
      </c>
    </row>
    <row r="730" spans="1:6" ht="13.2">
      <c r="A730" s="116">
        <v>8002604</v>
      </c>
      <c r="B730" s="116">
        <v>190520</v>
      </c>
      <c r="C730" s="117" t="s">
        <v>2703</v>
      </c>
      <c r="D730" s="116">
        <v>2060</v>
      </c>
      <c r="E730" s="116">
        <v>2033</v>
      </c>
      <c r="F730" s="116" t="s">
        <v>2704</v>
      </c>
    </row>
    <row r="731" spans="1:6" ht="13.2">
      <c r="A731" s="116">
        <v>8002605</v>
      </c>
      <c r="B731" s="116">
        <v>190520</v>
      </c>
      <c r="C731" s="117" t="s">
        <v>2705</v>
      </c>
      <c r="D731" s="116">
        <v>2572</v>
      </c>
      <c r="E731" s="116">
        <v>2039</v>
      </c>
      <c r="F731" s="116" t="s">
        <v>2036</v>
      </c>
    </row>
    <row r="732" spans="1:6" ht="13.2">
      <c r="A732" s="116">
        <v>8002609</v>
      </c>
      <c r="B732" s="116">
        <v>190520</v>
      </c>
      <c r="C732" s="117" t="s">
        <v>2706</v>
      </c>
      <c r="D732" s="116">
        <v>2572</v>
      </c>
      <c r="E732" s="116">
        <v>2039</v>
      </c>
      <c r="F732" s="116" t="s">
        <v>2036</v>
      </c>
    </row>
    <row r="733" spans="1:6" ht="13.2">
      <c r="A733" s="116">
        <v>8003501</v>
      </c>
      <c r="B733" s="116">
        <v>190590</v>
      </c>
      <c r="C733" s="117" t="s">
        <v>2707</v>
      </c>
      <c r="D733" s="116">
        <v>2572</v>
      </c>
      <c r="E733" s="116">
        <v>2039</v>
      </c>
      <c r="F733" s="116" t="s">
        <v>2036</v>
      </c>
    </row>
    <row r="734" spans="1:6" ht="13.2">
      <c r="A734" s="116">
        <v>8003601</v>
      </c>
      <c r="B734" s="116">
        <v>190220</v>
      </c>
      <c r="C734" s="117" t="s">
        <v>2708</v>
      </c>
      <c r="D734" s="116">
        <v>2572</v>
      </c>
      <c r="E734" s="116">
        <v>2039</v>
      </c>
      <c r="F734" s="116" t="s">
        <v>2036</v>
      </c>
    </row>
    <row r="735" spans="1:6" ht="13.2">
      <c r="A735" s="116">
        <v>8003701</v>
      </c>
      <c r="B735" s="116">
        <v>190590</v>
      </c>
      <c r="C735" s="117" t="s">
        <v>2709</v>
      </c>
      <c r="D735" s="116">
        <v>3000</v>
      </c>
      <c r="E735" s="116">
        <v>1270</v>
      </c>
      <c r="F735" s="116" t="s">
        <v>2062</v>
      </c>
    </row>
    <row r="736" spans="1:6" ht="13.2">
      <c r="A736" s="116">
        <v>8003702</v>
      </c>
      <c r="B736" s="116">
        <v>190590</v>
      </c>
      <c r="C736" s="117" t="s">
        <v>2710</v>
      </c>
      <c r="D736" s="116">
        <v>9525</v>
      </c>
      <c r="E736" s="116">
        <v>1730</v>
      </c>
      <c r="F736" s="116" t="s">
        <v>2030</v>
      </c>
    </row>
    <row r="737" spans="1:6" ht="13.2">
      <c r="A737" s="116">
        <v>8003902</v>
      </c>
      <c r="B737" s="116">
        <v>190590</v>
      </c>
      <c r="C737" s="117" t="s">
        <v>2711</v>
      </c>
      <c r="D737" s="116">
        <v>1796</v>
      </c>
      <c r="E737" s="116">
        <v>1270</v>
      </c>
      <c r="F737" s="116" t="s">
        <v>2062</v>
      </c>
    </row>
    <row r="738" spans="1:6" ht="13.2">
      <c r="A738" s="116">
        <v>8004701</v>
      </c>
      <c r="B738" s="116">
        <v>190590</v>
      </c>
      <c r="C738" s="117" t="s">
        <v>2712</v>
      </c>
      <c r="D738" s="116">
        <v>1796</v>
      </c>
      <c r="E738" s="116">
        <v>1270</v>
      </c>
      <c r="F738" s="116" t="s">
        <v>2062</v>
      </c>
    </row>
    <row r="739" spans="1:6" ht="13.2">
      <c r="A739" s="116">
        <v>8004801</v>
      </c>
      <c r="B739" s="116">
        <v>190530</v>
      </c>
      <c r="C739" s="117" t="s">
        <v>2713</v>
      </c>
      <c r="D739" s="116">
        <v>1644</v>
      </c>
      <c r="E739" s="116">
        <v>1917</v>
      </c>
      <c r="F739" s="116" t="s">
        <v>2714</v>
      </c>
    </row>
    <row r="740" spans="1:6" ht="13.2">
      <c r="A740" s="116">
        <v>8004807</v>
      </c>
      <c r="B740" s="116">
        <v>190530</v>
      </c>
      <c r="C740" s="117" t="s">
        <v>2715</v>
      </c>
      <c r="D740" s="116">
        <v>1796</v>
      </c>
      <c r="E740" s="116">
        <v>1270</v>
      </c>
      <c r="F740" s="116" t="s">
        <v>2062</v>
      </c>
    </row>
    <row r="741" spans="1:6" ht="13.2">
      <c r="A741" s="116">
        <v>8004809</v>
      </c>
      <c r="B741" s="116">
        <v>190530</v>
      </c>
      <c r="C741" s="117" t="s">
        <v>2716</v>
      </c>
      <c r="D741" s="116">
        <v>1817</v>
      </c>
      <c r="E741" s="116">
        <v>1720</v>
      </c>
      <c r="F741" s="116" t="s">
        <v>2717</v>
      </c>
    </row>
    <row r="742" spans="1:6" ht="13.2">
      <c r="A742" s="116">
        <v>8004810</v>
      </c>
      <c r="B742" s="116">
        <v>190530</v>
      </c>
      <c r="C742" s="117" t="s">
        <v>2718</v>
      </c>
      <c r="D742" s="116">
        <v>1642</v>
      </c>
      <c r="E742" s="116">
        <v>2233</v>
      </c>
      <c r="F742" s="116" t="s">
        <v>2318</v>
      </c>
    </row>
    <row r="743" spans="1:6" ht="13.2">
      <c r="A743" s="116">
        <v>8004813</v>
      </c>
      <c r="B743" s="116">
        <v>190590</v>
      </c>
      <c r="C743" s="117" t="s">
        <v>2719</v>
      </c>
      <c r="D743" s="116">
        <v>1642</v>
      </c>
      <c r="E743" s="116">
        <v>2233</v>
      </c>
      <c r="F743" s="116" t="s">
        <v>2318</v>
      </c>
    </row>
    <row r="744" spans="1:6" ht="13.2">
      <c r="A744" s="116">
        <v>8004814</v>
      </c>
      <c r="B744" s="116">
        <v>190530</v>
      </c>
      <c r="C744" s="117" t="s">
        <v>2720</v>
      </c>
      <c r="D744" s="116">
        <v>1547</v>
      </c>
      <c r="E744" s="116">
        <v>2462</v>
      </c>
      <c r="F744" s="116" t="s">
        <v>2721</v>
      </c>
    </row>
    <row r="745" spans="1:6" ht="13.2">
      <c r="A745" s="116">
        <v>8005201</v>
      </c>
      <c r="B745" s="116">
        <v>190590</v>
      </c>
      <c r="C745" s="117" t="s">
        <v>2722</v>
      </c>
      <c r="D745" s="116">
        <v>2379</v>
      </c>
      <c r="E745" s="116">
        <v>1897</v>
      </c>
      <c r="F745" s="116" t="s">
        <v>2723</v>
      </c>
    </row>
    <row r="746" spans="1:6" ht="13.2">
      <c r="A746" s="116">
        <v>8006501</v>
      </c>
      <c r="B746" s="116">
        <v>190590</v>
      </c>
      <c r="C746" s="117" t="s">
        <v>2724</v>
      </c>
      <c r="D746" s="116">
        <v>1642</v>
      </c>
      <c r="E746" s="116">
        <v>2233</v>
      </c>
      <c r="F746" s="116" t="s">
        <v>2318</v>
      </c>
    </row>
    <row r="747" spans="1:6" ht="13.2">
      <c r="A747" s="116">
        <v>8006601</v>
      </c>
      <c r="B747" s="116">
        <v>190590</v>
      </c>
      <c r="C747" s="117" t="s">
        <v>2725</v>
      </c>
      <c r="D747" s="116">
        <v>2250</v>
      </c>
      <c r="E747" s="116">
        <v>1270</v>
      </c>
      <c r="F747" s="116" t="s">
        <v>2036</v>
      </c>
    </row>
    <row r="748" spans="1:6" ht="13.2">
      <c r="A748" s="116">
        <v>8006701</v>
      </c>
      <c r="B748" s="116">
        <v>190590</v>
      </c>
      <c r="C748" s="117" t="s">
        <v>2726</v>
      </c>
      <c r="D748" s="116">
        <v>1796</v>
      </c>
      <c r="E748" s="116">
        <v>1270</v>
      </c>
      <c r="F748" s="116" t="s">
        <v>2062</v>
      </c>
    </row>
    <row r="749" spans="1:6" ht="13.2">
      <c r="A749" s="116">
        <v>8006801</v>
      </c>
      <c r="B749" s="116">
        <v>190590</v>
      </c>
      <c r="C749" s="117" t="s">
        <v>2726</v>
      </c>
      <c r="D749" s="116">
        <v>1796</v>
      </c>
      <c r="E749" s="116">
        <v>1270</v>
      </c>
      <c r="F749" s="116" t="s">
        <v>2062</v>
      </c>
    </row>
    <row r="750" spans="1:6" ht="13.2">
      <c r="A750" s="116">
        <v>8007001</v>
      </c>
      <c r="B750" s="116">
        <v>190590</v>
      </c>
      <c r="C750" s="117" t="s">
        <v>2727</v>
      </c>
      <c r="D750" s="116">
        <v>1796</v>
      </c>
      <c r="E750" s="116">
        <v>1270</v>
      </c>
      <c r="F750" s="116" t="s">
        <v>2062</v>
      </c>
    </row>
    <row r="751" spans="1:6" ht="13.2">
      <c r="A751" s="116">
        <v>8007101</v>
      </c>
      <c r="B751" s="116">
        <v>190590</v>
      </c>
      <c r="C751" s="117" t="s">
        <v>2728</v>
      </c>
      <c r="D751" s="116">
        <v>1796</v>
      </c>
      <c r="E751" s="116">
        <v>1270</v>
      </c>
      <c r="F751" s="116" t="s">
        <v>2062</v>
      </c>
    </row>
    <row r="752" spans="1:6" ht="13.2">
      <c r="A752" s="116">
        <v>8007302</v>
      </c>
      <c r="B752" s="116">
        <v>190220</v>
      </c>
      <c r="C752" s="117" t="s">
        <v>2729</v>
      </c>
      <c r="D752" s="116">
        <v>1796</v>
      </c>
      <c r="E752" s="116">
        <v>1270</v>
      </c>
      <c r="F752" s="116" t="s">
        <v>2062</v>
      </c>
    </row>
    <row r="753" spans="1:6" ht="13.2">
      <c r="A753" s="116">
        <v>8007402</v>
      </c>
      <c r="B753" s="116">
        <v>190220</v>
      </c>
      <c r="C753" s="117" t="s">
        <v>2730</v>
      </c>
      <c r="D753" s="116">
        <v>1796</v>
      </c>
      <c r="E753" s="116">
        <v>1270</v>
      </c>
      <c r="F753" s="116" t="s">
        <v>2062</v>
      </c>
    </row>
    <row r="754" spans="1:6" ht="13.2">
      <c r="A754" s="116">
        <v>8007501</v>
      </c>
      <c r="B754" s="116">
        <v>190520</v>
      </c>
      <c r="C754" s="117" t="s">
        <v>2731</v>
      </c>
      <c r="D754" s="116">
        <v>9525</v>
      </c>
      <c r="E754" s="116">
        <v>1730</v>
      </c>
      <c r="F754" s="116" t="s">
        <v>2030</v>
      </c>
    </row>
    <row r="755" spans="1:6" ht="13.2">
      <c r="A755" s="116">
        <v>8007601</v>
      </c>
      <c r="B755" s="116">
        <v>190520</v>
      </c>
      <c r="C755" s="117" t="s">
        <v>2732</v>
      </c>
      <c r="D755" s="116">
        <v>9525</v>
      </c>
      <c r="E755" s="116">
        <v>1730</v>
      </c>
      <c r="F755" s="116" t="s">
        <v>2030</v>
      </c>
    </row>
    <row r="756" spans="1:6" ht="13.2">
      <c r="A756" s="116">
        <v>8007701</v>
      </c>
      <c r="B756" s="116">
        <v>190520</v>
      </c>
      <c r="C756" s="117" t="s">
        <v>2733</v>
      </c>
      <c r="D756" s="116">
        <v>2572</v>
      </c>
      <c r="E756" s="116">
        <v>2039</v>
      </c>
      <c r="F756" s="116" t="s">
        <v>2036</v>
      </c>
    </row>
    <row r="757" spans="1:6" ht="13.2">
      <c r="A757" s="116">
        <v>8008001</v>
      </c>
      <c r="B757" s="116">
        <v>190520</v>
      </c>
      <c r="C757" s="117" t="s">
        <v>2734</v>
      </c>
      <c r="D757" s="116">
        <v>2572</v>
      </c>
      <c r="E757" s="116">
        <v>2039</v>
      </c>
      <c r="F757" s="116" t="s">
        <v>2036</v>
      </c>
    </row>
    <row r="758" spans="1:6" ht="13.2">
      <c r="A758" s="116">
        <v>8008201</v>
      </c>
      <c r="B758" s="116">
        <v>190520</v>
      </c>
      <c r="C758" s="117" t="s">
        <v>2735</v>
      </c>
      <c r="D758" s="116">
        <v>2559</v>
      </c>
      <c r="E758" s="116">
        <v>2039</v>
      </c>
      <c r="F758" s="116" t="s">
        <v>2736</v>
      </c>
    </row>
    <row r="759" spans="1:6" ht="13.2">
      <c r="A759" s="116">
        <v>8008301</v>
      </c>
      <c r="B759" s="116">
        <v>190530</v>
      </c>
      <c r="C759" s="117" t="s">
        <v>2737</v>
      </c>
      <c r="D759" s="116">
        <v>2572</v>
      </c>
      <c r="E759" s="116">
        <v>2039</v>
      </c>
      <c r="F759" s="116" t="s">
        <v>2036</v>
      </c>
    </row>
    <row r="760" spans="1:6" ht="13.2">
      <c r="A760" s="116">
        <v>8008305</v>
      </c>
      <c r="B760" s="116">
        <v>190530</v>
      </c>
      <c r="C760" s="117" t="s">
        <v>2738</v>
      </c>
      <c r="D760" s="116">
        <v>2572</v>
      </c>
      <c r="E760" s="116">
        <v>2039</v>
      </c>
      <c r="F760" s="116" t="s">
        <v>2036</v>
      </c>
    </row>
    <row r="761" spans="1:6" ht="13.2">
      <c r="A761" s="116">
        <v>8008307</v>
      </c>
      <c r="B761" s="116">
        <v>190530</v>
      </c>
      <c r="C761" s="117" t="s">
        <v>2739</v>
      </c>
      <c r="D761" s="116">
        <v>1642</v>
      </c>
      <c r="E761" s="116">
        <v>2233</v>
      </c>
      <c r="F761" s="116" t="s">
        <v>2318</v>
      </c>
    </row>
    <row r="762" spans="1:6" ht="13.2">
      <c r="A762" s="116">
        <v>8008309</v>
      </c>
      <c r="B762" s="116">
        <v>190530</v>
      </c>
      <c r="C762" s="117" t="s">
        <v>2740</v>
      </c>
      <c r="D762" s="116">
        <v>1642</v>
      </c>
      <c r="E762" s="116">
        <v>2233</v>
      </c>
      <c r="F762" s="116" t="s">
        <v>2318</v>
      </c>
    </row>
    <row r="763" spans="1:6" ht="13.2">
      <c r="A763" s="116">
        <v>8008310</v>
      </c>
      <c r="B763" s="116">
        <v>190530</v>
      </c>
      <c r="C763" s="117" t="s">
        <v>2741</v>
      </c>
      <c r="D763" s="116">
        <v>1642</v>
      </c>
      <c r="E763" s="116">
        <v>2233</v>
      </c>
      <c r="F763" s="116" t="s">
        <v>2318</v>
      </c>
    </row>
    <row r="764" spans="1:6" ht="13.2">
      <c r="A764" s="116">
        <v>8008401</v>
      </c>
      <c r="B764" s="116">
        <v>190530</v>
      </c>
      <c r="C764" s="117" t="s">
        <v>2742</v>
      </c>
      <c r="D764" s="116">
        <v>1642</v>
      </c>
      <c r="E764" s="116">
        <v>2233</v>
      </c>
      <c r="F764" s="116" t="s">
        <v>2318</v>
      </c>
    </row>
    <row r="765" spans="1:6" ht="13.2">
      <c r="A765" s="116">
        <v>8008408</v>
      </c>
      <c r="B765" s="116">
        <v>190530</v>
      </c>
      <c r="C765" s="117" t="s">
        <v>2743</v>
      </c>
      <c r="D765" s="116">
        <v>2943</v>
      </c>
      <c r="E765" s="116">
        <v>5466</v>
      </c>
      <c r="F765" s="116" t="s">
        <v>2744</v>
      </c>
    </row>
    <row r="766" spans="1:6" ht="13.2">
      <c r="A766" s="116">
        <v>8008410</v>
      </c>
      <c r="B766" s="116">
        <v>190530</v>
      </c>
      <c r="C766" s="117" t="s">
        <v>2745</v>
      </c>
      <c r="D766" s="116">
        <v>1642</v>
      </c>
      <c r="E766" s="116">
        <v>2233</v>
      </c>
      <c r="F766" s="116" t="s">
        <v>2318</v>
      </c>
    </row>
    <row r="767" spans="1:6" ht="13.2">
      <c r="A767" s="116">
        <v>8010001</v>
      </c>
      <c r="B767" s="116">
        <v>190520</v>
      </c>
      <c r="C767" s="117" t="s">
        <v>2746</v>
      </c>
      <c r="D767" s="116">
        <v>1642</v>
      </c>
      <c r="E767" s="116">
        <v>2233</v>
      </c>
      <c r="F767" s="116" t="s">
        <v>2318</v>
      </c>
    </row>
    <row r="768" spans="1:6" ht="13.2">
      <c r="A768" s="116">
        <v>8010029</v>
      </c>
      <c r="B768" s="116">
        <v>190520</v>
      </c>
      <c r="C768" s="117" t="s">
        <v>2747</v>
      </c>
      <c r="D768" s="116">
        <v>1642</v>
      </c>
      <c r="E768" s="116">
        <v>2233</v>
      </c>
      <c r="F768" s="116" t="s">
        <v>2318</v>
      </c>
    </row>
    <row r="769" spans="1:6" ht="13.2">
      <c r="A769" s="116">
        <v>8010034</v>
      </c>
      <c r="B769" s="116">
        <v>190520</v>
      </c>
      <c r="C769" s="117" t="s">
        <v>2748</v>
      </c>
      <c r="D769" s="116">
        <v>2572</v>
      </c>
      <c r="E769" s="116">
        <v>2039</v>
      </c>
      <c r="F769" s="116" t="s">
        <v>2036</v>
      </c>
    </row>
    <row r="770" spans="1:6" ht="13.2">
      <c r="A770" s="116">
        <v>8010101</v>
      </c>
      <c r="B770" s="116">
        <v>190590</v>
      </c>
      <c r="C770" s="117" t="s">
        <v>2749</v>
      </c>
      <c r="D770" s="116">
        <v>2572</v>
      </c>
      <c r="E770" s="116">
        <v>2039</v>
      </c>
      <c r="F770" s="116" t="s">
        <v>2036</v>
      </c>
    </row>
    <row r="771" spans="1:6" ht="13.2">
      <c r="A771" s="116">
        <v>8010125</v>
      </c>
      <c r="B771" s="116">
        <v>190590</v>
      </c>
      <c r="C771" s="117" t="s">
        <v>2750</v>
      </c>
      <c r="D771" s="116">
        <v>2572</v>
      </c>
      <c r="E771" s="116">
        <v>2039</v>
      </c>
      <c r="F771" s="116" t="s">
        <v>2036</v>
      </c>
    </row>
    <row r="772" spans="1:6" ht="13.2">
      <c r="A772" s="116">
        <v>8010127</v>
      </c>
      <c r="B772" s="116">
        <v>190590</v>
      </c>
      <c r="C772" s="117" t="s">
        <v>2751</v>
      </c>
      <c r="D772" s="116">
        <v>1796</v>
      </c>
      <c r="E772" s="116">
        <v>1270</v>
      </c>
      <c r="F772" s="116" t="s">
        <v>2062</v>
      </c>
    </row>
    <row r="773" spans="1:6" ht="13.2">
      <c r="A773" s="116">
        <v>8010401</v>
      </c>
      <c r="B773" s="116">
        <v>190530</v>
      </c>
      <c r="C773" s="117" t="s">
        <v>2752</v>
      </c>
      <c r="D773" s="116">
        <v>1796</v>
      </c>
      <c r="E773" s="116">
        <v>1270</v>
      </c>
      <c r="F773" s="116" t="s">
        <v>2062</v>
      </c>
    </row>
    <row r="774" spans="1:6" ht="13.2">
      <c r="A774" s="116">
        <v>8010434</v>
      </c>
      <c r="B774" s="116">
        <v>190530</v>
      </c>
      <c r="C774" s="117" t="s">
        <v>2753</v>
      </c>
      <c r="D774" s="116">
        <v>1796</v>
      </c>
      <c r="E774" s="116">
        <v>1270</v>
      </c>
      <c r="F774" s="116" t="s">
        <v>2062</v>
      </c>
    </row>
    <row r="775" spans="1:6" ht="13.2">
      <c r="A775" s="116">
        <v>8010501</v>
      </c>
      <c r="B775" s="116">
        <v>190530</v>
      </c>
      <c r="C775" s="117" t="s">
        <v>2754</v>
      </c>
      <c r="D775" s="116">
        <v>1642</v>
      </c>
      <c r="E775" s="116">
        <v>2233</v>
      </c>
      <c r="F775" s="116" t="s">
        <v>2318</v>
      </c>
    </row>
    <row r="776" spans="1:6" ht="13.2">
      <c r="A776" s="116">
        <v>8010534</v>
      </c>
      <c r="B776" s="116">
        <v>190530</v>
      </c>
      <c r="C776" s="117" t="s">
        <v>2755</v>
      </c>
      <c r="D776" s="116">
        <v>1642</v>
      </c>
      <c r="E776" s="116">
        <v>2233</v>
      </c>
      <c r="F776" s="116" t="s">
        <v>2318</v>
      </c>
    </row>
    <row r="777" spans="1:6" ht="13.2">
      <c r="A777" s="116">
        <v>8100101</v>
      </c>
      <c r="B777" s="116">
        <v>21020</v>
      </c>
      <c r="C777" s="117" t="s">
        <v>2756</v>
      </c>
      <c r="D777" s="116">
        <v>1642</v>
      </c>
      <c r="E777" s="116">
        <v>2233</v>
      </c>
      <c r="F777" s="116" t="s">
        <v>2318</v>
      </c>
    </row>
    <row r="778" spans="1:6" ht="13.2">
      <c r="A778" s="116">
        <v>8100102</v>
      </c>
      <c r="B778" s="116">
        <v>21020</v>
      </c>
      <c r="C778" s="117" t="s">
        <v>2757</v>
      </c>
      <c r="D778" s="116">
        <v>1642</v>
      </c>
      <c r="E778" s="116">
        <v>2233</v>
      </c>
      <c r="F778" s="116" t="s">
        <v>2318</v>
      </c>
    </row>
    <row r="779" spans="1:6" ht="13.2">
      <c r="A779" s="116">
        <v>8100103</v>
      </c>
      <c r="B779" s="116">
        <v>21020</v>
      </c>
      <c r="C779" s="117" t="s">
        <v>2758</v>
      </c>
      <c r="D779" s="116">
        <v>26938</v>
      </c>
      <c r="E779" s="116">
        <v>25255</v>
      </c>
      <c r="F779" s="116" t="s">
        <v>2436</v>
      </c>
    </row>
    <row r="780" spans="1:6" ht="13.2">
      <c r="A780" s="116">
        <v>8100201</v>
      </c>
      <c r="B780" s="116">
        <v>21020</v>
      </c>
      <c r="C780" s="117" t="s">
        <v>2759</v>
      </c>
      <c r="D780" s="116">
        <v>26938</v>
      </c>
      <c r="E780" s="116">
        <v>25255</v>
      </c>
      <c r="F780" s="116" t="s">
        <v>2436</v>
      </c>
    </row>
    <row r="781" spans="1:6" ht="13.2">
      <c r="A781" s="116">
        <v>8100202</v>
      </c>
      <c r="B781" s="116">
        <v>21020</v>
      </c>
      <c r="C781" s="117" t="s">
        <v>2760</v>
      </c>
      <c r="D781" s="116">
        <v>26938</v>
      </c>
      <c r="E781" s="116">
        <v>25255</v>
      </c>
      <c r="F781" s="116" t="s">
        <v>2436</v>
      </c>
    </row>
    <row r="782" spans="1:6" ht="13.2">
      <c r="A782" s="116">
        <v>8100502</v>
      </c>
      <c r="B782" s="116">
        <v>160250</v>
      </c>
      <c r="C782" s="117" t="s">
        <v>2761</v>
      </c>
      <c r="D782" s="116">
        <v>26938</v>
      </c>
      <c r="E782" s="116">
        <v>25255</v>
      </c>
      <c r="F782" s="116" t="s">
        <v>2436</v>
      </c>
    </row>
    <row r="783" spans="1:6" ht="13.2">
      <c r="A783" s="116">
        <v>8100802</v>
      </c>
      <c r="B783" s="116">
        <v>21019</v>
      </c>
      <c r="C783" s="117" t="s">
        <v>2762</v>
      </c>
      <c r="D783" s="116">
        <v>26938</v>
      </c>
      <c r="E783" s="116">
        <v>25255</v>
      </c>
      <c r="F783" s="116" t="s">
        <v>2436</v>
      </c>
    </row>
    <row r="784" spans="1:6" ht="13.2">
      <c r="A784" s="116">
        <v>8101005</v>
      </c>
      <c r="B784" s="116">
        <v>21012</v>
      </c>
      <c r="C784" s="117" t="s">
        <v>1445</v>
      </c>
      <c r="D784" s="116">
        <v>14500</v>
      </c>
      <c r="E784" s="116">
        <v>12800</v>
      </c>
      <c r="F784" s="116" t="s">
        <v>2489</v>
      </c>
    </row>
    <row r="785" spans="1:6" ht="13.2">
      <c r="A785" s="116">
        <v>8101101</v>
      </c>
      <c r="B785" s="116">
        <v>160250</v>
      </c>
      <c r="C785" s="117" t="s">
        <v>2763</v>
      </c>
      <c r="D785" s="116">
        <v>7875</v>
      </c>
      <c r="E785" s="116">
        <v>7240</v>
      </c>
      <c r="F785" s="116" t="s">
        <v>2436</v>
      </c>
    </row>
    <row r="786" spans="1:6" ht="13.2">
      <c r="A786" s="116">
        <v>8102101</v>
      </c>
      <c r="B786" s="116">
        <v>160100</v>
      </c>
      <c r="C786" s="117" t="s">
        <v>2764</v>
      </c>
      <c r="D786" s="116">
        <v>10200</v>
      </c>
      <c r="E786" s="116">
        <v>7360</v>
      </c>
      <c r="F786" s="116" t="s">
        <v>2436</v>
      </c>
    </row>
    <row r="787" spans="1:6" ht="13.2">
      <c r="A787" s="116">
        <v>8102204</v>
      </c>
      <c r="B787" s="116">
        <v>160100</v>
      </c>
      <c r="C787" s="117" t="s">
        <v>2765</v>
      </c>
      <c r="D787" s="116">
        <v>14500</v>
      </c>
      <c r="E787" s="116">
        <v>12800</v>
      </c>
      <c r="F787" s="116" t="s">
        <v>2489</v>
      </c>
    </row>
    <row r="788" spans="1:6" ht="13.2">
      <c r="A788" s="116">
        <v>8102207</v>
      </c>
      <c r="B788" s="116">
        <v>160100</v>
      </c>
      <c r="C788" s="117" t="s">
        <v>2766</v>
      </c>
      <c r="D788" s="116">
        <v>3533</v>
      </c>
      <c r="E788" s="116">
        <v>12800</v>
      </c>
      <c r="F788" s="116" t="s">
        <v>2489</v>
      </c>
    </row>
    <row r="789" spans="1:6" ht="13.2">
      <c r="A789" s="116">
        <v>8102401</v>
      </c>
      <c r="B789" s="116">
        <v>160100</v>
      </c>
      <c r="C789" s="117" t="s">
        <v>2767</v>
      </c>
      <c r="D789" s="116">
        <v>17800</v>
      </c>
      <c r="E789" s="116">
        <v>15600</v>
      </c>
      <c r="F789" s="116" t="s">
        <v>2489</v>
      </c>
    </row>
    <row r="790" spans="1:6" ht="13.2">
      <c r="A790" s="116">
        <v>8102402</v>
      </c>
      <c r="B790" s="116">
        <v>160100</v>
      </c>
      <c r="C790" s="117" t="s">
        <v>2768</v>
      </c>
      <c r="D790" s="116">
        <v>14550</v>
      </c>
      <c r="E790" s="116">
        <v>12800</v>
      </c>
      <c r="F790" s="116" t="s">
        <v>2489</v>
      </c>
    </row>
    <row r="791" spans="1:6" ht="13.2">
      <c r="A791" s="116">
        <v>8102403</v>
      </c>
      <c r="B791" s="116">
        <v>160100</v>
      </c>
      <c r="C791" s="117" t="s">
        <v>2769</v>
      </c>
      <c r="D791" s="116">
        <v>14550</v>
      </c>
      <c r="E791" s="116">
        <v>12800</v>
      </c>
      <c r="F791" s="116" t="s">
        <v>2489</v>
      </c>
    </row>
    <row r="792" spans="1:6" ht="13.2">
      <c r="A792" s="116">
        <v>8102501</v>
      </c>
      <c r="B792" s="116">
        <v>160100</v>
      </c>
      <c r="C792" s="117" t="s">
        <v>2770</v>
      </c>
      <c r="D792" s="116">
        <v>14550</v>
      </c>
      <c r="E792" s="116">
        <v>12800</v>
      </c>
      <c r="F792" s="116" t="s">
        <v>2489</v>
      </c>
    </row>
    <row r="793" spans="1:6" ht="13.2">
      <c r="A793" s="116">
        <v>8102601</v>
      </c>
      <c r="B793" s="116">
        <v>160100</v>
      </c>
      <c r="C793" s="117" t="s">
        <v>2771</v>
      </c>
      <c r="D793" s="116">
        <v>14550</v>
      </c>
      <c r="E793" s="116">
        <v>12800</v>
      </c>
      <c r="F793" s="116" t="s">
        <v>2489</v>
      </c>
    </row>
    <row r="794" spans="1:6" ht="13.2">
      <c r="A794" s="116">
        <v>8102701</v>
      </c>
      <c r="B794" s="116">
        <v>160100</v>
      </c>
      <c r="C794" s="117" t="s">
        <v>2772</v>
      </c>
      <c r="D794" s="116">
        <v>14550</v>
      </c>
      <c r="E794" s="116">
        <v>12800</v>
      </c>
      <c r="F794" s="116" t="s">
        <v>2489</v>
      </c>
    </row>
    <row r="795" spans="1:6" ht="13.2">
      <c r="A795" s="116">
        <v>8102702</v>
      </c>
      <c r="B795" s="116">
        <v>160100</v>
      </c>
      <c r="C795" s="117" t="s">
        <v>2773</v>
      </c>
      <c r="D795" s="116">
        <v>14550</v>
      </c>
      <c r="E795" s="116">
        <v>12800</v>
      </c>
      <c r="F795" s="116" t="s">
        <v>2489</v>
      </c>
    </row>
    <row r="796" spans="1:6" ht="13.2">
      <c r="A796" s="116">
        <v>8102801</v>
      </c>
      <c r="B796" s="116">
        <v>160231</v>
      </c>
      <c r="C796" s="117" t="s">
        <v>2774</v>
      </c>
      <c r="D796" s="116">
        <v>14550</v>
      </c>
      <c r="E796" s="116">
        <v>12800</v>
      </c>
      <c r="F796" s="116" t="s">
        <v>2489</v>
      </c>
    </row>
    <row r="797" spans="1:6" ht="13.2">
      <c r="A797" s="116">
        <v>8102901</v>
      </c>
      <c r="B797" s="116">
        <v>21019</v>
      </c>
      <c r="C797" s="117" t="s">
        <v>672</v>
      </c>
      <c r="D797" s="116">
        <v>11300</v>
      </c>
      <c r="E797" s="116">
        <v>10000</v>
      </c>
      <c r="F797" s="116" t="s">
        <v>2489</v>
      </c>
    </row>
    <row r="798" spans="1:6" ht="13.2">
      <c r="A798" s="116">
        <v>8103001</v>
      </c>
      <c r="B798" s="116">
        <v>160232</v>
      </c>
      <c r="C798" s="117" t="s">
        <v>2775</v>
      </c>
      <c r="D798" s="116">
        <v>4225</v>
      </c>
      <c r="E798" s="116">
        <v>12800</v>
      </c>
      <c r="F798" s="116" t="s">
        <v>2489</v>
      </c>
    </row>
    <row r="799" spans="1:6" ht="13.2">
      <c r="A799" s="116">
        <v>8103101</v>
      </c>
      <c r="B799" s="116">
        <v>160250</v>
      </c>
      <c r="C799" s="117" t="s">
        <v>2776</v>
      </c>
      <c r="D799" s="116">
        <v>7875</v>
      </c>
      <c r="E799" s="116">
        <v>7240</v>
      </c>
      <c r="F799" s="116" t="s">
        <v>2436</v>
      </c>
    </row>
    <row r="800" spans="1:6" ht="13.2">
      <c r="A800" s="116">
        <v>8103601</v>
      </c>
      <c r="B800" s="116">
        <v>160249</v>
      </c>
      <c r="C800" s="117" t="s">
        <v>2777</v>
      </c>
      <c r="D800" s="116">
        <v>4225</v>
      </c>
      <c r="E800" s="116">
        <v>12800</v>
      </c>
      <c r="F800" s="116" t="s">
        <v>2489</v>
      </c>
    </row>
    <row r="801" spans="1:6" ht="13.2">
      <c r="A801" s="116">
        <v>8103901</v>
      </c>
      <c r="B801" s="116">
        <v>21019</v>
      </c>
      <c r="C801" s="117" t="s">
        <v>2778</v>
      </c>
      <c r="D801" s="116">
        <v>14500</v>
      </c>
      <c r="E801" s="116">
        <v>12800</v>
      </c>
      <c r="F801" s="116" t="s">
        <v>2489</v>
      </c>
    </row>
    <row r="802" spans="1:6" ht="13.2">
      <c r="A802" s="116">
        <v>8103902</v>
      </c>
      <c r="B802" s="116">
        <v>21019</v>
      </c>
      <c r="C802" s="117" t="s">
        <v>2779</v>
      </c>
      <c r="D802" s="116">
        <v>5300</v>
      </c>
      <c r="E802" s="116">
        <v>12800</v>
      </c>
      <c r="F802" s="116" t="s">
        <v>2489</v>
      </c>
    </row>
    <row r="803" spans="1:6" ht="13.2">
      <c r="A803" s="116">
        <v>8104001</v>
      </c>
      <c r="B803" s="116">
        <v>160220</v>
      </c>
      <c r="C803" s="117" t="s">
        <v>2780</v>
      </c>
      <c r="D803" s="116">
        <v>7875</v>
      </c>
      <c r="E803" s="116">
        <v>7240</v>
      </c>
      <c r="F803" s="116" t="s">
        <v>2436</v>
      </c>
    </row>
    <row r="804" spans="1:6" ht="13.2">
      <c r="A804" s="116">
        <v>8104101</v>
      </c>
      <c r="B804" s="116">
        <v>21019</v>
      </c>
      <c r="C804" s="117" t="s">
        <v>2781</v>
      </c>
      <c r="D804" s="116">
        <v>7875</v>
      </c>
      <c r="E804" s="116">
        <v>7240</v>
      </c>
      <c r="F804" s="116" t="s">
        <v>2436</v>
      </c>
    </row>
    <row r="805" spans="1:6" ht="13.2">
      <c r="A805" s="116">
        <v>8104601</v>
      </c>
      <c r="B805" s="116">
        <v>21020</v>
      </c>
      <c r="C805" s="117" t="s">
        <v>2782</v>
      </c>
      <c r="D805" s="116">
        <v>5300</v>
      </c>
      <c r="E805" s="116">
        <v>12800</v>
      </c>
      <c r="F805" s="116" t="s">
        <v>2489</v>
      </c>
    </row>
    <row r="806" spans="1:6" ht="13.2">
      <c r="A806" s="116">
        <v>8104904</v>
      </c>
      <c r="B806" s="116">
        <v>160230</v>
      </c>
      <c r="C806" s="117" t="s">
        <v>2783</v>
      </c>
      <c r="D806" s="116">
        <v>7875</v>
      </c>
      <c r="E806" s="116">
        <v>7240</v>
      </c>
      <c r="F806" s="116" t="s">
        <v>2436</v>
      </c>
    </row>
    <row r="807" spans="1:6" ht="13.2">
      <c r="A807" s="116">
        <v>8105001</v>
      </c>
      <c r="B807" s="116">
        <v>160100</v>
      </c>
      <c r="C807" s="117" t="s">
        <v>2784</v>
      </c>
      <c r="D807" s="116">
        <v>26938</v>
      </c>
      <c r="E807" s="116">
        <v>25255</v>
      </c>
      <c r="F807" s="116" t="s">
        <v>2436</v>
      </c>
    </row>
    <row r="808" spans="1:6" ht="13.2">
      <c r="A808" s="116">
        <v>8105201</v>
      </c>
      <c r="B808" s="116">
        <v>160100</v>
      </c>
      <c r="C808" s="117" t="s">
        <v>2785</v>
      </c>
      <c r="D808" s="116">
        <v>4225</v>
      </c>
      <c r="E808" s="116">
        <v>12800</v>
      </c>
      <c r="F808" s="116" t="s">
        <v>2489</v>
      </c>
    </row>
    <row r="809" spans="1:6" ht="13.2">
      <c r="A809" s="116">
        <v>8105401</v>
      </c>
      <c r="B809" s="116">
        <v>160100</v>
      </c>
      <c r="C809" s="117" t="s">
        <v>2786</v>
      </c>
      <c r="D809" s="116">
        <v>3533</v>
      </c>
      <c r="E809" s="116">
        <v>12800</v>
      </c>
      <c r="F809" s="116" t="s">
        <v>2489</v>
      </c>
    </row>
    <row r="810" spans="1:6" ht="13.2">
      <c r="A810" s="116">
        <v>8105501</v>
      </c>
      <c r="B810" s="116">
        <v>160231</v>
      </c>
      <c r="C810" s="117" t="s">
        <v>2787</v>
      </c>
      <c r="D810" s="116">
        <v>3533</v>
      </c>
      <c r="E810" s="116">
        <v>12800</v>
      </c>
      <c r="F810" s="116" t="s">
        <v>2489</v>
      </c>
    </row>
    <row r="811" spans="1:6" ht="13.2">
      <c r="A811" s="116">
        <v>8105701</v>
      </c>
      <c r="B811" s="116">
        <v>160250</v>
      </c>
      <c r="C811" s="117" t="s">
        <v>2788</v>
      </c>
      <c r="D811" s="116">
        <v>3533</v>
      </c>
      <c r="E811" s="116">
        <v>12800</v>
      </c>
      <c r="F811" s="116" t="s">
        <v>2489</v>
      </c>
    </row>
    <row r="812" spans="1:6" ht="13.2">
      <c r="A812" s="116">
        <v>8200101</v>
      </c>
      <c r="B812" s="116">
        <v>220210</v>
      </c>
      <c r="C812" s="117" t="s">
        <v>2789</v>
      </c>
      <c r="D812" s="116">
        <v>4225</v>
      </c>
      <c r="E812" s="116">
        <v>12800</v>
      </c>
      <c r="F812" s="116" t="s">
        <v>2489</v>
      </c>
    </row>
    <row r="813" spans="1:6" ht="13.2">
      <c r="A813" s="116">
        <v>8200102</v>
      </c>
      <c r="B813" s="116">
        <v>220210</v>
      </c>
      <c r="C813" s="117" t="s">
        <v>2790</v>
      </c>
      <c r="D813" s="116">
        <v>14500</v>
      </c>
      <c r="E813" s="116">
        <v>12800</v>
      </c>
      <c r="F813" s="116" t="s">
        <v>2489</v>
      </c>
    </row>
    <row r="814" spans="1:6" ht="13.2">
      <c r="A814" s="116">
        <v>8200202</v>
      </c>
      <c r="B814" s="116">
        <v>220210</v>
      </c>
      <c r="C814" s="117" t="s">
        <v>2791</v>
      </c>
      <c r="D814" s="116">
        <v>688</v>
      </c>
      <c r="E814" s="116">
        <v>450</v>
      </c>
      <c r="F814" s="116" t="s">
        <v>2792</v>
      </c>
    </row>
    <row r="815" spans="1:6" ht="13.2">
      <c r="A815" s="116">
        <v>8200208</v>
      </c>
      <c r="B815" s="116">
        <v>220210</v>
      </c>
      <c r="C815" s="117" t="s">
        <v>2793</v>
      </c>
      <c r="D815" s="116">
        <v>375</v>
      </c>
      <c r="E815" s="116">
        <v>450</v>
      </c>
      <c r="F815" s="116" t="s">
        <v>2792</v>
      </c>
    </row>
    <row r="816" spans="1:6" ht="13.2">
      <c r="A816" s="116">
        <v>8200301</v>
      </c>
      <c r="B816" s="116">
        <v>220210</v>
      </c>
      <c r="C816" s="117" t="s">
        <v>2794</v>
      </c>
      <c r="D816" s="116">
        <v>451</v>
      </c>
      <c r="E816" s="116">
        <v>450</v>
      </c>
      <c r="F816" s="116" t="s">
        <v>2792</v>
      </c>
    </row>
    <row r="817" spans="1:6" ht="13.2">
      <c r="A817" s="116">
        <v>8200302</v>
      </c>
      <c r="B817" s="116">
        <v>220210</v>
      </c>
      <c r="C817" s="117" t="s">
        <v>2795</v>
      </c>
      <c r="D817" s="116">
        <v>451</v>
      </c>
      <c r="E817" s="116">
        <v>450</v>
      </c>
      <c r="F817" s="116" t="s">
        <v>2792</v>
      </c>
    </row>
    <row r="818" spans="1:6" ht="13.2">
      <c r="A818" s="116">
        <v>8200407</v>
      </c>
      <c r="B818" s="116">
        <v>220210</v>
      </c>
      <c r="C818" s="117" t="s">
        <v>2796</v>
      </c>
      <c r="D818" s="116">
        <v>451</v>
      </c>
      <c r="E818" s="116">
        <v>450</v>
      </c>
      <c r="F818" s="116" t="s">
        <v>2792</v>
      </c>
    </row>
    <row r="819" spans="1:6" ht="13.2">
      <c r="A819" s="116">
        <v>8200505</v>
      </c>
      <c r="B819" s="116">
        <v>220210</v>
      </c>
      <c r="C819" s="117" t="s">
        <v>2797</v>
      </c>
      <c r="D819" s="116">
        <v>451</v>
      </c>
      <c r="E819" s="116">
        <v>450</v>
      </c>
      <c r="F819" s="116" t="s">
        <v>2792</v>
      </c>
    </row>
    <row r="820" spans="1:6" ht="13.2">
      <c r="A820" s="116">
        <v>8200701</v>
      </c>
      <c r="B820" s="116">
        <v>220210</v>
      </c>
      <c r="C820" s="117" t="s">
        <v>2798</v>
      </c>
      <c r="D820" s="116">
        <v>327</v>
      </c>
      <c r="E820" s="116">
        <v>450</v>
      </c>
      <c r="F820" s="116" t="s">
        <v>2792</v>
      </c>
    </row>
    <row r="821" spans="1:6" ht="13.2">
      <c r="A821" s="116">
        <v>8200702</v>
      </c>
      <c r="B821" s="116">
        <v>220210</v>
      </c>
      <c r="C821" s="117" t="s">
        <v>2799</v>
      </c>
      <c r="D821" s="116">
        <v>451</v>
      </c>
      <c r="E821" s="116">
        <v>450</v>
      </c>
      <c r="F821" s="116" t="s">
        <v>2792</v>
      </c>
    </row>
    <row r="822" spans="1:6" ht="13.2">
      <c r="A822" s="116">
        <v>8200801</v>
      </c>
      <c r="B822" s="116">
        <v>220210</v>
      </c>
      <c r="C822" s="117" t="s">
        <v>2800</v>
      </c>
      <c r="D822" s="116">
        <v>274</v>
      </c>
      <c r="E822" s="116">
        <v>450</v>
      </c>
      <c r="F822" s="116" t="s">
        <v>2792</v>
      </c>
    </row>
    <row r="823" spans="1:6" ht="13.2">
      <c r="A823" s="116">
        <v>8200902</v>
      </c>
      <c r="B823" s="116">
        <v>220210</v>
      </c>
      <c r="C823" s="117" t="s">
        <v>2801</v>
      </c>
      <c r="D823" s="116">
        <v>274</v>
      </c>
      <c r="E823" s="116">
        <v>450</v>
      </c>
      <c r="F823" s="116" t="s">
        <v>2792</v>
      </c>
    </row>
    <row r="824" spans="1:6" ht="13.2">
      <c r="A824" s="116">
        <v>8201104</v>
      </c>
      <c r="B824" s="116">
        <v>90210</v>
      </c>
      <c r="C824" s="117" t="s">
        <v>2802</v>
      </c>
      <c r="D824" s="116">
        <v>274</v>
      </c>
      <c r="E824" s="116">
        <v>450</v>
      </c>
      <c r="F824" s="116" t="s">
        <v>2792</v>
      </c>
    </row>
    <row r="825" spans="1:6" ht="13.2">
      <c r="A825" s="116">
        <v>8201202</v>
      </c>
      <c r="B825" s="116">
        <v>220210</v>
      </c>
      <c r="C825" s="117" t="s">
        <v>2803</v>
      </c>
      <c r="D825" s="116">
        <v>451</v>
      </c>
      <c r="E825" s="116">
        <v>450</v>
      </c>
      <c r="F825" s="116" t="s">
        <v>2792</v>
      </c>
    </row>
    <row r="826" spans="1:6" ht="13.2">
      <c r="A826" s="116">
        <v>8201502</v>
      </c>
      <c r="B826" s="116">
        <v>220210</v>
      </c>
      <c r="C826" s="117" t="s">
        <v>2804</v>
      </c>
      <c r="D826" s="116">
        <v>330</v>
      </c>
      <c r="E826" s="116">
        <v>7404</v>
      </c>
      <c r="F826" s="116" t="s">
        <v>2805</v>
      </c>
    </row>
    <row r="827" spans="1:6" ht="13.2">
      <c r="A827" s="116">
        <v>8201601</v>
      </c>
      <c r="B827" s="116">
        <v>220210</v>
      </c>
      <c r="C827" s="117" t="s">
        <v>2806</v>
      </c>
      <c r="D827" s="116">
        <v>451</v>
      </c>
      <c r="E827" s="116">
        <v>450</v>
      </c>
      <c r="F827" s="116" t="s">
        <v>2792</v>
      </c>
    </row>
    <row r="828" spans="1:6" ht="13.2">
      <c r="A828" s="116">
        <v>8201602</v>
      </c>
      <c r="B828" s="116">
        <v>220210</v>
      </c>
      <c r="C828" s="117" t="s">
        <v>2807</v>
      </c>
      <c r="D828" s="116">
        <v>451</v>
      </c>
      <c r="E828" s="116">
        <v>450</v>
      </c>
      <c r="F828" s="116" t="s">
        <v>2792</v>
      </c>
    </row>
    <row r="829" spans="1:6" ht="13.2">
      <c r="A829" s="116">
        <v>8201802</v>
      </c>
      <c r="B829" s="116">
        <v>220210</v>
      </c>
      <c r="C829" s="117" t="s">
        <v>2808</v>
      </c>
      <c r="D829" s="116">
        <v>451</v>
      </c>
      <c r="E829" s="116">
        <v>450</v>
      </c>
      <c r="F829" s="116" t="s">
        <v>2792</v>
      </c>
    </row>
    <row r="830" spans="1:6" ht="13.2">
      <c r="A830" s="116">
        <v>8201902</v>
      </c>
      <c r="B830" s="116">
        <v>220210</v>
      </c>
      <c r="C830" s="117" t="s">
        <v>2809</v>
      </c>
      <c r="D830" s="116">
        <v>451</v>
      </c>
      <c r="E830" s="116">
        <v>450</v>
      </c>
      <c r="F830" s="116" t="s">
        <v>2792</v>
      </c>
    </row>
    <row r="831" spans="1:6" ht="13.2">
      <c r="A831" s="116">
        <v>8202001</v>
      </c>
      <c r="B831" s="116">
        <v>200990</v>
      </c>
      <c r="C831" s="117" t="s">
        <v>2810</v>
      </c>
      <c r="D831" s="116">
        <v>451</v>
      </c>
      <c r="E831" s="116">
        <v>450</v>
      </c>
      <c r="F831" s="116" t="s">
        <v>2792</v>
      </c>
    </row>
    <row r="832" spans="1:6" ht="13.2">
      <c r="A832" s="116">
        <v>8202002</v>
      </c>
      <c r="B832" s="116">
        <v>200990</v>
      </c>
      <c r="C832" s="117" t="s">
        <v>2811</v>
      </c>
      <c r="D832" s="116">
        <v>451</v>
      </c>
      <c r="E832" s="116">
        <v>450</v>
      </c>
      <c r="F832" s="116" t="s">
        <v>2792</v>
      </c>
    </row>
    <row r="833" spans="1:6" ht="13.2">
      <c r="A833" s="116">
        <v>8202101</v>
      </c>
      <c r="B833" s="116">
        <v>200989</v>
      </c>
      <c r="C833" s="117" t="s">
        <v>2812</v>
      </c>
      <c r="D833" s="116">
        <v>943</v>
      </c>
      <c r="E833" s="116">
        <v>681</v>
      </c>
      <c r="F833" s="116" t="s">
        <v>2373</v>
      </c>
    </row>
    <row r="834" spans="1:6" ht="13.2">
      <c r="A834" s="116">
        <v>8202402</v>
      </c>
      <c r="B834" s="116">
        <v>220290</v>
      </c>
      <c r="C834" s="117" t="s">
        <v>2813</v>
      </c>
      <c r="D834" s="116">
        <v>943</v>
      </c>
      <c r="E834" s="116">
        <v>681</v>
      </c>
      <c r="F834" s="116" t="s">
        <v>2373</v>
      </c>
    </row>
    <row r="835" spans="1:6" ht="13.2">
      <c r="A835" s="116">
        <v>8202403</v>
      </c>
      <c r="B835" s="116">
        <v>220290</v>
      </c>
      <c r="C835" s="117" t="s">
        <v>2814</v>
      </c>
      <c r="D835" s="116">
        <v>943</v>
      </c>
      <c r="E835" s="116">
        <v>2072</v>
      </c>
      <c r="F835" s="116" t="s">
        <v>2373</v>
      </c>
    </row>
    <row r="836" spans="1:6" ht="13.2">
      <c r="A836" s="116">
        <v>8202602</v>
      </c>
      <c r="B836" s="116">
        <v>210111</v>
      </c>
      <c r="C836" s="117" t="s">
        <v>2815</v>
      </c>
      <c r="D836" s="116">
        <v>478</v>
      </c>
      <c r="E836" s="116">
        <v>1519</v>
      </c>
      <c r="F836" s="116" t="s">
        <v>2079</v>
      </c>
    </row>
    <row r="837" spans="1:6" ht="13.2">
      <c r="A837" s="116">
        <v>8202803</v>
      </c>
      <c r="B837" s="116">
        <v>90210</v>
      </c>
      <c r="C837" s="117" t="s">
        <v>2816</v>
      </c>
      <c r="D837" s="116">
        <v>478</v>
      </c>
      <c r="E837" s="116">
        <v>1519</v>
      </c>
      <c r="F837" s="116" t="s">
        <v>2079</v>
      </c>
    </row>
    <row r="838" spans="1:6" ht="13.2">
      <c r="A838" s="116">
        <v>8202804</v>
      </c>
      <c r="B838" s="116">
        <v>90210</v>
      </c>
      <c r="C838" s="117" t="s">
        <v>2817</v>
      </c>
      <c r="D838" s="116">
        <v>935</v>
      </c>
      <c r="E838" s="116">
        <v>6115</v>
      </c>
      <c r="F838" s="116" t="s">
        <v>2253</v>
      </c>
    </row>
    <row r="839" spans="1:6" ht="13.2">
      <c r="A839" s="116">
        <v>8202805</v>
      </c>
      <c r="B839" s="116">
        <v>90210</v>
      </c>
      <c r="C839" s="117" t="s">
        <v>2818</v>
      </c>
      <c r="D839" s="116">
        <v>330</v>
      </c>
      <c r="E839" s="116">
        <v>7404</v>
      </c>
      <c r="F839" s="116" t="s">
        <v>2805</v>
      </c>
    </row>
    <row r="840" spans="1:6" ht="13.2">
      <c r="A840" s="116">
        <v>8203401</v>
      </c>
      <c r="B840" s="116">
        <v>90210</v>
      </c>
      <c r="C840" s="117" t="s">
        <v>2819</v>
      </c>
      <c r="D840" s="116">
        <v>330</v>
      </c>
      <c r="E840" s="116">
        <v>7404</v>
      </c>
      <c r="F840" s="116" t="s">
        <v>2805</v>
      </c>
    </row>
    <row r="841" spans="1:6" ht="13.2">
      <c r="A841" s="116">
        <v>8203501</v>
      </c>
      <c r="B841" s="116">
        <v>220210</v>
      </c>
      <c r="C841" s="117" t="s">
        <v>2820</v>
      </c>
      <c r="D841" s="116">
        <v>330</v>
      </c>
      <c r="E841" s="116">
        <v>7404</v>
      </c>
      <c r="F841" s="116" t="s">
        <v>2805</v>
      </c>
    </row>
    <row r="842" spans="1:6" ht="13.2">
      <c r="A842" s="116">
        <v>8203603</v>
      </c>
      <c r="B842" s="116">
        <v>100390</v>
      </c>
      <c r="C842" s="117" t="s">
        <v>2821</v>
      </c>
      <c r="D842" s="116">
        <v>330</v>
      </c>
      <c r="E842" s="116">
        <v>7404</v>
      </c>
      <c r="F842" s="116" t="s">
        <v>2805</v>
      </c>
    </row>
    <row r="843" spans="1:6" ht="13.2">
      <c r="A843" s="116">
        <v>8204503</v>
      </c>
      <c r="B843" s="116">
        <v>220290</v>
      </c>
      <c r="C843" s="117" t="s">
        <v>2822</v>
      </c>
      <c r="D843" s="116">
        <v>900</v>
      </c>
      <c r="E843" s="116">
        <v>450</v>
      </c>
      <c r="F843" s="116" t="s">
        <v>2792</v>
      </c>
    </row>
    <row r="844" spans="1:6" ht="13.2">
      <c r="A844" s="116">
        <v>8204902</v>
      </c>
      <c r="B844" s="116">
        <v>220210</v>
      </c>
      <c r="C844" s="117" t="s">
        <v>2823</v>
      </c>
      <c r="D844" s="116">
        <v>462</v>
      </c>
      <c r="E844" s="116">
        <v>1270</v>
      </c>
      <c r="F844" s="116" t="s">
        <v>2824</v>
      </c>
    </row>
    <row r="845" spans="1:6" ht="13.2">
      <c r="A845" s="116">
        <v>8205201</v>
      </c>
      <c r="B845" s="116">
        <v>90210</v>
      </c>
      <c r="C845" s="117" t="s">
        <v>2825</v>
      </c>
      <c r="D845" s="116">
        <v>794</v>
      </c>
      <c r="E845" s="116">
        <v>1519</v>
      </c>
      <c r="F845" s="116" t="s">
        <v>2079</v>
      </c>
    </row>
    <row r="846" spans="1:6" ht="13.2">
      <c r="A846" s="116">
        <v>8205402</v>
      </c>
      <c r="B846" s="116">
        <v>220210</v>
      </c>
      <c r="C846" s="117" t="s">
        <v>2826</v>
      </c>
      <c r="D846" s="116">
        <v>451</v>
      </c>
      <c r="E846" s="116">
        <v>450</v>
      </c>
      <c r="F846" s="116" t="s">
        <v>2792</v>
      </c>
    </row>
    <row r="847" spans="1:6" ht="13.2">
      <c r="A847" s="116">
        <v>8205803</v>
      </c>
      <c r="B847" s="116">
        <v>220290</v>
      </c>
      <c r="C847" s="117" t="s">
        <v>2827</v>
      </c>
      <c r="D847" s="116">
        <v>330</v>
      </c>
      <c r="E847" s="116">
        <v>7404</v>
      </c>
      <c r="F847" s="116" t="s">
        <v>2805</v>
      </c>
    </row>
    <row r="848" spans="1:6" ht="13.2">
      <c r="A848" s="116">
        <v>8205901</v>
      </c>
      <c r="B848" s="116">
        <v>220290</v>
      </c>
      <c r="C848" s="117" t="s">
        <v>2828</v>
      </c>
      <c r="D848" s="116">
        <v>451</v>
      </c>
      <c r="E848" s="116">
        <v>450</v>
      </c>
      <c r="F848" s="116" t="s">
        <v>2792</v>
      </c>
    </row>
    <row r="849" spans="1:6" ht="13.2">
      <c r="A849" s="116">
        <v>8206301</v>
      </c>
      <c r="B849" s="116">
        <v>90210</v>
      </c>
      <c r="C849" s="117" t="s">
        <v>2829</v>
      </c>
      <c r="D849" s="116">
        <v>478</v>
      </c>
      <c r="E849" s="116">
        <v>1519</v>
      </c>
      <c r="F849" s="116" t="s">
        <v>2079</v>
      </c>
    </row>
    <row r="850" spans="1:6" ht="13.2">
      <c r="A850" s="116">
        <v>8206402</v>
      </c>
      <c r="B850" s="116">
        <v>210111</v>
      </c>
      <c r="C850" s="117" t="s">
        <v>2830</v>
      </c>
      <c r="D850" s="116">
        <v>478</v>
      </c>
      <c r="E850" s="116">
        <v>1519</v>
      </c>
      <c r="F850" s="116" t="s">
        <v>2079</v>
      </c>
    </row>
    <row r="851" spans="1:6" ht="13.2">
      <c r="A851" s="116">
        <v>8207401</v>
      </c>
      <c r="B851" s="116">
        <v>220210</v>
      </c>
      <c r="C851" s="117" t="s">
        <v>2831</v>
      </c>
      <c r="D851" s="116">
        <v>330</v>
      </c>
      <c r="E851" s="116">
        <v>7404</v>
      </c>
      <c r="F851" s="116" t="s">
        <v>2805</v>
      </c>
    </row>
    <row r="852" spans="1:6" ht="13.2">
      <c r="A852" s="116">
        <v>8207402</v>
      </c>
      <c r="B852" s="116">
        <v>220210</v>
      </c>
      <c r="C852" s="117" t="s">
        <v>2832</v>
      </c>
      <c r="D852" s="116">
        <v>935</v>
      </c>
      <c r="E852" s="116">
        <v>6115</v>
      </c>
      <c r="F852" s="116" t="s">
        <v>2253</v>
      </c>
    </row>
    <row r="853" spans="1:6" ht="13.2">
      <c r="A853" s="116">
        <v>8207601</v>
      </c>
      <c r="B853" s="116">
        <v>220210</v>
      </c>
      <c r="C853" s="117" t="s">
        <v>2833</v>
      </c>
      <c r="D853" s="116">
        <v>451</v>
      </c>
      <c r="E853" s="116">
        <v>450</v>
      </c>
      <c r="F853" s="116" t="s">
        <v>2792</v>
      </c>
    </row>
    <row r="854" spans="1:6" ht="13.2">
      <c r="A854" s="116">
        <v>8207705</v>
      </c>
      <c r="B854" s="116">
        <v>220210</v>
      </c>
      <c r="C854" s="117" t="s">
        <v>2834</v>
      </c>
      <c r="D854" s="116">
        <v>451</v>
      </c>
      <c r="E854" s="116">
        <v>450</v>
      </c>
      <c r="F854" s="116" t="s">
        <v>2792</v>
      </c>
    </row>
    <row r="855" spans="1:6" ht="13.2">
      <c r="A855" s="116">
        <v>82080</v>
      </c>
      <c r="B855" s="116">
        <v>220210</v>
      </c>
      <c r="C855" s="117" t="s">
        <v>653</v>
      </c>
      <c r="D855" s="116">
        <v>260</v>
      </c>
      <c r="E855" s="116">
        <v>450</v>
      </c>
      <c r="F855" s="116" t="s">
        <v>2792</v>
      </c>
    </row>
    <row r="856" spans="1:6" ht="13.2">
      <c r="A856" s="116">
        <v>8208104</v>
      </c>
      <c r="B856" s="116">
        <v>220210</v>
      </c>
      <c r="C856" s="117" t="s">
        <v>2835</v>
      </c>
      <c r="D856" s="116">
        <v>451</v>
      </c>
      <c r="E856" s="116">
        <v>450</v>
      </c>
      <c r="F856" s="116" t="s">
        <v>2792</v>
      </c>
    </row>
    <row r="857" spans="1:6" ht="13.2">
      <c r="A857" s="116">
        <v>8209002</v>
      </c>
      <c r="B857" s="116">
        <v>220210</v>
      </c>
      <c r="C857" s="117" t="s">
        <v>2836</v>
      </c>
      <c r="D857" s="116">
        <v>451</v>
      </c>
      <c r="E857" s="116">
        <v>450</v>
      </c>
      <c r="F857" s="116" t="s">
        <v>2792</v>
      </c>
    </row>
    <row r="858" spans="1:6" ht="13.2">
      <c r="A858" s="116">
        <v>8209102</v>
      </c>
      <c r="B858" s="116">
        <v>220210</v>
      </c>
      <c r="C858" s="117" t="s">
        <v>2837</v>
      </c>
      <c r="D858" s="116">
        <v>451</v>
      </c>
      <c r="E858" s="116">
        <v>450</v>
      </c>
      <c r="F858" s="116" t="s">
        <v>2792</v>
      </c>
    </row>
    <row r="859" spans="1:6" ht="13.2">
      <c r="A859" s="116">
        <v>8211002</v>
      </c>
      <c r="B859" s="116">
        <v>220290</v>
      </c>
      <c r="C859" s="117" t="s">
        <v>2838</v>
      </c>
      <c r="D859" s="116">
        <v>451</v>
      </c>
      <c r="E859" s="116">
        <v>450</v>
      </c>
      <c r="F859" s="116" t="s">
        <v>2792</v>
      </c>
    </row>
    <row r="860" spans="1:6" ht="13.2">
      <c r="A860" s="116">
        <v>8211003</v>
      </c>
      <c r="B860" s="116">
        <v>220290</v>
      </c>
      <c r="C860" s="117" t="s">
        <v>2839</v>
      </c>
      <c r="D860" s="116">
        <v>451</v>
      </c>
      <c r="E860" s="116">
        <v>450</v>
      </c>
      <c r="F860" s="116" t="s">
        <v>2792</v>
      </c>
    </row>
    <row r="861" spans="1:6" ht="13.2">
      <c r="A861" s="116">
        <v>8211102</v>
      </c>
      <c r="B861" s="116">
        <v>220290</v>
      </c>
      <c r="C861" s="117" t="s">
        <v>2840</v>
      </c>
      <c r="D861" s="116">
        <v>478</v>
      </c>
      <c r="E861" s="116">
        <v>1519</v>
      </c>
      <c r="F861" s="116" t="s">
        <v>2079</v>
      </c>
    </row>
    <row r="862" spans="1:6" ht="13.2">
      <c r="A862" s="116">
        <v>8212401</v>
      </c>
      <c r="B862" s="116">
        <v>210111</v>
      </c>
      <c r="C862" s="117" t="s">
        <v>2841</v>
      </c>
      <c r="D862" s="116">
        <v>478</v>
      </c>
      <c r="E862" s="116">
        <v>1519</v>
      </c>
      <c r="F862" s="116" t="s">
        <v>2079</v>
      </c>
    </row>
    <row r="863" spans="1:6" ht="13.2">
      <c r="A863" s="116">
        <v>8212501</v>
      </c>
      <c r="B863" s="116">
        <v>210111</v>
      </c>
      <c r="C863" s="117" t="s">
        <v>2842</v>
      </c>
      <c r="D863" s="116">
        <v>478</v>
      </c>
      <c r="E863" s="116">
        <v>1519</v>
      </c>
      <c r="F863" s="116" t="s">
        <v>2079</v>
      </c>
    </row>
    <row r="864" spans="1:6" ht="13.2">
      <c r="A864" s="116">
        <v>8212902</v>
      </c>
      <c r="B864" s="116">
        <v>220210</v>
      </c>
      <c r="C864" s="117" t="s">
        <v>2843</v>
      </c>
      <c r="D864" s="116">
        <v>935</v>
      </c>
      <c r="E864" s="116">
        <v>6115</v>
      </c>
      <c r="F864" s="116" t="s">
        <v>2253</v>
      </c>
    </row>
    <row r="865" spans="1:6" ht="13.2">
      <c r="A865" s="116">
        <v>8212906</v>
      </c>
      <c r="B865" s="116">
        <v>220210</v>
      </c>
      <c r="C865" s="117" t="s">
        <v>2844</v>
      </c>
      <c r="D865" s="116">
        <v>935</v>
      </c>
      <c r="E865" s="116">
        <v>6115</v>
      </c>
      <c r="F865" s="116" t="s">
        <v>2253</v>
      </c>
    </row>
    <row r="866" spans="1:6" ht="13.2">
      <c r="A866" s="116">
        <v>8213003</v>
      </c>
      <c r="B866" s="116">
        <v>90210</v>
      </c>
      <c r="C866" s="117" t="s">
        <v>2845</v>
      </c>
      <c r="D866" s="116">
        <v>451</v>
      </c>
      <c r="E866" s="116">
        <v>450</v>
      </c>
      <c r="F866" s="116" t="s">
        <v>2792</v>
      </c>
    </row>
    <row r="867" spans="1:6" ht="13.2">
      <c r="A867" s="116">
        <v>8213004</v>
      </c>
      <c r="B867" s="116">
        <v>90210</v>
      </c>
      <c r="C867" s="117" t="s">
        <v>2846</v>
      </c>
      <c r="D867" s="116">
        <v>451</v>
      </c>
      <c r="E867" s="116">
        <v>450</v>
      </c>
      <c r="F867" s="116" t="s">
        <v>2792</v>
      </c>
    </row>
    <row r="868" spans="1:6" ht="13.2">
      <c r="A868" s="116">
        <v>8213601</v>
      </c>
      <c r="B868" s="116">
        <v>200990</v>
      </c>
      <c r="C868" s="117" t="s">
        <v>2847</v>
      </c>
      <c r="D868" s="116">
        <v>330</v>
      </c>
      <c r="E868" s="116">
        <v>7404</v>
      </c>
      <c r="F868" s="116" t="s">
        <v>2805</v>
      </c>
    </row>
    <row r="869" spans="1:6" ht="13.2">
      <c r="A869" s="116">
        <v>8300101</v>
      </c>
      <c r="B869" s="116">
        <v>220300</v>
      </c>
      <c r="C869" s="117" t="s">
        <v>2848</v>
      </c>
      <c r="D869" s="116">
        <v>330</v>
      </c>
      <c r="E869" s="116">
        <v>7404</v>
      </c>
      <c r="F869" s="116" t="s">
        <v>2805</v>
      </c>
    </row>
    <row r="870" spans="1:6" ht="13.2">
      <c r="A870" s="116">
        <v>8300201</v>
      </c>
      <c r="B870" s="116">
        <v>220300</v>
      </c>
      <c r="C870" s="117" t="s">
        <v>2849</v>
      </c>
      <c r="D870" s="116">
        <v>943</v>
      </c>
      <c r="E870" s="116">
        <v>681</v>
      </c>
      <c r="F870" s="116" t="s">
        <v>2373</v>
      </c>
    </row>
    <row r="871" spans="1:6" ht="13.2">
      <c r="A871" s="116">
        <v>8300301</v>
      </c>
      <c r="B871" s="116">
        <v>220840</v>
      </c>
      <c r="C871" s="117" t="s">
        <v>2850</v>
      </c>
      <c r="D871" s="116">
        <v>1245</v>
      </c>
      <c r="E871" s="116">
        <v>453</v>
      </c>
      <c r="F871" s="116" t="s">
        <v>2851</v>
      </c>
    </row>
    <row r="872" spans="1:6" ht="13.2">
      <c r="A872" s="116">
        <v>8300302</v>
      </c>
      <c r="B872" s="116">
        <v>220840</v>
      </c>
      <c r="C872" s="117" t="s">
        <v>2852</v>
      </c>
      <c r="D872" s="116">
        <v>1245</v>
      </c>
      <c r="E872" s="116">
        <v>453</v>
      </c>
      <c r="F872" s="116" t="s">
        <v>2851</v>
      </c>
    </row>
    <row r="873" spans="1:6" ht="13.2">
      <c r="A873" s="116">
        <v>8300501</v>
      </c>
      <c r="B873" s="116">
        <v>220840</v>
      </c>
      <c r="C873" s="117" t="s">
        <v>2853</v>
      </c>
      <c r="D873" s="116">
        <v>5295</v>
      </c>
      <c r="E873" s="116">
        <v>503</v>
      </c>
      <c r="F873" s="116" t="s">
        <v>2854</v>
      </c>
    </row>
    <row r="874" spans="1:6" ht="13.2">
      <c r="A874" s="116">
        <v>8300701</v>
      </c>
      <c r="B874" s="116">
        <v>220840</v>
      </c>
      <c r="C874" s="117" t="s">
        <v>2855</v>
      </c>
      <c r="D874" s="116">
        <v>5295</v>
      </c>
      <c r="E874" s="116">
        <v>503</v>
      </c>
      <c r="F874" s="116" t="s">
        <v>2854</v>
      </c>
    </row>
    <row r="875" spans="1:6" ht="13.2">
      <c r="A875" s="116">
        <v>8300801</v>
      </c>
      <c r="B875" s="116">
        <v>220840</v>
      </c>
      <c r="C875" s="117" t="s">
        <v>2856</v>
      </c>
      <c r="D875" s="116">
        <v>5295</v>
      </c>
      <c r="E875" s="116">
        <v>503</v>
      </c>
      <c r="F875" s="116" t="s">
        <v>2854</v>
      </c>
    </row>
    <row r="876" spans="1:6" ht="13.2">
      <c r="A876" s="116">
        <v>8301001</v>
      </c>
      <c r="B876" s="116">
        <v>220830</v>
      </c>
      <c r="C876" s="117" t="s">
        <v>2857</v>
      </c>
      <c r="D876" s="116">
        <v>5295</v>
      </c>
      <c r="E876" s="116">
        <v>503</v>
      </c>
      <c r="F876" s="116" t="s">
        <v>2854</v>
      </c>
    </row>
    <row r="877" spans="1:6" ht="13.2">
      <c r="A877" s="116">
        <v>8301002</v>
      </c>
      <c r="B877" s="116">
        <v>220830</v>
      </c>
      <c r="C877" s="117" t="s">
        <v>2857</v>
      </c>
      <c r="D877" s="116">
        <v>5295</v>
      </c>
      <c r="E877" s="116">
        <v>503</v>
      </c>
      <c r="F877" s="116" t="s">
        <v>2854</v>
      </c>
    </row>
    <row r="878" spans="1:6" ht="13.2">
      <c r="A878" s="116">
        <v>8301201</v>
      </c>
      <c r="B878" s="116">
        <v>220410</v>
      </c>
      <c r="C878" s="117" t="s">
        <v>2858</v>
      </c>
      <c r="D878" s="116">
        <v>3000</v>
      </c>
      <c r="E878" s="116">
        <v>503</v>
      </c>
      <c r="F878" s="116" t="s">
        <v>2854</v>
      </c>
    </row>
    <row r="879" spans="1:6" ht="13.2">
      <c r="A879" s="116">
        <v>8301202</v>
      </c>
      <c r="B879" s="116">
        <v>220600</v>
      </c>
      <c r="C879" s="117" t="s">
        <v>2859</v>
      </c>
      <c r="D879" s="116">
        <v>3000</v>
      </c>
      <c r="E879" s="116">
        <v>503</v>
      </c>
      <c r="F879" s="116" t="s">
        <v>2854</v>
      </c>
    </row>
    <row r="880" spans="1:6" ht="13.2">
      <c r="A880" s="116">
        <v>8301501</v>
      </c>
      <c r="B880" s="116">
        <v>220840</v>
      </c>
      <c r="C880" s="117" t="s">
        <v>2860</v>
      </c>
      <c r="D880" s="116">
        <v>2200</v>
      </c>
      <c r="E880" s="116">
        <v>503</v>
      </c>
      <c r="F880" s="116" t="s">
        <v>2861</v>
      </c>
    </row>
    <row r="881" spans="1:6" ht="13.2">
      <c r="A881" s="116">
        <v>8301601</v>
      </c>
      <c r="B881" s="116">
        <v>220820</v>
      </c>
      <c r="C881" s="117" t="s">
        <v>1464</v>
      </c>
      <c r="D881" s="116">
        <v>1400</v>
      </c>
      <c r="E881" s="116">
        <v>503</v>
      </c>
      <c r="F881" s="116" t="s">
        <v>2381</v>
      </c>
    </row>
    <row r="882" spans="1:6" ht="13.2">
      <c r="A882" s="116">
        <v>8301701</v>
      </c>
      <c r="B882" s="116">
        <v>220840</v>
      </c>
      <c r="C882" s="117" t="s">
        <v>2862</v>
      </c>
      <c r="D882" s="116">
        <v>5295</v>
      </c>
      <c r="E882" s="116">
        <v>503</v>
      </c>
      <c r="F882" s="116" t="s">
        <v>2854</v>
      </c>
    </row>
    <row r="883" spans="1:6" ht="13.2">
      <c r="A883" s="116">
        <v>8301901</v>
      </c>
      <c r="B883" s="116">
        <v>220840</v>
      </c>
      <c r="C883" s="117" t="s">
        <v>2863</v>
      </c>
      <c r="D883" s="116">
        <v>7590</v>
      </c>
      <c r="E883" s="116">
        <v>503</v>
      </c>
      <c r="F883" s="116" t="s">
        <v>2854</v>
      </c>
    </row>
    <row r="884" spans="1:6" ht="13.2">
      <c r="A884" s="116">
        <v>8302409</v>
      </c>
      <c r="B884" s="116">
        <v>220840</v>
      </c>
      <c r="C884" s="117" t="s">
        <v>2864</v>
      </c>
      <c r="D884" s="116">
        <v>5295</v>
      </c>
      <c r="E884" s="116">
        <v>503</v>
      </c>
      <c r="F884" s="116" t="s">
        <v>2854</v>
      </c>
    </row>
    <row r="885" spans="1:6" ht="13.2">
      <c r="A885" s="116">
        <v>8302415</v>
      </c>
      <c r="B885" s="116">
        <v>220429</v>
      </c>
      <c r="C885" s="117" t="s">
        <v>2865</v>
      </c>
      <c r="D885" s="116">
        <v>5295</v>
      </c>
      <c r="E885" s="116">
        <v>503</v>
      </c>
      <c r="F885" s="116" t="s">
        <v>2854</v>
      </c>
    </row>
    <row r="886" spans="1:6" ht="13.2">
      <c r="A886" s="116">
        <v>8302416</v>
      </c>
      <c r="B886" s="116">
        <v>220840</v>
      </c>
      <c r="C886" s="117" t="s">
        <v>2866</v>
      </c>
      <c r="D886" s="116">
        <v>5295</v>
      </c>
      <c r="E886" s="116">
        <v>503</v>
      </c>
      <c r="F886" s="116" t="s">
        <v>2854</v>
      </c>
    </row>
    <row r="887" spans="1:6" ht="13.2">
      <c r="A887" s="116">
        <v>8302901</v>
      </c>
      <c r="B887" s="116">
        <v>220840</v>
      </c>
      <c r="C887" s="117" t="s">
        <v>2867</v>
      </c>
      <c r="D887" s="116">
        <v>2200</v>
      </c>
      <c r="E887" s="116">
        <v>410</v>
      </c>
      <c r="F887" s="116" t="s">
        <v>2861</v>
      </c>
    </row>
    <row r="888" spans="1:6" ht="13.2">
      <c r="A888" s="116">
        <v>8303101</v>
      </c>
      <c r="B888" s="116">
        <v>220840</v>
      </c>
      <c r="C888" s="117" t="s">
        <v>2868</v>
      </c>
      <c r="D888" s="116">
        <v>5295</v>
      </c>
      <c r="E888" s="116">
        <v>503</v>
      </c>
      <c r="F888" s="116" t="s">
        <v>2854</v>
      </c>
    </row>
    <row r="889" spans="1:6" ht="13.2">
      <c r="A889" s="116">
        <v>8303501</v>
      </c>
      <c r="B889" s="116">
        <v>220510</v>
      </c>
      <c r="C889" s="117" t="s">
        <v>2869</v>
      </c>
      <c r="D889" s="116">
        <v>5295</v>
      </c>
      <c r="E889" s="116">
        <v>503</v>
      </c>
      <c r="F889" s="116" t="s">
        <v>2854</v>
      </c>
    </row>
    <row r="890" spans="1:6" ht="13.2">
      <c r="A890" s="116">
        <v>8303615</v>
      </c>
      <c r="B890" s="116">
        <v>220429</v>
      </c>
      <c r="C890" s="117" t="s">
        <v>2870</v>
      </c>
      <c r="D890" s="116">
        <v>5295</v>
      </c>
      <c r="E890" s="116">
        <v>503</v>
      </c>
      <c r="F890" s="116" t="s">
        <v>2854</v>
      </c>
    </row>
    <row r="891" spans="1:6" ht="13.2">
      <c r="A891" s="116">
        <v>8304301</v>
      </c>
      <c r="B891" s="116">
        <v>220300</v>
      </c>
      <c r="C891" s="117" t="s">
        <v>2871</v>
      </c>
      <c r="D891" s="116">
        <v>3000</v>
      </c>
      <c r="E891" s="116">
        <v>793</v>
      </c>
      <c r="F891" s="116" t="s">
        <v>2381</v>
      </c>
    </row>
    <row r="892" spans="1:6" ht="13.2">
      <c r="A892" s="116">
        <v>8304502</v>
      </c>
      <c r="B892" s="116">
        <v>220840</v>
      </c>
      <c r="C892" s="117" t="s">
        <v>2872</v>
      </c>
      <c r="D892" s="116">
        <v>2200</v>
      </c>
      <c r="E892" s="116">
        <v>410</v>
      </c>
      <c r="F892" s="116" t="s">
        <v>2861</v>
      </c>
    </row>
    <row r="893" spans="1:6" ht="13.2">
      <c r="A893" s="116">
        <v>8400101</v>
      </c>
      <c r="B893" s="116">
        <v>150990</v>
      </c>
      <c r="C893" s="117" t="s">
        <v>1421</v>
      </c>
      <c r="D893" s="116">
        <v>1245</v>
      </c>
      <c r="E893" s="116">
        <v>453</v>
      </c>
      <c r="F893" s="116" t="s">
        <v>2851</v>
      </c>
    </row>
    <row r="894" spans="1:6" ht="13.2">
      <c r="A894" s="116">
        <v>8400301</v>
      </c>
      <c r="B894" s="116">
        <v>150790</v>
      </c>
      <c r="C894" s="117" t="s">
        <v>2873</v>
      </c>
      <c r="D894" s="116">
        <v>5295</v>
      </c>
      <c r="E894" s="116">
        <v>503</v>
      </c>
      <c r="F894" s="116" t="s">
        <v>2854</v>
      </c>
    </row>
    <row r="895" spans="1:6" ht="13.2">
      <c r="A895" s="116">
        <v>8401801</v>
      </c>
      <c r="B895" s="116">
        <v>150110</v>
      </c>
      <c r="C895" s="117" t="s">
        <v>2874</v>
      </c>
      <c r="D895" s="116">
        <v>2941</v>
      </c>
      <c r="E895" s="116">
        <v>7360</v>
      </c>
      <c r="F895" s="116" t="s">
        <v>2875</v>
      </c>
    </row>
    <row r="896" spans="1:6" ht="13.2">
      <c r="A896" s="116">
        <v>8403001</v>
      </c>
      <c r="B896" s="116">
        <v>150210</v>
      </c>
      <c r="C896" s="117" t="s">
        <v>2876</v>
      </c>
      <c r="D896" s="116">
        <v>1692</v>
      </c>
      <c r="E896" s="116">
        <v>4293</v>
      </c>
      <c r="F896" s="116" t="s">
        <v>2877</v>
      </c>
    </row>
    <row r="897" spans="1:6" ht="13.2">
      <c r="A897" s="116">
        <v>8403201</v>
      </c>
      <c r="B897" s="116">
        <v>150790</v>
      </c>
      <c r="C897" s="117" t="s">
        <v>2878</v>
      </c>
      <c r="D897" s="116">
        <v>2571</v>
      </c>
      <c r="E897" s="116">
        <v>4400</v>
      </c>
      <c r="F897" s="116" t="s">
        <v>2879</v>
      </c>
    </row>
    <row r="898" spans="1:6" ht="13.2">
      <c r="A898" s="116">
        <v>8403501</v>
      </c>
      <c r="B898" s="116">
        <v>151190</v>
      </c>
      <c r="C898" s="117" t="s">
        <v>712</v>
      </c>
      <c r="D898" s="116">
        <v>2571</v>
      </c>
      <c r="E898" s="116">
        <v>7058</v>
      </c>
      <c r="F898" s="116" t="s">
        <v>2879</v>
      </c>
    </row>
    <row r="899" spans="1:6" ht="13.2">
      <c r="A899" s="116">
        <v>8500201</v>
      </c>
      <c r="B899" s="116">
        <v>190590</v>
      </c>
      <c r="C899" s="117" t="s">
        <v>2880</v>
      </c>
      <c r="D899" s="116">
        <v>1870</v>
      </c>
      <c r="E899" s="116">
        <v>7822</v>
      </c>
      <c r="F899" s="116" t="s">
        <v>2877</v>
      </c>
    </row>
    <row r="900" spans="1:6" ht="13.2">
      <c r="A900" s="116">
        <v>8500202</v>
      </c>
      <c r="B900" s="116">
        <v>190220</v>
      </c>
      <c r="C900" s="117" t="s">
        <v>2881</v>
      </c>
      <c r="D900" s="116">
        <v>2525</v>
      </c>
      <c r="E900" s="116">
        <v>5523</v>
      </c>
      <c r="F900" s="116" t="s">
        <v>2879</v>
      </c>
    </row>
    <row r="901" spans="1:6" ht="13.2">
      <c r="A901" s="116">
        <v>8500203</v>
      </c>
      <c r="B901" s="116">
        <v>190220</v>
      </c>
      <c r="C901" s="117" t="s">
        <v>2882</v>
      </c>
      <c r="D901" s="116">
        <v>1796</v>
      </c>
      <c r="E901" s="116">
        <v>1270</v>
      </c>
      <c r="F901" s="116" t="s">
        <v>2062</v>
      </c>
    </row>
    <row r="902" spans="1:6" ht="13.2">
      <c r="A902" s="116">
        <v>8500205</v>
      </c>
      <c r="B902" s="116">
        <v>190220</v>
      </c>
      <c r="C902" s="117" t="s">
        <v>2883</v>
      </c>
      <c r="D902" s="116">
        <v>9525</v>
      </c>
      <c r="E902" s="116">
        <v>1730</v>
      </c>
      <c r="F902" s="116" t="s">
        <v>2030</v>
      </c>
    </row>
    <row r="903" spans="1:6" ht="13.2">
      <c r="A903" s="116">
        <v>8500206</v>
      </c>
      <c r="B903" s="116">
        <v>190220</v>
      </c>
      <c r="C903" s="117" t="s">
        <v>2884</v>
      </c>
      <c r="D903" s="116">
        <v>9525</v>
      </c>
      <c r="E903" s="116">
        <v>1730</v>
      </c>
      <c r="F903" s="116" t="s">
        <v>2030</v>
      </c>
    </row>
    <row r="904" spans="1:6" ht="13.2">
      <c r="A904" s="116">
        <v>8500207</v>
      </c>
      <c r="B904" s="116">
        <v>190220</v>
      </c>
      <c r="C904" s="117" t="s">
        <v>2885</v>
      </c>
      <c r="D904" s="116">
        <v>3600</v>
      </c>
      <c r="E904" s="116">
        <v>1730</v>
      </c>
      <c r="F904" s="116" t="s">
        <v>2030</v>
      </c>
    </row>
    <row r="905" spans="1:6" ht="13.2">
      <c r="A905" s="116">
        <v>8500209</v>
      </c>
      <c r="B905" s="116">
        <v>190590</v>
      </c>
      <c r="C905" s="117" t="s">
        <v>2886</v>
      </c>
      <c r="D905" s="116">
        <v>9525</v>
      </c>
      <c r="E905" s="116">
        <v>1730</v>
      </c>
      <c r="F905" s="116" t="s">
        <v>2030</v>
      </c>
    </row>
    <row r="906" spans="1:6" ht="13.2">
      <c r="A906" s="116">
        <v>8500210</v>
      </c>
      <c r="B906" s="116">
        <v>21012</v>
      </c>
      <c r="C906" s="117" t="s">
        <v>2887</v>
      </c>
      <c r="D906" s="116">
        <v>9525</v>
      </c>
      <c r="E906" s="116">
        <v>1730</v>
      </c>
      <c r="F906" s="116" t="s">
        <v>2030</v>
      </c>
    </row>
    <row r="907" spans="1:6" ht="13.2">
      <c r="A907" s="116">
        <v>8500211</v>
      </c>
      <c r="B907" s="116">
        <v>160250</v>
      </c>
      <c r="C907" s="117" t="s">
        <v>2888</v>
      </c>
      <c r="D907" s="116">
        <v>1796</v>
      </c>
      <c r="E907" s="116">
        <v>1270</v>
      </c>
      <c r="F907" s="116" t="s">
        <v>2062</v>
      </c>
    </row>
    <row r="908" spans="1:6" ht="13.2">
      <c r="A908" s="116">
        <v>8500213</v>
      </c>
      <c r="B908" s="116">
        <v>21019</v>
      </c>
      <c r="C908" s="117" t="s">
        <v>2889</v>
      </c>
      <c r="D908" s="116">
        <v>10200</v>
      </c>
      <c r="E908" s="116">
        <v>7360</v>
      </c>
      <c r="F908" s="116" t="s">
        <v>2436</v>
      </c>
    </row>
    <row r="909" spans="1:6" ht="13.2">
      <c r="A909" s="116">
        <v>8500215</v>
      </c>
      <c r="B909" s="116">
        <v>110220</v>
      </c>
      <c r="C909" s="117" t="s">
        <v>2890</v>
      </c>
      <c r="D909" s="116">
        <v>14500</v>
      </c>
      <c r="E909" s="116">
        <v>12800</v>
      </c>
      <c r="F909" s="116" t="s">
        <v>2489</v>
      </c>
    </row>
    <row r="910" spans="1:6" ht="13.2">
      <c r="A910" s="116">
        <v>8500217</v>
      </c>
      <c r="B910" s="116">
        <v>190520</v>
      </c>
      <c r="C910" s="117" t="s">
        <v>2891</v>
      </c>
      <c r="D910" s="116">
        <v>7875</v>
      </c>
      <c r="E910" s="116">
        <v>7240</v>
      </c>
      <c r="F910" s="116" t="s">
        <v>2436</v>
      </c>
    </row>
    <row r="911" spans="1:6" ht="13.2">
      <c r="A911" s="116">
        <v>8500218</v>
      </c>
      <c r="B911" s="116">
        <v>110220</v>
      </c>
      <c r="C911" s="117" t="s">
        <v>1656</v>
      </c>
      <c r="D911" s="116">
        <v>578</v>
      </c>
      <c r="E911" s="116">
        <v>1790</v>
      </c>
      <c r="F911" s="116" t="s">
        <v>1976</v>
      </c>
    </row>
    <row r="912" spans="1:6" ht="13.2">
      <c r="A912" s="116">
        <v>8500222</v>
      </c>
      <c r="B912" s="116">
        <v>190220</v>
      </c>
      <c r="C912" s="117" t="s">
        <v>2892</v>
      </c>
      <c r="D912" s="116">
        <v>2572</v>
      </c>
      <c r="E912" s="116">
        <v>2039</v>
      </c>
      <c r="F912" s="116" t="s">
        <v>2036</v>
      </c>
    </row>
    <row r="913" spans="1:6" ht="13.2">
      <c r="A913" s="116">
        <v>8500223</v>
      </c>
      <c r="B913" s="116">
        <v>190220</v>
      </c>
      <c r="C913" s="117" t="s">
        <v>2893</v>
      </c>
      <c r="D913" s="116">
        <v>578</v>
      </c>
      <c r="E913" s="116">
        <v>1790</v>
      </c>
      <c r="F913" s="116" t="s">
        <v>1976</v>
      </c>
    </row>
    <row r="914" spans="1:6" ht="13.2">
      <c r="A914" s="116">
        <v>8500224</v>
      </c>
      <c r="B914" s="116">
        <v>190220</v>
      </c>
      <c r="C914" s="117" t="s">
        <v>2894</v>
      </c>
      <c r="D914" s="116">
        <v>9525</v>
      </c>
      <c r="E914" s="116">
        <v>1730</v>
      </c>
      <c r="F914" s="116" t="s">
        <v>2030</v>
      </c>
    </row>
    <row r="915" spans="1:6" ht="13.2">
      <c r="A915" s="116">
        <v>8500225</v>
      </c>
      <c r="B915" s="116">
        <v>190220</v>
      </c>
      <c r="C915" s="117" t="s">
        <v>2895</v>
      </c>
      <c r="D915" s="116">
        <v>9525</v>
      </c>
      <c r="E915" s="116">
        <v>1730</v>
      </c>
      <c r="F915" s="116" t="s">
        <v>2030</v>
      </c>
    </row>
    <row r="916" spans="1:6" ht="13.2">
      <c r="A916" s="116">
        <v>8500226</v>
      </c>
      <c r="B916" s="116">
        <v>190220</v>
      </c>
      <c r="C916" s="117" t="s">
        <v>2896</v>
      </c>
      <c r="D916" s="116">
        <v>9525</v>
      </c>
      <c r="E916" s="116">
        <v>1730</v>
      </c>
      <c r="F916" s="116" t="s">
        <v>2030</v>
      </c>
    </row>
    <row r="917" spans="1:6" ht="13.2">
      <c r="A917" s="116">
        <v>8500227</v>
      </c>
      <c r="B917" s="116">
        <v>190220</v>
      </c>
      <c r="C917" s="117" t="s">
        <v>2897</v>
      </c>
      <c r="D917" s="116">
        <v>9525</v>
      </c>
      <c r="E917" s="116">
        <v>1730</v>
      </c>
      <c r="F917" s="116" t="s">
        <v>2030</v>
      </c>
    </row>
    <row r="918" spans="1:6" ht="13.2">
      <c r="A918" s="116">
        <v>8500302</v>
      </c>
      <c r="B918" s="116">
        <v>160290</v>
      </c>
      <c r="C918" s="117" t="s">
        <v>2898</v>
      </c>
      <c r="D918" s="116">
        <v>9525</v>
      </c>
      <c r="E918" s="116">
        <v>1730</v>
      </c>
      <c r="F918" s="116" t="s">
        <v>2030</v>
      </c>
    </row>
    <row r="919" spans="1:6" ht="13.2">
      <c r="A919" s="116">
        <v>8500303</v>
      </c>
      <c r="B919" s="116">
        <v>160290</v>
      </c>
      <c r="C919" s="117" t="s">
        <v>2899</v>
      </c>
      <c r="D919" s="116">
        <v>9525</v>
      </c>
      <c r="E919" s="116">
        <v>1730</v>
      </c>
      <c r="F919" s="116" t="s">
        <v>2030</v>
      </c>
    </row>
    <row r="920" spans="1:6" ht="13.2">
      <c r="A920" s="116">
        <v>8500304</v>
      </c>
      <c r="B920" s="116">
        <v>160290</v>
      </c>
      <c r="C920" s="117" t="s">
        <v>2900</v>
      </c>
      <c r="D920" s="116">
        <v>9000</v>
      </c>
      <c r="E920" s="116">
        <v>12800</v>
      </c>
      <c r="F920" s="116" t="s">
        <v>2489</v>
      </c>
    </row>
    <row r="921" spans="1:6" ht="13.2">
      <c r="A921" s="116">
        <v>8500305</v>
      </c>
      <c r="B921" s="116">
        <v>160290</v>
      </c>
      <c r="C921" s="117" t="s">
        <v>2901</v>
      </c>
      <c r="D921" s="116">
        <v>9000</v>
      </c>
      <c r="E921" s="116">
        <v>12800</v>
      </c>
      <c r="F921" s="116" t="s">
        <v>2489</v>
      </c>
    </row>
    <row r="922" spans="1:6" ht="13.2">
      <c r="A922" s="116">
        <v>8500307</v>
      </c>
      <c r="B922" s="116">
        <v>160290</v>
      </c>
      <c r="C922" s="117" t="s">
        <v>2902</v>
      </c>
      <c r="D922" s="116">
        <v>9000</v>
      </c>
      <c r="E922" s="116">
        <v>12800</v>
      </c>
      <c r="F922" s="116" t="s">
        <v>2489</v>
      </c>
    </row>
    <row r="923" spans="1:6" ht="13.2">
      <c r="A923" s="116">
        <v>8500308</v>
      </c>
      <c r="B923" s="116">
        <v>160290</v>
      </c>
      <c r="C923" s="117" t="s">
        <v>2903</v>
      </c>
      <c r="D923" s="116">
        <v>9000</v>
      </c>
      <c r="E923" s="116">
        <v>12800</v>
      </c>
      <c r="F923" s="116" t="s">
        <v>2489</v>
      </c>
    </row>
    <row r="924" spans="1:6" ht="13.2">
      <c r="A924" s="116">
        <v>8500313</v>
      </c>
      <c r="B924" s="116">
        <v>190590</v>
      </c>
      <c r="C924" s="117" t="s">
        <v>2904</v>
      </c>
      <c r="D924" s="116">
        <v>9000</v>
      </c>
      <c r="E924" s="116">
        <v>12800</v>
      </c>
      <c r="F924" s="116" t="s">
        <v>2489</v>
      </c>
    </row>
    <row r="925" spans="1:6" ht="13.2">
      <c r="A925" s="116">
        <v>8500315</v>
      </c>
      <c r="B925" s="116">
        <v>190590</v>
      </c>
      <c r="C925" s="117" t="s">
        <v>2905</v>
      </c>
      <c r="D925" s="116">
        <v>9000</v>
      </c>
      <c r="E925" s="116">
        <v>12800</v>
      </c>
      <c r="F925" s="116" t="s">
        <v>2489</v>
      </c>
    </row>
    <row r="926" spans="1:6" ht="13.2">
      <c r="A926" s="116">
        <v>8500316</v>
      </c>
      <c r="B926" s="116">
        <v>190590</v>
      </c>
      <c r="C926" s="117" t="s">
        <v>2906</v>
      </c>
      <c r="D926" s="116">
        <v>1796</v>
      </c>
      <c r="E926" s="116">
        <v>1270</v>
      </c>
      <c r="F926" s="116" t="s">
        <v>2062</v>
      </c>
    </row>
    <row r="927" spans="1:6" ht="13.2">
      <c r="A927" s="116">
        <v>8500317</v>
      </c>
      <c r="B927" s="116">
        <v>190590</v>
      </c>
      <c r="C927" s="117" t="s">
        <v>2907</v>
      </c>
      <c r="D927" s="116">
        <v>1796</v>
      </c>
      <c r="E927" s="116">
        <v>1270</v>
      </c>
      <c r="F927" s="116" t="s">
        <v>2062</v>
      </c>
    </row>
    <row r="928" spans="1:6" ht="13.2">
      <c r="A928" s="116">
        <v>8500318</v>
      </c>
      <c r="B928" s="116">
        <v>190590</v>
      </c>
      <c r="C928" s="117" t="s">
        <v>2908</v>
      </c>
      <c r="D928" s="116">
        <v>1796</v>
      </c>
      <c r="E928" s="116">
        <v>1270</v>
      </c>
      <c r="F928" s="116" t="s">
        <v>2062</v>
      </c>
    </row>
    <row r="929" spans="1:6" ht="13.2">
      <c r="A929" s="116">
        <v>8500319</v>
      </c>
      <c r="B929" s="116">
        <v>190590</v>
      </c>
      <c r="C929" s="117" t="s">
        <v>2909</v>
      </c>
      <c r="D929" s="116">
        <v>1796</v>
      </c>
      <c r="E929" s="116">
        <v>1270</v>
      </c>
      <c r="F929" s="116" t="s">
        <v>2062</v>
      </c>
    </row>
    <row r="930" spans="1:6" ht="13.2">
      <c r="A930" s="116">
        <v>8500320</v>
      </c>
      <c r="B930" s="116">
        <v>190590</v>
      </c>
      <c r="C930" s="117" t="s">
        <v>2910</v>
      </c>
      <c r="D930" s="116">
        <v>1796</v>
      </c>
      <c r="E930" s="116">
        <v>1270</v>
      </c>
      <c r="F930" s="116" t="s">
        <v>2062</v>
      </c>
    </row>
    <row r="931" spans="1:6" ht="13.2">
      <c r="A931" s="116">
        <v>8500321</v>
      </c>
      <c r="B931" s="116">
        <v>160290</v>
      </c>
      <c r="C931" s="117" t="s">
        <v>2911</v>
      </c>
      <c r="D931" s="116">
        <v>1796</v>
      </c>
      <c r="E931" s="116">
        <v>1270</v>
      </c>
      <c r="F931" s="116" t="s">
        <v>2062</v>
      </c>
    </row>
    <row r="932" spans="1:6" ht="13.2">
      <c r="A932" s="116">
        <v>8500322</v>
      </c>
      <c r="B932" s="116">
        <v>160290</v>
      </c>
      <c r="C932" s="117" t="s">
        <v>2912</v>
      </c>
      <c r="D932" s="116">
        <v>1796</v>
      </c>
      <c r="E932" s="116">
        <v>1270</v>
      </c>
      <c r="F932" s="116" t="s">
        <v>2062</v>
      </c>
    </row>
    <row r="933" spans="1:6" ht="13.2">
      <c r="A933" s="116">
        <v>8500323</v>
      </c>
      <c r="B933" s="116">
        <v>110100</v>
      </c>
      <c r="C933" s="117" t="s">
        <v>2913</v>
      </c>
      <c r="D933" s="116">
        <v>9000</v>
      </c>
      <c r="E933" s="116">
        <v>12800</v>
      </c>
      <c r="F933" s="116" t="s">
        <v>2489</v>
      </c>
    </row>
    <row r="934" spans="1:6" ht="13.2">
      <c r="A934" s="116">
        <v>8500401</v>
      </c>
      <c r="B934" s="116">
        <v>200960</v>
      </c>
      <c r="C934" s="117" t="s">
        <v>2914</v>
      </c>
      <c r="D934" s="116">
        <v>9000</v>
      </c>
      <c r="E934" s="116">
        <v>12800</v>
      </c>
      <c r="F934" s="116" t="s">
        <v>2489</v>
      </c>
    </row>
    <row r="935" spans="1:6" ht="13.2">
      <c r="A935" s="116">
        <v>8500402</v>
      </c>
      <c r="B935" s="116">
        <v>200940</v>
      </c>
      <c r="C935" s="117" t="s">
        <v>1575</v>
      </c>
      <c r="D935" s="116">
        <v>443</v>
      </c>
      <c r="E935" s="116">
        <v>1518</v>
      </c>
      <c r="F935" s="116" t="s">
        <v>2044</v>
      </c>
    </row>
    <row r="936" spans="1:6" ht="13.2">
      <c r="A936" s="116">
        <v>8500403</v>
      </c>
      <c r="B936" s="116">
        <v>200990</v>
      </c>
      <c r="C936" s="117" t="s">
        <v>2915</v>
      </c>
      <c r="D936" s="116">
        <v>650</v>
      </c>
      <c r="E936" s="116">
        <v>525</v>
      </c>
      <c r="F936" s="116" t="s">
        <v>2038</v>
      </c>
    </row>
    <row r="937" spans="1:6" ht="13.2">
      <c r="A937" s="116">
        <v>8500404</v>
      </c>
      <c r="B937" s="116">
        <v>200990</v>
      </c>
      <c r="C937" s="117" t="s">
        <v>2916</v>
      </c>
      <c r="D937" s="116">
        <v>943</v>
      </c>
      <c r="E937" s="116">
        <v>798</v>
      </c>
      <c r="F937" s="116" t="s">
        <v>2373</v>
      </c>
    </row>
    <row r="938" spans="1:6" ht="13.2">
      <c r="A938" s="116">
        <v>8500405</v>
      </c>
      <c r="B938" s="116">
        <v>200990</v>
      </c>
      <c r="C938" s="117" t="s">
        <v>2917</v>
      </c>
      <c r="D938" s="116">
        <v>943</v>
      </c>
      <c r="E938" s="116">
        <v>681</v>
      </c>
      <c r="F938" s="116" t="s">
        <v>2373</v>
      </c>
    </row>
    <row r="939" spans="1:6" ht="13.2">
      <c r="A939" s="116">
        <v>8500406</v>
      </c>
      <c r="B939" s="116">
        <v>220290</v>
      </c>
      <c r="C939" s="117" t="s">
        <v>2918</v>
      </c>
      <c r="D939" s="116">
        <v>943</v>
      </c>
      <c r="E939" s="116">
        <v>681</v>
      </c>
      <c r="F939" s="116" t="s">
        <v>2373</v>
      </c>
    </row>
    <row r="940" spans="1:6" ht="13.2">
      <c r="A940" s="116">
        <v>8500407</v>
      </c>
      <c r="B940" s="116">
        <v>200919</v>
      </c>
      <c r="C940" s="117" t="s">
        <v>2919</v>
      </c>
      <c r="D940" s="116">
        <v>943</v>
      </c>
      <c r="E940" s="116">
        <v>681</v>
      </c>
      <c r="F940" s="116" t="s">
        <v>2373</v>
      </c>
    </row>
    <row r="941" spans="1:6" ht="13.2">
      <c r="A941" s="116">
        <v>8500408</v>
      </c>
      <c r="B941" s="116">
        <v>200990</v>
      </c>
      <c r="C941" s="117" t="s">
        <v>2920</v>
      </c>
      <c r="D941" s="116">
        <v>478</v>
      </c>
      <c r="E941" s="116">
        <v>1519</v>
      </c>
      <c r="F941" s="116" t="s">
        <v>2079</v>
      </c>
    </row>
    <row r="942" spans="1:6" ht="13.2">
      <c r="A942" s="116">
        <v>8500409</v>
      </c>
      <c r="B942" s="116">
        <v>200990</v>
      </c>
      <c r="C942" s="117" t="s">
        <v>2921</v>
      </c>
      <c r="D942" s="116">
        <v>780</v>
      </c>
      <c r="E942" s="116">
        <v>719</v>
      </c>
      <c r="F942" s="116" t="s">
        <v>2373</v>
      </c>
    </row>
    <row r="943" spans="1:6" ht="13.2">
      <c r="A943" s="116">
        <v>8500410</v>
      </c>
      <c r="B943" s="116">
        <v>200990</v>
      </c>
      <c r="C943" s="117" t="s">
        <v>2922</v>
      </c>
      <c r="D943" s="116">
        <v>943</v>
      </c>
      <c r="E943" s="116">
        <v>681</v>
      </c>
      <c r="F943" s="116" t="s">
        <v>2373</v>
      </c>
    </row>
    <row r="944" spans="1:6" ht="13.2">
      <c r="A944" s="116">
        <v>8500411</v>
      </c>
      <c r="B944" s="116">
        <v>200990</v>
      </c>
      <c r="C944" s="117" t="s">
        <v>2923</v>
      </c>
      <c r="D944" s="116">
        <v>943</v>
      </c>
      <c r="E944" s="116">
        <v>681</v>
      </c>
      <c r="F944" s="116" t="s">
        <v>2373</v>
      </c>
    </row>
    <row r="945" spans="1:6" ht="13.2">
      <c r="A945" s="116">
        <v>8500412</v>
      </c>
      <c r="B945" s="116">
        <v>200990</v>
      </c>
      <c r="C945" s="117" t="s">
        <v>2924</v>
      </c>
      <c r="D945" s="116">
        <v>943</v>
      </c>
      <c r="E945" s="116">
        <v>681</v>
      </c>
      <c r="F945" s="116" t="s">
        <v>2373</v>
      </c>
    </row>
    <row r="946" spans="1:6" ht="13.2">
      <c r="A946" s="116">
        <v>8500413</v>
      </c>
      <c r="B946" s="116">
        <v>220290</v>
      </c>
      <c r="C946" s="117" t="s">
        <v>2925</v>
      </c>
      <c r="D946" s="116">
        <v>943</v>
      </c>
      <c r="E946" s="116">
        <v>681</v>
      </c>
      <c r="F946" s="116" t="s">
        <v>2373</v>
      </c>
    </row>
    <row r="947" spans="1:6" ht="13.2">
      <c r="A947" s="116">
        <v>8500414</v>
      </c>
      <c r="B947" s="116">
        <v>200990</v>
      </c>
      <c r="C947" s="117" t="s">
        <v>2926</v>
      </c>
      <c r="D947" s="116">
        <v>943</v>
      </c>
      <c r="E947" s="116">
        <v>681</v>
      </c>
      <c r="F947" s="116" t="s">
        <v>2373</v>
      </c>
    </row>
    <row r="948" spans="1:6" ht="13.2">
      <c r="A948" s="116">
        <v>8500415</v>
      </c>
      <c r="B948" s="116">
        <v>200990</v>
      </c>
      <c r="C948" s="117" t="s">
        <v>2927</v>
      </c>
      <c r="D948" s="116">
        <v>478</v>
      </c>
      <c r="E948" s="116">
        <v>1519</v>
      </c>
      <c r="F948" s="116" t="s">
        <v>2079</v>
      </c>
    </row>
    <row r="949" spans="1:6" ht="13.2">
      <c r="A949" s="116">
        <v>8500416</v>
      </c>
      <c r="B949" s="116">
        <v>200990</v>
      </c>
      <c r="C949" s="117" t="s">
        <v>2928</v>
      </c>
      <c r="D949" s="116">
        <v>943</v>
      </c>
      <c r="E949" s="116">
        <v>681</v>
      </c>
      <c r="F949" s="116" t="s">
        <v>2373</v>
      </c>
    </row>
    <row r="950" spans="1:6" ht="13.2">
      <c r="A950" s="116">
        <v>8500417</v>
      </c>
      <c r="B950" s="116">
        <v>220290</v>
      </c>
      <c r="C950" s="117" t="s">
        <v>2929</v>
      </c>
      <c r="D950" s="116">
        <v>943</v>
      </c>
      <c r="E950" s="116">
        <v>681</v>
      </c>
      <c r="F950" s="116" t="s">
        <v>2373</v>
      </c>
    </row>
    <row r="951" spans="1:6" ht="13.2">
      <c r="A951" s="116">
        <v>8500418</v>
      </c>
      <c r="B951" s="116">
        <v>220290</v>
      </c>
      <c r="C951" s="117" t="s">
        <v>2930</v>
      </c>
      <c r="D951" s="116">
        <v>943</v>
      </c>
      <c r="E951" s="116">
        <v>681</v>
      </c>
      <c r="F951" s="116" t="s">
        <v>2373</v>
      </c>
    </row>
    <row r="952" spans="1:6" ht="13.2">
      <c r="A952" s="116">
        <v>8500601</v>
      </c>
      <c r="B952" s="116">
        <v>220290</v>
      </c>
      <c r="C952" s="117" t="s">
        <v>2931</v>
      </c>
      <c r="D952" s="116">
        <v>478</v>
      </c>
      <c r="E952" s="116">
        <v>1519</v>
      </c>
      <c r="F952" s="116" t="s">
        <v>2079</v>
      </c>
    </row>
    <row r="953" spans="1:6" ht="13.2">
      <c r="A953" s="116">
        <v>8500602</v>
      </c>
      <c r="B953" s="116">
        <v>220290</v>
      </c>
      <c r="C953" s="117" t="s">
        <v>2932</v>
      </c>
      <c r="D953" s="116">
        <v>478</v>
      </c>
      <c r="E953" s="116">
        <v>1519</v>
      </c>
      <c r="F953" s="116" t="s">
        <v>2079</v>
      </c>
    </row>
    <row r="954" spans="1:6" ht="13.2">
      <c r="A954" s="116">
        <v>8500603</v>
      </c>
      <c r="B954" s="116">
        <v>220290</v>
      </c>
      <c r="C954" s="117" t="s">
        <v>2933</v>
      </c>
      <c r="D954" s="116">
        <v>478</v>
      </c>
      <c r="E954" s="116">
        <v>1519</v>
      </c>
      <c r="F954" s="116" t="s">
        <v>2079</v>
      </c>
    </row>
    <row r="955" spans="1:6" ht="13.2">
      <c r="A955" s="116">
        <v>8500604</v>
      </c>
      <c r="B955" s="116">
        <v>220290</v>
      </c>
      <c r="C955" s="117" t="s">
        <v>2934</v>
      </c>
      <c r="D955" s="116">
        <v>478</v>
      </c>
      <c r="E955" s="116">
        <v>1519</v>
      </c>
      <c r="F955" s="116" t="s">
        <v>2079</v>
      </c>
    </row>
    <row r="956" spans="1:6" ht="13.2">
      <c r="A956" s="116">
        <v>8500605</v>
      </c>
      <c r="B956" s="116">
        <v>220290</v>
      </c>
      <c r="C956" s="117" t="s">
        <v>2935</v>
      </c>
      <c r="D956" s="116">
        <v>478</v>
      </c>
      <c r="E956" s="116">
        <v>1519</v>
      </c>
      <c r="F956" s="116" t="s">
        <v>2079</v>
      </c>
    </row>
    <row r="957" spans="1:6" ht="13.2">
      <c r="A957" s="116">
        <v>8500606</v>
      </c>
      <c r="B957" s="116">
        <v>220290</v>
      </c>
      <c r="C957" s="117" t="s">
        <v>2936</v>
      </c>
      <c r="D957" s="116">
        <v>478</v>
      </c>
      <c r="E957" s="116">
        <v>1519</v>
      </c>
      <c r="F957" s="116" t="s">
        <v>2079</v>
      </c>
    </row>
    <row r="958" spans="1:6" ht="13.2">
      <c r="A958" s="116">
        <v>8500801</v>
      </c>
      <c r="B958" s="116">
        <v>71090</v>
      </c>
      <c r="C958" s="117" t="s">
        <v>2937</v>
      </c>
      <c r="D958" s="116">
        <v>478</v>
      </c>
      <c r="E958" s="116">
        <v>1519</v>
      </c>
      <c r="F958" s="116" t="s">
        <v>2079</v>
      </c>
    </row>
    <row r="959" spans="1:6" ht="13.2">
      <c r="A959" s="116">
        <v>8500903</v>
      </c>
      <c r="B959" s="116">
        <v>190590</v>
      </c>
      <c r="C959" s="117" t="s">
        <v>2938</v>
      </c>
      <c r="D959" s="116">
        <v>478</v>
      </c>
      <c r="E959" s="116">
        <v>1519</v>
      </c>
      <c r="F959" s="116" t="s">
        <v>2079</v>
      </c>
    </row>
    <row r="960" spans="1:6" ht="13.2">
      <c r="A960" s="116">
        <v>8500906</v>
      </c>
      <c r="B960" s="116">
        <v>190211</v>
      </c>
      <c r="C960" s="117" t="s">
        <v>2939</v>
      </c>
      <c r="D960" s="116">
        <v>810</v>
      </c>
      <c r="E960" s="116">
        <v>2397</v>
      </c>
      <c r="F960" s="116" t="s">
        <v>2038</v>
      </c>
    </row>
    <row r="961" spans="1:6" ht="13.2">
      <c r="A961" s="116">
        <v>8500909</v>
      </c>
      <c r="B961" s="116">
        <v>190211</v>
      </c>
      <c r="C961" s="117" t="s">
        <v>2940</v>
      </c>
      <c r="D961" s="116">
        <v>4400</v>
      </c>
      <c r="E961" s="116">
        <v>1270</v>
      </c>
      <c r="F961" s="116" t="s">
        <v>2062</v>
      </c>
    </row>
    <row r="962" spans="1:6" ht="13.2">
      <c r="A962" s="116">
        <v>8500910</v>
      </c>
      <c r="B962" s="116">
        <v>190211</v>
      </c>
      <c r="C962" s="117" t="s">
        <v>2941</v>
      </c>
      <c r="D962" s="116">
        <v>1368</v>
      </c>
      <c r="E962" s="116">
        <v>1730</v>
      </c>
      <c r="F962" s="116" t="s">
        <v>2030</v>
      </c>
    </row>
    <row r="963" spans="1:6" ht="13.2">
      <c r="A963" s="116">
        <v>8500914</v>
      </c>
      <c r="B963" s="116">
        <v>190590</v>
      </c>
      <c r="C963" s="117" t="s">
        <v>2942</v>
      </c>
      <c r="D963" s="116">
        <v>1368</v>
      </c>
      <c r="E963" s="116">
        <v>1730</v>
      </c>
      <c r="F963" s="116" t="s">
        <v>2030</v>
      </c>
    </row>
    <row r="964" spans="1:6" ht="13.2">
      <c r="A964" s="116">
        <v>8500915</v>
      </c>
      <c r="B964" s="116">
        <v>190590</v>
      </c>
      <c r="C964" s="117" t="s">
        <v>2943</v>
      </c>
      <c r="D964" s="116">
        <v>1368</v>
      </c>
      <c r="E964" s="116">
        <v>1730</v>
      </c>
      <c r="F964" s="116" t="s">
        <v>2030</v>
      </c>
    </row>
    <row r="965" spans="1:6" ht="13.2">
      <c r="A965" s="116">
        <v>8500916</v>
      </c>
      <c r="B965" s="116">
        <v>190590</v>
      </c>
      <c r="C965" s="117" t="s">
        <v>2944</v>
      </c>
      <c r="D965" s="116">
        <v>5700</v>
      </c>
      <c r="E965" s="116">
        <v>1270</v>
      </c>
      <c r="F965" s="116" t="s">
        <v>2062</v>
      </c>
    </row>
    <row r="966" spans="1:6" ht="13.2">
      <c r="A966" s="116">
        <v>8500917</v>
      </c>
      <c r="B966" s="116">
        <v>190590</v>
      </c>
      <c r="C966" s="117" t="s">
        <v>2945</v>
      </c>
      <c r="D966" s="116">
        <v>4000</v>
      </c>
      <c r="E966" s="116">
        <v>1600</v>
      </c>
      <c r="F966" s="116" t="s">
        <v>2062</v>
      </c>
    </row>
    <row r="967" spans="1:6" ht="13.2">
      <c r="A967" s="116">
        <v>8501004</v>
      </c>
      <c r="B967" s="116">
        <v>20711</v>
      </c>
      <c r="C967" s="117" t="s">
        <v>2946</v>
      </c>
      <c r="D967" s="116">
        <v>4200</v>
      </c>
      <c r="E967" s="116">
        <v>1270</v>
      </c>
      <c r="F967" s="116" t="s">
        <v>2062</v>
      </c>
    </row>
    <row r="968" spans="1:6" ht="13.2">
      <c r="A968" s="116">
        <v>8501202</v>
      </c>
      <c r="B968" s="116">
        <v>100590</v>
      </c>
      <c r="C968" s="117" t="s">
        <v>2947</v>
      </c>
      <c r="D968" s="116">
        <v>1796</v>
      </c>
      <c r="E968" s="116">
        <v>1270</v>
      </c>
      <c r="F968" s="116" t="s">
        <v>2062</v>
      </c>
    </row>
    <row r="969" spans="1:6" ht="13.2">
      <c r="A969" s="116">
        <v>8501302</v>
      </c>
      <c r="B969" s="116">
        <v>90121</v>
      </c>
      <c r="C969" s="117" t="s">
        <v>2948</v>
      </c>
      <c r="D969" s="116">
        <v>3321</v>
      </c>
      <c r="E969" s="116">
        <v>4474</v>
      </c>
      <c r="F969" s="116" t="s">
        <v>2535</v>
      </c>
    </row>
    <row r="970" spans="1:6" ht="13.2">
      <c r="A970" s="116">
        <v>8501303</v>
      </c>
      <c r="B970" s="116">
        <v>90121</v>
      </c>
      <c r="C970" s="117" t="s">
        <v>2949</v>
      </c>
      <c r="D970" s="116">
        <v>558</v>
      </c>
      <c r="E970" s="116">
        <v>1255</v>
      </c>
      <c r="F970" s="116" t="s">
        <v>1974</v>
      </c>
    </row>
    <row r="971" spans="1:6" ht="13.2">
      <c r="A971" s="116">
        <v>8501305</v>
      </c>
      <c r="B971" s="116">
        <v>210111</v>
      </c>
      <c r="C971" s="117" t="s">
        <v>2950</v>
      </c>
      <c r="D971" s="116">
        <v>330</v>
      </c>
      <c r="E971" s="116">
        <v>12261</v>
      </c>
      <c r="F971" s="116" t="s">
        <v>2489</v>
      </c>
    </row>
    <row r="972" spans="1:6" ht="13.2">
      <c r="A972" s="116">
        <v>8501402</v>
      </c>
      <c r="B972" s="116">
        <v>71040</v>
      </c>
      <c r="C972" s="117" t="s">
        <v>2951</v>
      </c>
      <c r="D972" s="116">
        <v>330</v>
      </c>
      <c r="E972" s="116">
        <v>12261</v>
      </c>
      <c r="F972" s="116" t="s">
        <v>2489</v>
      </c>
    </row>
    <row r="973" spans="1:6" ht="13.2">
      <c r="A973" s="116">
        <v>8501502</v>
      </c>
      <c r="B973" s="116">
        <v>190590</v>
      </c>
      <c r="C973" s="117" t="s">
        <v>2952</v>
      </c>
      <c r="D973" s="116">
        <v>935</v>
      </c>
      <c r="E973" s="116">
        <v>6115</v>
      </c>
      <c r="F973" s="116" t="s">
        <v>2253</v>
      </c>
    </row>
    <row r="974" spans="1:6" ht="13.2">
      <c r="A974" s="116">
        <v>8501503</v>
      </c>
      <c r="B974" s="116">
        <v>190590</v>
      </c>
      <c r="C974" s="117" t="s">
        <v>2953</v>
      </c>
      <c r="D974" s="116">
        <v>810</v>
      </c>
      <c r="E974" s="116">
        <v>2397</v>
      </c>
      <c r="F974" s="116" t="s">
        <v>2038</v>
      </c>
    </row>
    <row r="975" spans="1:6" ht="13.2">
      <c r="A975" s="116">
        <v>8501902</v>
      </c>
      <c r="B975" s="116">
        <v>110220</v>
      </c>
      <c r="C975" s="117" t="s">
        <v>2954</v>
      </c>
      <c r="D975" s="116">
        <v>1796</v>
      </c>
      <c r="E975" s="116">
        <v>1270</v>
      </c>
      <c r="F975" s="116" t="s">
        <v>2062</v>
      </c>
    </row>
    <row r="976" spans="1:6" ht="13.2">
      <c r="A976" s="116">
        <v>8501903</v>
      </c>
      <c r="B976" s="116">
        <v>100590</v>
      </c>
      <c r="C976" s="117" t="s">
        <v>2955</v>
      </c>
      <c r="D976" s="116">
        <v>2200</v>
      </c>
      <c r="E976" s="116">
        <v>1270</v>
      </c>
      <c r="F976" s="116" t="s">
        <v>2062</v>
      </c>
    </row>
    <row r="977" spans="1:6" ht="13.2">
      <c r="A977" s="116">
        <v>8502401</v>
      </c>
      <c r="B977" s="116">
        <v>190590</v>
      </c>
      <c r="C977" s="117" t="s">
        <v>2956</v>
      </c>
      <c r="D977" s="116">
        <v>578</v>
      </c>
      <c r="E977" s="116">
        <v>1790</v>
      </c>
      <c r="F977" s="116" t="s">
        <v>1976</v>
      </c>
    </row>
    <row r="978" spans="1:6" ht="13.2">
      <c r="A978" s="116">
        <v>8502901</v>
      </c>
      <c r="B978" s="116">
        <v>190190</v>
      </c>
      <c r="C978" s="117" t="s">
        <v>2957</v>
      </c>
      <c r="D978" s="116">
        <v>558</v>
      </c>
      <c r="E978" s="116">
        <v>1255</v>
      </c>
      <c r="F978" s="116" t="s">
        <v>1974</v>
      </c>
    </row>
    <row r="979" spans="1:6" ht="13.2">
      <c r="A979" s="116">
        <v>8503202</v>
      </c>
      <c r="B979" s="116">
        <v>210410</v>
      </c>
      <c r="C979" s="117" t="s">
        <v>1473</v>
      </c>
      <c r="D979" s="116">
        <v>1796</v>
      </c>
      <c r="E979" s="116">
        <v>1270</v>
      </c>
      <c r="F979" s="116" t="s">
        <v>2062</v>
      </c>
    </row>
    <row r="980" spans="1:6" ht="13.2">
      <c r="A980" s="116">
        <v>8503801</v>
      </c>
      <c r="B980" s="116">
        <v>20130</v>
      </c>
      <c r="C980" s="117" t="s">
        <v>2958</v>
      </c>
      <c r="D980" s="116">
        <v>2004</v>
      </c>
      <c r="E980" s="116">
        <v>1647</v>
      </c>
      <c r="F980" s="116" t="s">
        <v>2027</v>
      </c>
    </row>
    <row r="981" spans="1:6" ht="13.2">
      <c r="A981" s="116">
        <v>8504201</v>
      </c>
      <c r="B981" s="116">
        <v>160420</v>
      </c>
      <c r="C981" s="117" t="s">
        <v>2959</v>
      </c>
      <c r="D981" s="116">
        <v>2800</v>
      </c>
      <c r="E981" s="116">
        <v>6115</v>
      </c>
      <c r="F981" s="116" t="s">
        <v>2253</v>
      </c>
    </row>
    <row r="982" spans="1:6" ht="13.2">
      <c r="A982" s="116">
        <v>8504401</v>
      </c>
      <c r="B982" s="116">
        <v>81030</v>
      </c>
      <c r="C982" s="117" t="s">
        <v>2960</v>
      </c>
      <c r="D982" s="116">
        <v>26938</v>
      </c>
      <c r="E982" s="116">
        <v>18136</v>
      </c>
      <c r="F982" s="116" t="s">
        <v>2388</v>
      </c>
    </row>
    <row r="983" spans="1:6" ht="13.2">
      <c r="A983" s="116">
        <v>8504501</v>
      </c>
      <c r="B983" s="116">
        <v>71090</v>
      </c>
      <c r="C983" s="117" t="s">
        <v>2961</v>
      </c>
      <c r="D983" s="116">
        <v>3500</v>
      </c>
      <c r="E983" s="116">
        <v>12800</v>
      </c>
      <c r="F983" s="116" t="s">
        <v>2489</v>
      </c>
    </row>
    <row r="984" spans="1:6" ht="13.2">
      <c r="A984" s="116">
        <v>8505901</v>
      </c>
      <c r="B984" s="116">
        <v>190220</v>
      </c>
      <c r="C984" s="117" t="s">
        <v>2962</v>
      </c>
      <c r="D984" s="116">
        <v>719</v>
      </c>
      <c r="E984" s="116">
        <v>1201</v>
      </c>
      <c r="F984" s="116" t="s">
        <v>2963</v>
      </c>
    </row>
    <row r="985" spans="1:6" ht="13.2">
      <c r="A985" s="116">
        <v>8506801</v>
      </c>
      <c r="B985" s="116">
        <v>190220</v>
      </c>
      <c r="C985" s="117" t="s">
        <v>2964</v>
      </c>
      <c r="D985" s="116">
        <v>810</v>
      </c>
      <c r="E985" s="116">
        <v>2397</v>
      </c>
      <c r="F985" s="116" t="s">
        <v>2038</v>
      </c>
    </row>
    <row r="986" spans="1:6" ht="13.2">
      <c r="A986" s="116">
        <v>8507601</v>
      </c>
      <c r="B986" s="116">
        <v>180500</v>
      </c>
      <c r="C986" s="117" t="s">
        <v>551</v>
      </c>
      <c r="D986" s="116">
        <v>9525</v>
      </c>
      <c r="E986" s="116">
        <v>1730</v>
      </c>
      <c r="F986" s="116" t="s">
        <v>2030</v>
      </c>
    </row>
    <row r="987" spans="1:6" ht="13.2">
      <c r="A987" s="116">
        <v>8507701</v>
      </c>
      <c r="B987" s="116">
        <v>40790</v>
      </c>
      <c r="C987" s="117" t="s">
        <v>2965</v>
      </c>
      <c r="D987" s="116">
        <v>9525</v>
      </c>
      <c r="E987" s="116">
        <v>1730</v>
      </c>
      <c r="F987" s="116" t="s">
        <v>2030</v>
      </c>
    </row>
    <row r="988" spans="1:6" ht="13.2">
      <c r="A988" s="116">
        <v>8507901</v>
      </c>
      <c r="B988" s="116">
        <v>200990</v>
      </c>
      <c r="C988" s="117" t="s">
        <v>2966</v>
      </c>
      <c r="D988" s="116">
        <v>2333</v>
      </c>
      <c r="E988" s="116">
        <v>26430</v>
      </c>
      <c r="F988" s="116" t="s">
        <v>2223</v>
      </c>
    </row>
    <row r="989" spans="1:6" ht="13.2">
      <c r="A989" s="116">
        <v>8507902</v>
      </c>
      <c r="B989" s="116">
        <v>200990</v>
      </c>
      <c r="C989" s="117" t="s">
        <v>2967</v>
      </c>
      <c r="D989" s="116">
        <v>3363</v>
      </c>
      <c r="E989" s="116">
        <v>3072</v>
      </c>
      <c r="F989" s="116" t="s">
        <v>2562</v>
      </c>
    </row>
    <row r="990" spans="1:6" ht="13.2">
      <c r="A990" s="116">
        <v>8507903</v>
      </c>
      <c r="B990" s="116">
        <v>200990</v>
      </c>
      <c r="C990" s="117" t="s">
        <v>2968</v>
      </c>
      <c r="D990" s="116">
        <v>943</v>
      </c>
      <c r="E990" s="116">
        <v>681</v>
      </c>
      <c r="F990" s="116" t="s">
        <v>2373</v>
      </c>
    </row>
    <row r="991" spans="1:6" ht="13.2">
      <c r="A991" s="116">
        <v>8507906</v>
      </c>
      <c r="B991" s="116">
        <v>220290</v>
      </c>
      <c r="C991" s="117" t="s">
        <v>2969</v>
      </c>
      <c r="D991" s="116">
        <v>943</v>
      </c>
      <c r="E991" s="116">
        <v>681</v>
      </c>
      <c r="F991" s="116" t="s">
        <v>2373</v>
      </c>
    </row>
    <row r="992" spans="1:6" ht="13.2">
      <c r="A992" s="116">
        <v>8507907</v>
      </c>
      <c r="B992" s="116">
        <v>200990</v>
      </c>
      <c r="C992" s="117" t="s">
        <v>2970</v>
      </c>
      <c r="D992" s="116">
        <v>943</v>
      </c>
      <c r="E992" s="116">
        <v>681</v>
      </c>
      <c r="F992" s="116" t="s">
        <v>2373</v>
      </c>
    </row>
    <row r="993" spans="1:6" ht="13.2">
      <c r="A993" s="116">
        <v>8507911</v>
      </c>
      <c r="B993" s="116">
        <v>200990</v>
      </c>
      <c r="C993" s="117" t="s">
        <v>2971</v>
      </c>
      <c r="D993" s="116">
        <v>478</v>
      </c>
      <c r="E993" s="116">
        <v>1519</v>
      </c>
      <c r="F993" s="116" t="s">
        <v>2079</v>
      </c>
    </row>
    <row r="994" spans="1:6" ht="13.2">
      <c r="A994" s="116">
        <v>8507913</v>
      </c>
      <c r="B994" s="116">
        <v>220290</v>
      </c>
      <c r="C994" s="117" t="s">
        <v>2972</v>
      </c>
      <c r="D994" s="116">
        <v>943</v>
      </c>
      <c r="E994" s="116">
        <v>681</v>
      </c>
      <c r="F994" s="116" t="s">
        <v>2373</v>
      </c>
    </row>
    <row r="995" spans="1:6" ht="13.2">
      <c r="A995" s="116">
        <v>8507914</v>
      </c>
      <c r="B995" s="116">
        <v>200990</v>
      </c>
      <c r="C995" s="117" t="s">
        <v>2973</v>
      </c>
      <c r="D995" s="116">
        <v>943</v>
      </c>
      <c r="E995" s="116">
        <v>681</v>
      </c>
      <c r="F995" s="116" t="s">
        <v>2373</v>
      </c>
    </row>
    <row r="996" spans="1:6" ht="13.2">
      <c r="A996" s="116">
        <v>8507916</v>
      </c>
      <c r="B996" s="116">
        <v>200990</v>
      </c>
      <c r="C996" s="117" t="s">
        <v>2974</v>
      </c>
      <c r="D996" s="116">
        <v>478</v>
      </c>
      <c r="E996" s="116">
        <v>1519</v>
      </c>
      <c r="F996" s="116" t="s">
        <v>2079</v>
      </c>
    </row>
    <row r="997" spans="1:6" ht="13.2">
      <c r="A997" s="116">
        <v>8507917</v>
      </c>
      <c r="B997" s="116">
        <v>220290</v>
      </c>
      <c r="C997" s="117" t="s">
        <v>2975</v>
      </c>
      <c r="D997" s="116">
        <v>943</v>
      </c>
      <c r="E997" s="116">
        <v>681</v>
      </c>
      <c r="F997" s="116" t="s">
        <v>2373</v>
      </c>
    </row>
    <row r="998" spans="1:6" ht="13.2">
      <c r="A998" s="116">
        <v>8507918</v>
      </c>
      <c r="B998" s="116">
        <v>220290</v>
      </c>
      <c r="C998" s="117" t="s">
        <v>2976</v>
      </c>
      <c r="D998" s="116">
        <v>943</v>
      </c>
      <c r="E998" s="116">
        <v>681</v>
      </c>
      <c r="F998" s="116" t="s">
        <v>2373</v>
      </c>
    </row>
    <row r="999" spans="1:6" ht="13.2">
      <c r="A999" s="116">
        <v>8508003</v>
      </c>
      <c r="B999" s="116">
        <v>190590</v>
      </c>
      <c r="C999" s="117" t="s">
        <v>2977</v>
      </c>
      <c r="D999" s="116">
        <v>478</v>
      </c>
      <c r="E999" s="116">
        <v>1519</v>
      </c>
      <c r="F999" s="116" t="s">
        <v>2079</v>
      </c>
    </row>
    <row r="1000" spans="1:6" ht="13.2">
      <c r="A1000" s="116">
        <v>8508004</v>
      </c>
      <c r="B1000" s="116">
        <v>190220</v>
      </c>
      <c r="C1000" s="117" t="s">
        <v>2978</v>
      </c>
      <c r="D1000" s="116">
        <v>478</v>
      </c>
      <c r="E1000" s="116">
        <v>1519</v>
      </c>
      <c r="F1000" s="116" t="s">
        <v>2079</v>
      </c>
    </row>
    <row r="1001" spans="1:6" ht="13.2">
      <c r="A1001" s="116">
        <v>8508012</v>
      </c>
      <c r="B1001" s="116">
        <v>190220</v>
      </c>
      <c r="C1001" s="117" t="s">
        <v>2979</v>
      </c>
      <c r="D1001" s="116">
        <v>1796</v>
      </c>
      <c r="E1001" s="116">
        <v>1270</v>
      </c>
      <c r="F1001" s="116" t="s">
        <v>2062</v>
      </c>
    </row>
    <row r="1002" spans="1:6" ht="13.2">
      <c r="A1002" s="116">
        <v>8508017</v>
      </c>
      <c r="B1002" s="116">
        <v>190590</v>
      </c>
      <c r="C1002" s="117" t="s">
        <v>2980</v>
      </c>
      <c r="D1002" s="116">
        <v>11500</v>
      </c>
      <c r="E1002" s="116">
        <v>1730</v>
      </c>
      <c r="F1002" s="116" t="s">
        <v>2030</v>
      </c>
    </row>
    <row r="1003" spans="1:6" ht="13.2">
      <c r="A1003" s="116">
        <v>8508101</v>
      </c>
      <c r="B1003" s="116">
        <v>190190</v>
      </c>
      <c r="C1003" s="117" t="s">
        <v>2981</v>
      </c>
      <c r="D1003" s="116">
        <v>9525</v>
      </c>
      <c r="E1003" s="116">
        <v>1730</v>
      </c>
      <c r="F1003" s="116" t="s">
        <v>2030</v>
      </c>
    </row>
    <row r="1004" spans="1:6" ht="13.2">
      <c r="A1004" s="116">
        <v>8579143</v>
      </c>
      <c r="B1004" s="116">
        <v>30250</v>
      </c>
      <c r="C1004" s="117" t="s">
        <v>2982</v>
      </c>
      <c r="D1004" s="116">
        <v>1796</v>
      </c>
      <c r="E1004" s="116">
        <v>1270</v>
      </c>
      <c r="F1004" s="116" t="s">
        <v>2062</v>
      </c>
    </row>
    <row r="1005" spans="1:6" ht="13.2">
      <c r="A1005" s="118">
        <v>8800109</v>
      </c>
      <c r="B1005" s="118">
        <v>70999</v>
      </c>
      <c r="C1005" s="117" t="s">
        <v>2983</v>
      </c>
      <c r="D1005" s="118">
        <v>2004</v>
      </c>
      <c r="E1005" s="118">
        <v>1647</v>
      </c>
      <c r="F1005" s="118" t="s">
        <v>2027</v>
      </c>
    </row>
  </sheetData>
  <mergeCells count="1">
    <mergeCell ref="A1:F1"/>
  </mergeCells>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F1005"/>
  <sheetViews>
    <sheetView workbookViewId="0">
      <selection sqref="A1:F1"/>
    </sheetView>
  </sheetViews>
  <sheetFormatPr defaultColWidth="12.6640625" defaultRowHeight="15.75" customHeight="1"/>
  <sheetData>
    <row r="1" spans="1:6" ht="15.75" customHeight="1">
      <c r="A1" s="189" t="s">
        <v>2984</v>
      </c>
      <c r="B1" s="180"/>
      <c r="C1" s="180"/>
      <c r="D1" s="180"/>
      <c r="E1" s="180"/>
      <c r="F1" s="180"/>
    </row>
    <row r="2" spans="1:6" ht="15.75" customHeight="1">
      <c r="A2" s="108"/>
      <c r="B2" s="108"/>
      <c r="C2" s="109"/>
      <c r="D2" s="110"/>
      <c r="E2" s="110"/>
      <c r="F2" s="111"/>
    </row>
    <row r="3" spans="1:6" ht="13.2">
      <c r="A3" s="112" t="s">
        <v>1961</v>
      </c>
      <c r="B3" s="112" t="s">
        <v>1962</v>
      </c>
      <c r="C3" s="112" t="s">
        <v>1963</v>
      </c>
      <c r="D3" s="112" t="s">
        <v>1964</v>
      </c>
      <c r="E3" s="112" t="s">
        <v>1965</v>
      </c>
      <c r="F3" s="112" t="s">
        <v>1966</v>
      </c>
    </row>
    <row r="4" spans="1:6" ht="15.75" customHeight="1">
      <c r="A4" s="113"/>
      <c r="B4" s="113"/>
      <c r="C4" s="114"/>
      <c r="D4" s="115" t="s">
        <v>1967</v>
      </c>
      <c r="E4" s="115" t="s">
        <v>1968</v>
      </c>
      <c r="F4" s="115" t="s">
        <v>1969</v>
      </c>
    </row>
    <row r="5" spans="1:6" ht="13.2">
      <c r="A5" s="116">
        <v>6300101</v>
      </c>
      <c r="B5" s="116">
        <v>100630</v>
      </c>
      <c r="C5" s="117" t="s">
        <v>2985</v>
      </c>
      <c r="D5" s="116">
        <v>2506</v>
      </c>
      <c r="E5" s="116">
        <v>1277</v>
      </c>
      <c r="F5" s="116" t="s">
        <v>1971</v>
      </c>
    </row>
    <row r="6" spans="1:6" ht="13.2">
      <c r="A6" s="116">
        <v>6300201</v>
      </c>
      <c r="B6" s="116">
        <v>100620</v>
      </c>
      <c r="C6" s="117" t="s">
        <v>2986</v>
      </c>
      <c r="D6" s="116">
        <v>2538</v>
      </c>
      <c r="E6" s="116">
        <v>1277</v>
      </c>
      <c r="F6" s="116" t="s">
        <v>1971</v>
      </c>
    </row>
    <row r="7" spans="1:6" ht="13.2">
      <c r="A7" s="116">
        <v>6300701</v>
      </c>
      <c r="B7" s="116">
        <v>100590</v>
      </c>
      <c r="C7" s="117" t="s">
        <v>2987</v>
      </c>
      <c r="D7" s="116">
        <v>558</v>
      </c>
      <c r="E7" s="116">
        <v>1255</v>
      </c>
      <c r="F7" s="116" t="s">
        <v>1974</v>
      </c>
    </row>
    <row r="8" spans="1:6" ht="13.2">
      <c r="A8" s="116">
        <v>6300706</v>
      </c>
      <c r="B8" s="116">
        <v>110313</v>
      </c>
      <c r="C8" s="117" t="s">
        <v>2988</v>
      </c>
      <c r="D8" s="116">
        <v>578</v>
      </c>
      <c r="E8" s="116">
        <v>1543</v>
      </c>
      <c r="F8" s="116" t="s">
        <v>1976</v>
      </c>
    </row>
    <row r="9" spans="1:6" ht="13.2">
      <c r="A9" s="116">
        <v>6300707</v>
      </c>
      <c r="B9" s="116">
        <v>110220</v>
      </c>
      <c r="C9" s="117" t="s">
        <v>2989</v>
      </c>
      <c r="D9" s="116">
        <v>578</v>
      </c>
      <c r="E9" s="116">
        <v>1790</v>
      </c>
      <c r="F9" s="116" t="s">
        <v>1976</v>
      </c>
    </row>
    <row r="10" spans="1:6" ht="13.2">
      <c r="A10" s="116">
        <v>6301001</v>
      </c>
      <c r="B10" s="116">
        <v>120220</v>
      </c>
      <c r="C10" s="117" t="s">
        <v>2990</v>
      </c>
      <c r="D10" s="116">
        <v>1333</v>
      </c>
      <c r="E10" s="116">
        <v>2704</v>
      </c>
      <c r="F10" s="116" t="s">
        <v>1979</v>
      </c>
    </row>
    <row r="11" spans="1:6" ht="13.2">
      <c r="A11" s="116">
        <v>6301101</v>
      </c>
      <c r="B11" s="116">
        <v>70810</v>
      </c>
      <c r="C11" s="117" t="s">
        <v>2991</v>
      </c>
      <c r="D11" s="116">
        <v>504</v>
      </c>
      <c r="E11" s="116">
        <v>834</v>
      </c>
      <c r="F11" s="116" t="s">
        <v>1981</v>
      </c>
    </row>
    <row r="12" spans="1:6" ht="13.2">
      <c r="A12" s="116">
        <v>6301201</v>
      </c>
      <c r="B12" s="116">
        <v>71350</v>
      </c>
      <c r="C12" s="117" t="s">
        <v>2992</v>
      </c>
      <c r="D12" s="116">
        <v>915</v>
      </c>
      <c r="E12" s="116">
        <v>5594</v>
      </c>
      <c r="F12" s="116" t="s">
        <v>1983</v>
      </c>
    </row>
    <row r="13" spans="1:6" ht="13.2">
      <c r="A13" s="116">
        <v>6301204</v>
      </c>
      <c r="B13" s="116">
        <v>71360</v>
      </c>
      <c r="C13" s="117" t="s">
        <v>2993</v>
      </c>
      <c r="D13" s="116">
        <v>915</v>
      </c>
      <c r="E13" s="116">
        <v>3846</v>
      </c>
      <c r="F13" s="116" t="s">
        <v>1983</v>
      </c>
    </row>
    <row r="14" spans="1:6" ht="13.2">
      <c r="A14" s="116">
        <v>6301603</v>
      </c>
      <c r="B14" s="116">
        <v>71333</v>
      </c>
      <c r="C14" s="117" t="s">
        <v>2994</v>
      </c>
      <c r="D14" s="116">
        <v>250</v>
      </c>
      <c r="E14" s="116">
        <v>3264</v>
      </c>
      <c r="F14" s="116" t="s">
        <v>1983</v>
      </c>
    </row>
    <row r="15" spans="1:6" ht="13.2">
      <c r="A15" s="116">
        <v>6301634</v>
      </c>
      <c r="B15" s="116">
        <v>71333</v>
      </c>
      <c r="C15" s="117" t="s">
        <v>2995</v>
      </c>
      <c r="D15" s="116">
        <v>250</v>
      </c>
      <c r="E15" s="116">
        <v>3264</v>
      </c>
      <c r="F15" s="116" t="s">
        <v>1983</v>
      </c>
    </row>
    <row r="16" spans="1:6" ht="13.2">
      <c r="A16" s="116">
        <v>6302001</v>
      </c>
      <c r="B16" s="116">
        <v>120400</v>
      </c>
      <c r="C16" s="117" t="s">
        <v>2996</v>
      </c>
      <c r="D16" s="116">
        <v>1936</v>
      </c>
      <c r="E16" s="116">
        <v>3791</v>
      </c>
      <c r="F16" s="116" t="s">
        <v>1979</v>
      </c>
    </row>
    <row r="17" spans="1:6" ht="13.2">
      <c r="A17" s="116">
        <v>6302602</v>
      </c>
      <c r="B17" s="116">
        <v>71360</v>
      </c>
      <c r="C17" s="117" t="s">
        <v>2997</v>
      </c>
      <c r="D17" s="116">
        <v>915</v>
      </c>
      <c r="E17" s="116">
        <v>3846</v>
      </c>
      <c r="F17" s="116" t="s">
        <v>1983</v>
      </c>
    </row>
    <row r="18" spans="1:6" ht="13.2">
      <c r="A18" s="116">
        <v>6302801</v>
      </c>
      <c r="B18" s="116">
        <v>71320</v>
      </c>
      <c r="C18" s="117" t="s">
        <v>2998</v>
      </c>
      <c r="D18" s="116">
        <v>2000</v>
      </c>
      <c r="E18" s="116">
        <v>3846</v>
      </c>
      <c r="F18" s="116" t="s">
        <v>1983</v>
      </c>
    </row>
    <row r="19" spans="1:6" ht="13.2">
      <c r="A19" s="116">
        <v>6302901</v>
      </c>
      <c r="B19" s="116">
        <v>71340</v>
      </c>
      <c r="C19" s="117" t="s">
        <v>2999</v>
      </c>
      <c r="D19" s="116">
        <v>2000</v>
      </c>
      <c r="E19" s="116">
        <v>3846</v>
      </c>
      <c r="F19" s="116" t="s">
        <v>1983</v>
      </c>
    </row>
    <row r="20" spans="1:6" ht="13.2">
      <c r="A20" s="116">
        <v>6303001</v>
      </c>
      <c r="B20" s="116">
        <v>120100</v>
      </c>
      <c r="C20" s="117" t="s">
        <v>3000</v>
      </c>
      <c r="D20" s="116">
        <v>397</v>
      </c>
      <c r="E20" s="116">
        <v>2007</v>
      </c>
      <c r="F20" s="116" t="s">
        <v>1979</v>
      </c>
    </row>
    <row r="21" spans="1:6" ht="13.2">
      <c r="A21" s="116">
        <v>6303102</v>
      </c>
      <c r="B21" s="116">
        <v>71333</v>
      </c>
      <c r="C21" s="117" t="s">
        <v>3001</v>
      </c>
      <c r="D21" s="116">
        <v>210</v>
      </c>
      <c r="E21" s="116">
        <v>3264</v>
      </c>
      <c r="F21" s="116" t="s">
        <v>1983</v>
      </c>
    </row>
    <row r="22" spans="1:6" ht="13.2">
      <c r="A22" s="116">
        <v>6303501</v>
      </c>
      <c r="B22" s="116">
        <v>110313</v>
      </c>
      <c r="C22" s="117" t="s">
        <v>3002</v>
      </c>
      <c r="D22" s="116">
        <v>578</v>
      </c>
      <c r="E22" s="116">
        <v>1543</v>
      </c>
      <c r="F22" s="116" t="s">
        <v>1976</v>
      </c>
    </row>
    <row r="23" spans="1:6" ht="13.2">
      <c r="A23" s="116">
        <v>6304034</v>
      </c>
      <c r="B23" s="116">
        <v>71333</v>
      </c>
      <c r="C23" s="117" t="s">
        <v>3003</v>
      </c>
      <c r="D23" s="116">
        <v>250</v>
      </c>
      <c r="E23" s="116">
        <v>3264</v>
      </c>
      <c r="F23" s="116" t="s">
        <v>1983</v>
      </c>
    </row>
    <row r="24" spans="1:6" ht="13.2">
      <c r="A24" s="116">
        <v>6304101</v>
      </c>
      <c r="B24" s="116">
        <v>71333</v>
      </c>
      <c r="C24" s="117" t="s">
        <v>3004</v>
      </c>
      <c r="D24" s="116">
        <v>371</v>
      </c>
      <c r="E24" s="116">
        <v>3264</v>
      </c>
      <c r="F24" s="116" t="s">
        <v>1983</v>
      </c>
    </row>
    <row r="25" spans="1:6" ht="13.2">
      <c r="A25" s="116">
        <v>6304201</v>
      </c>
      <c r="B25" s="116">
        <v>100590</v>
      </c>
      <c r="C25" s="117" t="s">
        <v>3005</v>
      </c>
      <c r="D25" s="116">
        <v>558</v>
      </c>
      <c r="E25" s="116">
        <v>1255</v>
      </c>
      <c r="F25" s="116" t="s">
        <v>1974</v>
      </c>
    </row>
    <row r="26" spans="1:6" ht="13.2">
      <c r="A26" s="116">
        <v>6304301</v>
      </c>
      <c r="B26" s="116">
        <v>100630</v>
      </c>
      <c r="C26" s="117" t="s">
        <v>3006</v>
      </c>
      <c r="D26" s="116">
        <v>2685</v>
      </c>
      <c r="E26" s="116">
        <v>1277</v>
      </c>
      <c r="F26" s="116" t="s">
        <v>1971</v>
      </c>
    </row>
    <row r="27" spans="1:6" ht="13.2">
      <c r="A27" s="116">
        <v>6304401</v>
      </c>
      <c r="B27" s="116">
        <v>100620</v>
      </c>
      <c r="C27" s="117" t="s">
        <v>3007</v>
      </c>
      <c r="D27" s="116">
        <v>2538</v>
      </c>
      <c r="E27" s="116">
        <v>1277</v>
      </c>
      <c r="F27" s="116" t="s">
        <v>1971</v>
      </c>
    </row>
    <row r="28" spans="1:6" ht="13.2">
      <c r="A28" s="116">
        <v>6304602</v>
      </c>
      <c r="B28" s="116">
        <v>71333</v>
      </c>
      <c r="C28" s="117" t="s">
        <v>3008</v>
      </c>
      <c r="D28" s="116">
        <v>397</v>
      </c>
      <c r="E28" s="116">
        <v>2007</v>
      </c>
      <c r="F28" s="116" t="s">
        <v>1979</v>
      </c>
    </row>
    <row r="29" spans="1:6" ht="13.2">
      <c r="A29" s="116">
        <v>6304901</v>
      </c>
      <c r="B29" s="116">
        <v>71390</v>
      </c>
      <c r="C29" s="117" t="s">
        <v>3009</v>
      </c>
      <c r="D29" s="116">
        <v>1400</v>
      </c>
      <c r="E29" s="116">
        <v>3846</v>
      </c>
      <c r="F29" s="116" t="s">
        <v>1983</v>
      </c>
    </row>
    <row r="30" spans="1:6" ht="13.2">
      <c r="A30" s="116">
        <v>6400101</v>
      </c>
      <c r="B30" s="116">
        <v>70190</v>
      </c>
      <c r="C30" s="117" t="s">
        <v>3010</v>
      </c>
      <c r="D30" s="116">
        <v>205</v>
      </c>
      <c r="E30" s="116">
        <v>539</v>
      </c>
      <c r="F30" s="116" t="s">
        <v>2001</v>
      </c>
    </row>
    <row r="31" spans="1:6" ht="13.2">
      <c r="A31" s="116">
        <v>6400303</v>
      </c>
      <c r="B31" s="116">
        <v>70610</v>
      </c>
      <c r="C31" s="117" t="s">
        <v>3011</v>
      </c>
      <c r="D31" s="116">
        <v>249</v>
      </c>
      <c r="E31" s="116">
        <v>799</v>
      </c>
      <c r="F31" s="116" t="s">
        <v>2003</v>
      </c>
    </row>
    <row r="32" spans="1:6" ht="13.2">
      <c r="A32" s="116">
        <v>6400304</v>
      </c>
      <c r="B32" s="116">
        <v>70610</v>
      </c>
      <c r="C32" s="117" t="s">
        <v>3012</v>
      </c>
      <c r="D32" s="116">
        <v>249</v>
      </c>
      <c r="E32" s="116">
        <v>799</v>
      </c>
      <c r="F32" s="116" t="s">
        <v>2003</v>
      </c>
    </row>
    <row r="33" spans="1:6" ht="13.2">
      <c r="A33" s="116">
        <v>6400401</v>
      </c>
      <c r="B33" s="116">
        <v>71420</v>
      </c>
      <c r="C33" s="117" t="s">
        <v>3013</v>
      </c>
      <c r="D33" s="116">
        <v>77</v>
      </c>
      <c r="E33" s="116">
        <v>454</v>
      </c>
      <c r="F33" s="116" t="s">
        <v>2006</v>
      </c>
    </row>
    <row r="34" spans="1:6" ht="13.2">
      <c r="A34" s="116">
        <v>6400501</v>
      </c>
      <c r="B34" s="116">
        <v>71490</v>
      </c>
      <c r="C34" s="117" t="s">
        <v>3014</v>
      </c>
      <c r="D34" s="116">
        <v>77</v>
      </c>
      <c r="E34" s="116">
        <v>486</v>
      </c>
      <c r="F34" s="116" t="s">
        <v>2006</v>
      </c>
    </row>
    <row r="35" spans="1:6" ht="13.2">
      <c r="A35" s="116">
        <v>6400508</v>
      </c>
      <c r="B35" s="116">
        <v>71490</v>
      </c>
      <c r="C35" s="117" t="s">
        <v>3015</v>
      </c>
      <c r="D35" s="116">
        <v>77</v>
      </c>
      <c r="E35" s="116">
        <v>486</v>
      </c>
      <c r="F35" s="116" t="s">
        <v>2006</v>
      </c>
    </row>
    <row r="36" spans="1:6" ht="13.2">
      <c r="A36" s="116">
        <v>6400601</v>
      </c>
      <c r="B36" s="116">
        <v>71410</v>
      </c>
      <c r="C36" s="117" t="s">
        <v>3016</v>
      </c>
      <c r="D36" s="116">
        <v>77</v>
      </c>
      <c r="E36" s="116">
        <v>451</v>
      </c>
      <c r="F36" s="116" t="s">
        <v>2006</v>
      </c>
    </row>
    <row r="37" spans="1:6" ht="13.2">
      <c r="A37" s="116">
        <v>6400609</v>
      </c>
      <c r="B37" s="116">
        <v>71410</v>
      </c>
      <c r="C37" s="117" t="s">
        <v>3017</v>
      </c>
      <c r="D37" s="116">
        <v>77</v>
      </c>
      <c r="E37" s="116">
        <v>451</v>
      </c>
      <c r="F37" s="116" t="s">
        <v>2006</v>
      </c>
    </row>
    <row r="38" spans="1:6" ht="13.2">
      <c r="A38" s="116">
        <v>6400610</v>
      </c>
      <c r="B38" s="116">
        <v>71410</v>
      </c>
      <c r="C38" s="117" t="s">
        <v>3018</v>
      </c>
      <c r="D38" s="116">
        <v>77</v>
      </c>
      <c r="E38" s="116">
        <v>451</v>
      </c>
      <c r="F38" s="116" t="s">
        <v>2006</v>
      </c>
    </row>
    <row r="39" spans="1:6" ht="13.2">
      <c r="A39" s="116">
        <v>6400701</v>
      </c>
      <c r="B39" s="116">
        <v>71490</v>
      </c>
      <c r="C39" s="117" t="s">
        <v>3019</v>
      </c>
      <c r="D39" s="116">
        <v>77</v>
      </c>
      <c r="E39" s="116">
        <v>486</v>
      </c>
      <c r="F39" s="116" t="s">
        <v>2006</v>
      </c>
    </row>
    <row r="40" spans="1:6" ht="13.2">
      <c r="A40" s="116">
        <v>6400713</v>
      </c>
      <c r="B40" s="116">
        <v>71490</v>
      </c>
      <c r="C40" s="117" t="s">
        <v>3020</v>
      </c>
      <c r="D40" s="116">
        <v>77</v>
      </c>
      <c r="E40" s="116">
        <v>486</v>
      </c>
      <c r="F40" s="116" t="s">
        <v>2006</v>
      </c>
    </row>
    <row r="41" spans="1:6" ht="13.2">
      <c r="A41" s="116">
        <v>6400802</v>
      </c>
      <c r="B41" s="116">
        <v>70190</v>
      </c>
      <c r="C41" s="117" t="s">
        <v>3021</v>
      </c>
      <c r="D41" s="116">
        <v>205</v>
      </c>
      <c r="E41" s="116">
        <v>539</v>
      </c>
      <c r="F41" s="116" t="s">
        <v>2001</v>
      </c>
    </row>
    <row r="42" spans="1:6" ht="13.2">
      <c r="A42" s="116">
        <v>6400908</v>
      </c>
      <c r="B42" s="116">
        <v>70610</v>
      </c>
      <c r="C42" s="117" t="s">
        <v>3022</v>
      </c>
      <c r="D42" s="116">
        <v>249</v>
      </c>
      <c r="E42" s="116">
        <v>799</v>
      </c>
      <c r="F42" s="116" t="s">
        <v>2003</v>
      </c>
    </row>
    <row r="43" spans="1:6" ht="13.2">
      <c r="A43" s="116">
        <v>6401001</v>
      </c>
      <c r="B43" s="116">
        <v>70690</v>
      </c>
      <c r="C43" s="117" t="s">
        <v>3023</v>
      </c>
      <c r="D43" s="116">
        <v>110</v>
      </c>
      <c r="E43" s="116">
        <v>799</v>
      </c>
      <c r="F43" s="116" t="s">
        <v>2016</v>
      </c>
    </row>
    <row r="44" spans="1:6" ht="13.2">
      <c r="A44" s="116">
        <v>6401101</v>
      </c>
      <c r="B44" s="116">
        <v>70690</v>
      </c>
      <c r="C44" s="117" t="s">
        <v>3024</v>
      </c>
      <c r="D44" s="116">
        <v>110</v>
      </c>
      <c r="E44" s="116">
        <v>799</v>
      </c>
      <c r="F44" s="116" t="s">
        <v>2016</v>
      </c>
    </row>
    <row r="45" spans="1:6" ht="13.2">
      <c r="A45" s="116">
        <v>6401201</v>
      </c>
      <c r="B45" s="116">
        <v>70610</v>
      </c>
      <c r="C45" s="117" t="s">
        <v>3025</v>
      </c>
      <c r="D45" s="116">
        <v>249</v>
      </c>
      <c r="E45" s="116">
        <v>799</v>
      </c>
      <c r="F45" s="116" t="s">
        <v>2003</v>
      </c>
    </row>
    <row r="46" spans="1:6" ht="13.2">
      <c r="A46" s="116">
        <v>6401301</v>
      </c>
      <c r="B46" s="116">
        <v>70610</v>
      </c>
      <c r="C46" s="117" t="s">
        <v>3026</v>
      </c>
      <c r="D46" s="116">
        <v>249</v>
      </c>
      <c r="E46" s="116">
        <v>799</v>
      </c>
      <c r="F46" s="116" t="s">
        <v>2003</v>
      </c>
    </row>
    <row r="47" spans="1:6" ht="13.2">
      <c r="A47" s="116">
        <v>6401601</v>
      </c>
      <c r="B47" s="116">
        <v>70999</v>
      </c>
      <c r="C47" s="117" t="s">
        <v>3027</v>
      </c>
      <c r="D47" s="116">
        <v>335</v>
      </c>
      <c r="E47" s="116">
        <v>799</v>
      </c>
      <c r="F47" s="116" t="s">
        <v>2020</v>
      </c>
    </row>
    <row r="48" spans="1:6" ht="13.2">
      <c r="A48" s="116">
        <v>64017</v>
      </c>
      <c r="B48" s="116">
        <v>91010</v>
      </c>
      <c r="C48" s="117" t="s">
        <v>3028</v>
      </c>
      <c r="D48" s="116">
        <v>330</v>
      </c>
      <c r="E48" s="116">
        <v>8159</v>
      </c>
      <c r="F48" s="116" t="s">
        <v>2022</v>
      </c>
    </row>
    <row r="49" spans="1:6" ht="13.2">
      <c r="A49" s="116">
        <v>6401801</v>
      </c>
      <c r="B49" s="116">
        <v>70191</v>
      </c>
      <c r="C49" s="117" t="s">
        <v>3029</v>
      </c>
      <c r="D49" s="116">
        <v>212</v>
      </c>
      <c r="E49" s="116">
        <v>539</v>
      </c>
      <c r="F49" s="116" t="s">
        <v>2001</v>
      </c>
    </row>
    <row r="50" spans="1:6" ht="13.2">
      <c r="A50" s="116">
        <v>6500101</v>
      </c>
      <c r="B50" s="116">
        <v>200799</v>
      </c>
      <c r="C50" s="117" t="s">
        <v>3030</v>
      </c>
      <c r="D50" s="116">
        <v>2948</v>
      </c>
      <c r="E50" s="116">
        <v>1247</v>
      </c>
      <c r="F50" s="116" t="s">
        <v>2025</v>
      </c>
    </row>
    <row r="51" spans="1:6" ht="13.2">
      <c r="A51" s="116">
        <v>6500104</v>
      </c>
      <c r="B51" s="116">
        <v>190110</v>
      </c>
      <c r="C51" s="117" t="s">
        <v>3031</v>
      </c>
      <c r="D51" s="116">
        <v>2004</v>
      </c>
      <c r="E51" s="116">
        <v>1647</v>
      </c>
      <c r="F51" s="116" t="s">
        <v>2027</v>
      </c>
    </row>
    <row r="52" spans="1:6" ht="13.2">
      <c r="A52" s="116">
        <v>6500105</v>
      </c>
      <c r="B52" s="116">
        <v>190110</v>
      </c>
      <c r="C52" s="117" t="s">
        <v>3032</v>
      </c>
      <c r="D52" s="116">
        <v>2004</v>
      </c>
      <c r="E52" s="116">
        <v>1647</v>
      </c>
      <c r="F52" s="116" t="s">
        <v>2027</v>
      </c>
    </row>
    <row r="53" spans="1:6" ht="13.2">
      <c r="A53" s="116">
        <v>6500202</v>
      </c>
      <c r="B53" s="116">
        <v>190220</v>
      </c>
      <c r="C53" s="117" t="s">
        <v>3033</v>
      </c>
      <c r="D53" s="116">
        <v>9525</v>
      </c>
      <c r="E53" s="116">
        <v>1730</v>
      </c>
      <c r="F53" s="116" t="s">
        <v>2030</v>
      </c>
    </row>
    <row r="54" spans="1:6" ht="13.2">
      <c r="A54" s="116">
        <v>6500301</v>
      </c>
      <c r="B54" s="116">
        <v>110412</v>
      </c>
      <c r="C54" s="117" t="s">
        <v>3034</v>
      </c>
      <c r="D54" s="116">
        <v>733</v>
      </c>
      <c r="E54" s="116">
        <v>4557</v>
      </c>
      <c r="F54" s="116" t="s">
        <v>1971</v>
      </c>
    </row>
    <row r="55" spans="1:6" ht="13.2">
      <c r="A55" s="116">
        <v>6500401</v>
      </c>
      <c r="B55" s="116">
        <v>110412</v>
      </c>
      <c r="C55" s="117" t="s">
        <v>3035</v>
      </c>
      <c r="D55" s="116">
        <v>733</v>
      </c>
      <c r="E55" s="116">
        <v>4557</v>
      </c>
      <c r="F55" s="116" t="s">
        <v>1971</v>
      </c>
    </row>
    <row r="56" spans="1:6" ht="13.2">
      <c r="A56" s="116">
        <v>6500601</v>
      </c>
      <c r="B56" s="116">
        <v>110313</v>
      </c>
      <c r="C56" s="117" t="s">
        <v>3036</v>
      </c>
      <c r="D56" s="116">
        <v>578</v>
      </c>
      <c r="E56" s="116">
        <v>1543</v>
      </c>
      <c r="F56" s="116" t="s">
        <v>1976</v>
      </c>
    </row>
    <row r="57" spans="1:6" ht="13.2">
      <c r="A57" s="116">
        <v>6500603</v>
      </c>
      <c r="B57" s="116">
        <v>110220</v>
      </c>
      <c r="C57" s="117" t="s">
        <v>3037</v>
      </c>
      <c r="D57" s="116">
        <v>578</v>
      </c>
      <c r="E57" s="116">
        <v>1790</v>
      </c>
      <c r="F57" s="116" t="s">
        <v>1976</v>
      </c>
    </row>
    <row r="58" spans="1:6" ht="13.2">
      <c r="A58" s="116">
        <v>6500608</v>
      </c>
      <c r="B58" s="116">
        <v>190520</v>
      </c>
      <c r="C58" s="117" t="s">
        <v>3038</v>
      </c>
      <c r="D58" s="116">
        <v>2572</v>
      </c>
      <c r="E58" s="116">
        <v>2039</v>
      </c>
      <c r="F58" s="116" t="s">
        <v>2036</v>
      </c>
    </row>
    <row r="59" spans="1:6" ht="13.2">
      <c r="A59" s="116">
        <v>6500609</v>
      </c>
      <c r="B59" s="116">
        <v>190520</v>
      </c>
      <c r="C59" s="117" t="s">
        <v>3039</v>
      </c>
      <c r="D59" s="116">
        <v>2610</v>
      </c>
      <c r="E59" s="116">
        <v>2039</v>
      </c>
      <c r="F59" s="116" t="s">
        <v>2038</v>
      </c>
    </row>
    <row r="60" spans="1:6" ht="13.2">
      <c r="A60" s="116">
        <v>6500613</v>
      </c>
      <c r="B60" s="116">
        <v>110220</v>
      </c>
      <c r="C60" s="117" t="s">
        <v>3040</v>
      </c>
      <c r="D60" s="116">
        <v>578</v>
      </c>
      <c r="E60" s="116">
        <v>1790</v>
      </c>
      <c r="F60" s="116" t="s">
        <v>1976</v>
      </c>
    </row>
    <row r="61" spans="1:6" ht="13.2">
      <c r="A61" s="116">
        <v>6500702</v>
      </c>
      <c r="B61" s="116">
        <v>110812</v>
      </c>
      <c r="C61" s="117" t="s">
        <v>3041</v>
      </c>
      <c r="D61" s="116">
        <v>578</v>
      </c>
      <c r="E61" s="116">
        <v>2387</v>
      </c>
      <c r="F61" s="116" t="s">
        <v>1976</v>
      </c>
    </row>
    <row r="62" spans="1:6" ht="13.2">
      <c r="A62" s="116">
        <v>6500705</v>
      </c>
      <c r="B62" s="116">
        <v>110819</v>
      </c>
      <c r="C62" s="117" t="s">
        <v>3042</v>
      </c>
      <c r="D62" s="116">
        <v>578</v>
      </c>
      <c r="E62" s="116">
        <v>2387</v>
      </c>
      <c r="F62" s="116" t="s">
        <v>1976</v>
      </c>
    </row>
    <row r="63" spans="1:6" ht="13.2">
      <c r="A63" s="116">
        <v>6500801</v>
      </c>
      <c r="B63" s="116">
        <v>110220</v>
      </c>
      <c r="C63" s="117" t="s">
        <v>3043</v>
      </c>
      <c r="D63" s="116">
        <v>578</v>
      </c>
      <c r="E63" s="116">
        <v>1790</v>
      </c>
      <c r="F63" s="116" t="s">
        <v>1976</v>
      </c>
    </row>
    <row r="64" spans="1:6" ht="13.2">
      <c r="A64" s="116">
        <v>6500802</v>
      </c>
      <c r="B64" s="116">
        <v>110220</v>
      </c>
      <c r="C64" s="117" t="s">
        <v>3044</v>
      </c>
      <c r="D64" s="116">
        <v>578</v>
      </c>
      <c r="E64" s="116">
        <v>1790</v>
      </c>
      <c r="F64" s="116" t="s">
        <v>1976</v>
      </c>
    </row>
    <row r="65" spans="1:6" ht="13.2">
      <c r="A65" s="116">
        <v>6500902</v>
      </c>
      <c r="B65" s="116">
        <v>190410</v>
      </c>
      <c r="C65" s="117" t="s">
        <v>3045</v>
      </c>
      <c r="D65" s="116">
        <v>2903</v>
      </c>
      <c r="E65" s="116">
        <v>1772</v>
      </c>
      <c r="F65" s="116" t="s">
        <v>2027</v>
      </c>
    </row>
    <row r="66" spans="1:6" ht="13.2">
      <c r="A66" s="116">
        <v>6500903</v>
      </c>
      <c r="B66" s="116">
        <v>190410</v>
      </c>
      <c r="C66" s="117" t="s">
        <v>3046</v>
      </c>
      <c r="D66" s="116">
        <v>2903</v>
      </c>
      <c r="E66" s="116">
        <v>1772</v>
      </c>
      <c r="F66" s="116" t="s">
        <v>2027</v>
      </c>
    </row>
    <row r="67" spans="1:6" ht="13.2">
      <c r="A67" s="116">
        <v>65010</v>
      </c>
      <c r="B67" s="116">
        <v>110100</v>
      </c>
      <c r="C67" s="117" t="s">
        <v>3047</v>
      </c>
      <c r="D67" s="116">
        <v>443</v>
      </c>
      <c r="E67" s="116">
        <v>1518</v>
      </c>
      <c r="F67" s="116" t="s">
        <v>2044</v>
      </c>
    </row>
    <row r="68" spans="1:6" ht="13.2">
      <c r="A68" s="116">
        <v>65011</v>
      </c>
      <c r="B68" s="116">
        <v>110100</v>
      </c>
      <c r="C68" s="117" t="s">
        <v>3048</v>
      </c>
      <c r="D68" s="116">
        <v>443</v>
      </c>
      <c r="E68" s="116">
        <v>1518</v>
      </c>
      <c r="F68" s="116" t="s">
        <v>2044</v>
      </c>
    </row>
    <row r="69" spans="1:6" ht="13.2">
      <c r="A69" s="116">
        <v>6501301</v>
      </c>
      <c r="B69" s="116">
        <v>110430</v>
      </c>
      <c r="C69" s="117" t="s">
        <v>3049</v>
      </c>
      <c r="D69" s="116">
        <v>733</v>
      </c>
      <c r="E69" s="116">
        <v>4557</v>
      </c>
      <c r="F69" s="116" t="s">
        <v>1971</v>
      </c>
    </row>
    <row r="70" spans="1:6" ht="13.2">
      <c r="A70" s="116">
        <v>6501303</v>
      </c>
      <c r="B70" s="116">
        <v>110430</v>
      </c>
      <c r="C70" s="117" t="s">
        <v>3050</v>
      </c>
      <c r="D70" s="116">
        <v>733</v>
      </c>
      <c r="E70" s="116">
        <v>4557</v>
      </c>
      <c r="F70" s="116" t="s">
        <v>1971</v>
      </c>
    </row>
    <row r="71" spans="1:6" ht="13.2">
      <c r="A71" s="116">
        <v>6501304</v>
      </c>
      <c r="B71" s="116">
        <v>110430</v>
      </c>
      <c r="C71" s="117" t="s">
        <v>3051</v>
      </c>
      <c r="D71" s="116">
        <v>733</v>
      </c>
      <c r="E71" s="116">
        <v>4557</v>
      </c>
      <c r="F71" s="116" t="s">
        <v>1971</v>
      </c>
    </row>
    <row r="72" spans="1:6" ht="13.2">
      <c r="A72" s="116">
        <v>6501401</v>
      </c>
      <c r="B72" s="116">
        <v>110620</v>
      </c>
      <c r="C72" s="117" t="s">
        <v>3052</v>
      </c>
      <c r="D72" s="116">
        <v>594</v>
      </c>
      <c r="E72" s="116">
        <v>1654</v>
      </c>
      <c r="F72" s="116" t="s">
        <v>1976</v>
      </c>
    </row>
    <row r="73" spans="1:6" ht="13.2">
      <c r="A73" s="116">
        <v>6501410</v>
      </c>
      <c r="B73" s="116">
        <v>110620</v>
      </c>
      <c r="C73" s="117" t="s">
        <v>3053</v>
      </c>
      <c r="D73" s="116">
        <v>594</v>
      </c>
      <c r="E73" s="116">
        <v>1966</v>
      </c>
      <c r="F73" s="116" t="s">
        <v>1976</v>
      </c>
    </row>
    <row r="74" spans="1:6" ht="13.2">
      <c r="A74" s="116">
        <v>6501415</v>
      </c>
      <c r="B74" s="116">
        <v>110620</v>
      </c>
      <c r="C74" s="117" t="s">
        <v>3054</v>
      </c>
      <c r="D74" s="116">
        <v>594</v>
      </c>
      <c r="E74" s="116">
        <v>1966</v>
      </c>
      <c r="F74" s="116" t="s">
        <v>1976</v>
      </c>
    </row>
    <row r="75" spans="1:6" ht="13.2">
      <c r="A75" s="116">
        <v>6501416</v>
      </c>
      <c r="B75" s="116">
        <v>110430</v>
      </c>
      <c r="C75" s="117" t="s">
        <v>3055</v>
      </c>
      <c r="D75" s="116">
        <v>733</v>
      </c>
      <c r="E75" s="116">
        <v>4557</v>
      </c>
      <c r="F75" s="116" t="s">
        <v>1971</v>
      </c>
    </row>
    <row r="76" spans="1:6" ht="13.2">
      <c r="A76" s="116">
        <v>6501502</v>
      </c>
      <c r="B76" s="116">
        <v>110620</v>
      </c>
      <c r="C76" s="117" t="s">
        <v>3056</v>
      </c>
      <c r="D76" s="116">
        <v>594</v>
      </c>
      <c r="E76" s="116">
        <v>1966</v>
      </c>
      <c r="F76" s="116" t="s">
        <v>1976</v>
      </c>
    </row>
    <row r="77" spans="1:6" ht="13.2">
      <c r="A77" s="116">
        <v>6501510</v>
      </c>
      <c r="B77" s="116">
        <v>110620</v>
      </c>
      <c r="C77" s="117" t="s">
        <v>3057</v>
      </c>
      <c r="D77" s="116">
        <v>594</v>
      </c>
      <c r="E77" s="116">
        <v>2278</v>
      </c>
      <c r="F77" s="116" t="s">
        <v>1976</v>
      </c>
    </row>
    <row r="78" spans="1:6" ht="13.2">
      <c r="A78" s="116">
        <v>6501511</v>
      </c>
      <c r="B78" s="116">
        <v>110620</v>
      </c>
      <c r="C78" s="117" t="s">
        <v>3058</v>
      </c>
      <c r="D78" s="116">
        <v>594</v>
      </c>
      <c r="E78" s="116">
        <v>1966</v>
      </c>
      <c r="F78" s="116" t="s">
        <v>1976</v>
      </c>
    </row>
    <row r="79" spans="1:6" ht="13.2">
      <c r="A79" s="116">
        <v>6501516</v>
      </c>
      <c r="B79" s="116">
        <v>110620</v>
      </c>
      <c r="C79" s="117" t="s">
        <v>3059</v>
      </c>
      <c r="D79" s="116">
        <v>594</v>
      </c>
      <c r="E79" s="116">
        <v>1966</v>
      </c>
      <c r="F79" s="116" t="s">
        <v>1976</v>
      </c>
    </row>
    <row r="80" spans="1:6" ht="13.2">
      <c r="A80" s="116">
        <v>6502001</v>
      </c>
      <c r="B80" s="116">
        <v>190110</v>
      </c>
      <c r="C80" s="117" t="s">
        <v>3060</v>
      </c>
      <c r="D80" s="116">
        <v>2004</v>
      </c>
      <c r="E80" s="116">
        <v>1647</v>
      </c>
      <c r="F80" s="116" t="s">
        <v>2027</v>
      </c>
    </row>
    <row r="81" spans="1:6" ht="13.2">
      <c r="A81" s="116">
        <v>6502101</v>
      </c>
      <c r="B81" s="116">
        <v>190420</v>
      </c>
      <c r="C81" s="117" t="s">
        <v>3061</v>
      </c>
      <c r="D81" s="116">
        <v>2903</v>
      </c>
      <c r="E81" s="116">
        <v>1772</v>
      </c>
      <c r="F81" s="116" t="s">
        <v>2027</v>
      </c>
    </row>
    <row r="82" spans="1:6" ht="13.2">
      <c r="A82" s="116">
        <v>6502102</v>
      </c>
      <c r="B82" s="116">
        <v>190410</v>
      </c>
      <c r="C82" s="117" t="s">
        <v>3062</v>
      </c>
      <c r="D82" s="116">
        <v>2903</v>
      </c>
      <c r="E82" s="116">
        <v>1772</v>
      </c>
      <c r="F82" s="116" t="s">
        <v>2027</v>
      </c>
    </row>
    <row r="83" spans="1:6" ht="13.2">
      <c r="A83" s="116">
        <v>6502105</v>
      </c>
      <c r="B83" s="116">
        <v>190410</v>
      </c>
      <c r="C83" s="117" t="s">
        <v>3063</v>
      </c>
      <c r="D83" s="116">
        <v>2903</v>
      </c>
      <c r="E83" s="116">
        <v>1772</v>
      </c>
      <c r="F83" s="116" t="s">
        <v>2027</v>
      </c>
    </row>
    <row r="84" spans="1:6" ht="13.2">
      <c r="A84" s="116">
        <v>6502403</v>
      </c>
      <c r="B84" s="116">
        <v>190590</v>
      </c>
      <c r="C84" s="117" t="s">
        <v>3064</v>
      </c>
      <c r="D84" s="116">
        <v>5600</v>
      </c>
      <c r="E84" s="116">
        <v>1270</v>
      </c>
      <c r="F84" s="116" t="s">
        <v>2062</v>
      </c>
    </row>
    <row r="85" spans="1:6" ht="13.2">
      <c r="A85" s="116">
        <v>6502501</v>
      </c>
      <c r="B85" s="116">
        <v>120810</v>
      </c>
      <c r="C85" s="117" t="s">
        <v>3065</v>
      </c>
      <c r="D85" s="116">
        <v>3240</v>
      </c>
      <c r="E85" s="116">
        <v>2256</v>
      </c>
      <c r="F85" s="116" t="s">
        <v>1979</v>
      </c>
    </row>
    <row r="86" spans="1:6" ht="13.2">
      <c r="A86" s="116">
        <v>6502603</v>
      </c>
      <c r="B86" s="116">
        <v>190220</v>
      </c>
      <c r="C86" s="117" t="s">
        <v>3066</v>
      </c>
      <c r="D86" s="116">
        <v>9525</v>
      </c>
      <c r="E86" s="116">
        <v>1730</v>
      </c>
      <c r="F86" s="116" t="s">
        <v>2030</v>
      </c>
    </row>
    <row r="87" spans="1:6" ht="13.2">
      <c r="A87" s="116">
        <v>65029</v>
      </c>
      <c r="B87" s="116">
        <v>190220</v>
      </c>
      <c r="C87" s="117" t="s">
        <v>3067</v>
      </c>
      <c r="D87" s="116">
        <v>9525</v>
      </c>
      <c r="E87" s="116">
        <v>1730</v>
      </c>
      <c r="F87" s="116" t="s">
        <v>2030</v>
      </c>
    </row>
    <row r="88" spans="1:6" ht="13.2">
      <c r="A88" s="116">
        <v>6503401</v>
      </c>
      <c r="B88" s="116">
        <v>190211</v>
      </c>
      <c r="C88" s="117" t="s">
        <v>3068</v>
      </c>
      <c r="D88" s="116">
        <v>1368</v>
      </c>
      <c r="E88" s="116">
        <v>1730</v>
      </c>
      <c r="F88" s="116" t="s">
        <v>2030</v>
      </c>
    </row>
    <row r="89" spans="1:6" ht="13.2">
      <c r="A89" s="116">
        <v>6503601</v>
      </c>
      <c r="B89" s="116">
        <v>120810</v>
      </c>
      <c r="C89" s="117" t="s">
        <v>3069</v>
      </c>
      <c r="D89" s="116">
        <v>3240</v>
      </c>
      <c r="E89" s="116">
        <v>2000</v>
      </c>
      <c r="F89" s="116" t="s">
        <v>1979</v>
      </c>
    </row>
    <row r="90" spans="1:6" ht="13.2">
      <c r="A90" s="116">
        <v>6503603</v>
      </c>
      <c r="B90" s="116">
        <v>120810</v>
      </c>
      <c r="C90" s="117" t="s">
        <v>3070</v>
      </c>
      <c r="D90" s="116">
        <v>4100</v>
      </c>
      <c r="E90" s="116">
        <v>2256</v>
      </c>
      <c r="F90" s="116" t="s">
        <v>1979</v>
      </c>
    </row>
    <row r="91" spans="1:6" ht="13.2">
      <c r="A91" s="116">
        <v>6503604</v>
      </c>
      <c r="B91" s="116">
        <v>120810</v>
      </c>
      <c r="C91" s="117" t="s">
        <v>3071</v>
      </c>
      <c r="D91" s="116">
        <v>3240</v>
      </c>
      <c r="E91" s="116">
        <v>586</v>
      </c>
      <c r="F91" s="116" t="s">
        <v>1979</v>
      </c>
    </row>
    <row r="92" spans="1:6" ht="13.2">
      <c r="A92" s="116">
        <v>6503605</v>
      </c>
      <c r="B92" s="116">
        <v>120810</v>
      </c>
      <c r="C92" s="117" t="s">
        <v>3072</v>
      </c>
      <c r="D92" s="116">
        <v>4900</v>
      </c>
      <c r="E92" s="116">
        <v>3855</v>
      </c>
      <c r="F92" s="116" t="s">
        <v>1979</v>
      </c>
    </row>
    <row r="93" spans="1:6" ht="13.2">
      <c r="A93" s="116">
        <v>65037</v>
      </c>
      <c r="B93" s="116">
        <v>120220</v>
      </c>
      <c r="C93" s="117" t="s">
        <v>3073</v>
      </c>
      <c r="D93" s="116">
        <v>1333</v>
      </c>
      <c r="E93" s="116">
        <v>2704</v>
      </c>
      <c r="F93" s="116" t="s">
        <v>1979</v>
      </c>
    </row>
    <row r="94" spans="1:6" ht="13.2">
      <c r="A94" s="116">
        <v>6503702</v>
      </c>
      <c r="B94" s="116">
        <v>120220</v>
      </c>
      <c r="C94" s="117" t="s">
        <v>3074</v>
      </c>
      <c r="D94" s="116">
        <v>1333</v>
      </c>
      <c r="E94" s="116">
        <v>2704</v>
      </c>
      <c r="F94" s="116" t="s">
        <v>1979</v>
      </c>
    </row>
    <row r="95" spans="1:6" ht="13.2">
      <c r="A95" s="116">
        <v>6504101</v>
      </c>
      <c r="B95" s="116">
        <v>190410</v>
      </c>
      <c r="C95" s="117" t="s">
        <v>3075</v>
      </c>
      <c r="D95" s="116">
        <v>2903</v>
      </c>
      <c r="E95" s="116">
        <v>1772</v>
      </c>
      <c r="F95" s="116" t="s">
        <v>2027</v>
      </c>
    </row>
    <row r="96" spans="1:6" ht="13.2">
      <c r="A96" s="116">
        <v>6504601</v>
      </c>
      <c r="B96" s="116">
        <v>190410</v>
      </c>
      <c r="C96" s="117" t="s">
        <v>3076</v>
      </c>
      <c r="D96" s="116">
        <v>2903</v>
      </c>
      <c r="E96" s="116">
        <v>1772</v>
      </c>
      <c r="F96" s="116" t="s">
        <v>2027</v>
      </c>
    </row>
    <row r="97" spans="1:6" ht="13.2">
      <c r="A97" s="116">
        <v>6504701</v>
      </c>
      <c r="B97" s="116">
        <v>190420</v>
      </c>
      <c r="C97" s="117" t="s">
        <v>3077</v>
      </c>
      <c r="D97" s="116">
        <v>2903</v>
      </c>
      <c r="E97" s="116">
        <v>1772</v>
      </c>
      <c r="F97" s="116" t="s">
        <v>2027</v>
      </c>
    </row>
    <row r="98" spans="1:6" ht="13.2">
      <c r="A98" s="116">
        <v>6504801</v>
      </c>
      <c r="B98" s="116">
        <v>190230</v>
      </c>
      <c r="C98" s="117" t="s">
        <v>3078</v>
      </c>
      <c r="D98" s="116">
        <v>2421</v>
      </c>
      <c r="E98" s="116">
        <v>1730</v>
      </c>
      <c r="F98" s="116" t="s">
        <v>2030</v>
      </c>
    </row>
    <row r="99" spans="1:6" ht="13.2">
      <c r="A99" s="116">
        <v>6504802</v>
      </c>
      <c r="B99" s="116">
        <v>190230</v>
      </c>
      <c r="C99" s="117" t="s">
        <v>3079</v>
      </c>
      <c r="D99" s="116">
        <v>2421</v>
      </c>
      <c r="E99" s="116">
        <v>1730</v>
      </c>
      <c r="F99" s="116" t="s">
        <v>2030</v>
      </c>
    </row>
    <row r="100" spans="1:6" ht="13.2">
      <c r="A100" s="116">
        <v>6505101</v>
      </c>
      <c r="B100" s="116">
        <v>220290</v>
      </c>
      <c r="C100" s="117" t="s">
        <v>3080</v>
      </c>
      <c r="D100" s="116">
        <v>794</v>
      </c>
      <c r="E100" s="116">
        <v>1519</v>
      </c>
      <c r="F100" s="116" t="s">
        <v>2079</v>
      </c>
    </row>
    <row r="101" spans="1:6" ht="13.2">
      <c r="A101" s="116">
        <v>6505601</v>
      </c>
      <c r="B101" s="116">
        <v>120810</v>
      </c>
      <c r="C101" s="117" t="s">
        <v>3081</v>
      </c>
      <c r="D101" s="116">
        <v>2400</v>
      </c>
      <c r="E101" s="116">
        <v>2256</v>
      </c>
      <c r="F101" s="116" t="s">
        <v>1979</v>
      </c>
    </row>
    <row r="102" spans="1:6" ht="13.2">
      <c r="A102" s="116">
        <v>6505603</v>
      </c>
      <c r="B102" s="116">
        <v>120810</v>
      </c>
      <c r="C102" s="117" t="s">
        <v>3082</v>
      </c>
      <c r="D102" s="116">
        <v>3240</v>
      </c>
      <c r="E102" s="116">
        <v>2256</v>
      </c>
      <c r="F102" s="116" t="s">
        <v>1979</v>
      </c>
    </row>
    <row r="103" spans="1:6" ht="13.2">
      <c r="A103" s="116">
        <v>6505701</v>
      </c>
      <c r="B103" s="116">
        <v>220290</v>
      </c>
      <c r="C103" s="117" t="s">
        <v>3083</v>
      </c>
      <c r="D103" s="116">
        <v>794</v>
      </c>
      <c r="E103" s="116">
        <v>1519</v>
      </c>
      <c r="F103" s="116" t="s">
        <v>2079</v>
      </c>
    </row>
    <row r="104" spans="1:6" ht="13.2">
      <c r="A104" s="116">
        <v>6505902</v>
      </c>
      <c r="B104" s="116">
        <v>190410</v>
      </c>
      <c r="C104" s="117" t="s">
        <v>3084</v>
      </c>
      <c r="D104" s="116">
        <v>2903</v>
      </c>
      <c r="E104" s="116">
        <v>1772</v>
      </c>
      <c r="F104" s="116" t="s">
        <v>2027</v>
      </c>
    </row>
    <row r="105" spans="1:6" ht="13.2">
      <c r="A105" s="116">
        <v>6506003</v>
      </c>
      <c r="B105" s="116">
        <v>190590</v>
      </c>
      <c r="C105" s="117" t="s">
        <v>3085</v>
      </c>
      <c r="D105" s="116">
        <v>3800</v>
      </c>
      <c r="E105" s="116">
        <v>1270</v>
      </c>
      <c r="F105" s="116" t="s">
        <v>2062</v>
      </c>
    </row>
    <row r="106" spans="1:6" ht="13.2">
      <c r="A106" s="116">
        <v>6506302</v>
      </c>
      <c r="B106" s="116">
        <v>190230</v>
      </c>
      <c r="C106" s="117" t="s">
        <v>3086</v>
      </c>
      <c r="D106" s="116">
        <v>2421</v>
      </c>
      <c r="E106" s="116">
        <v>1730</v>
      </c>
      <c r="F106" s="116" t="s">
        <v>2030</v>
      </c>
    </row>
    <row r="107" spans="1:6" ht="13.2">
      <c r="A107" s="116">
        <v>6506401</v>
      </c>
      <c r="B107" s="116">
        <v>120810</v>
      </c>
      <c r="C107" s="117" t="s">
        <v>3087</v>
      </c>
      <c r="D107" s="116">
        <v>3240</v>
      </c>
      <c r="E107" s="116">
        <v>2256</v>
      </c>
      <c r="F107" s="116" t="s">
        <v>1979</v>
      </c>
    </row>
    <row r="108" spans="1:6" ht="13.2">
      <c r="A108" s="116">
        <v>6600101</v>
      </c>
      <c r="B108" s="116">
        <v>80119</v>
      </c>
      <c r="C108" s="117" t="s">
        <v>3088</v>
      </c>
      <c r="D108" s="116">
        <v>1853</v>
      </c>
      <c r="E108" s="116">
        <v>928</v>
      </c>
      <c r="F108" s="116" t="s">
        <v>2088</v>
      </c>
    </row>
    <row r="109" spans="1:6" ht="13.2">
      <c r="A109" s="116">
        <v>66002</v>
      </c>
      <c r="B109" s="116">
        <v>80111</v>
      </c>
      <c r="C109" s="117" t="s">
        <v>3089</v>
      </c>
      <c r="D109" s="116">
        <v>1853</v>
      </c>
      <c r="E109" s="116">
        <v>928</v>
      </c>
      <c r="F109" s="116" t="s">
        <v>2088</v>
      </c>
    </row>
    <row r="110" spans="1:6" ht="13.2">
      <c r="A110" s="116">
        <v>6600301</v>
      </c>
      <c r="B110" s="116">
        <v>80240</v>
      </c>
      <c r="C110" s="117" t="s">
        <v>3090</v>
      </c>
      <c r="D110" s="116">
        <v>2296</v>
      </c>
      <c r="E110" s="116">
        <v>10841</v>
      </c>
      <c r="F110" s="116" t="s">
        <v>2090</v>
      </c>
    </row>
    <row r="111" spans="1:6" ht="13.2">
      <c r="A111" s="116">
        <v>6600401</v>
      </c>
      <c r="B111" s="116">
        <v>80290</v>
      </c>
      <c r="C111" s="117" t="s">
        <v>3091</v>
      </c>
      <c r="D111" s="116">
        <v>2296</v>
      </c>
      <c r="E111" s="116">
        <v>10841</v>
      </c>
      <c r="F111" s="116" t="s">
        <v>2090</v>
      </c>
    </row>
    <row r="112" spans="1:6" ht="13.2">
      <c r="A112" s="116">
        <v>6600501</v>
      </c>
      <c r="B112" s="116">
        <v>80212</v>
      </c>
      <c r="C112" s="117" t="s">
        <v>3092</v>
      </c>
      <c r="D112" s="116">
        <v>2670</v>
      </c>
      <c r="E112" s="116">
        <v>10841</v>
      </c>
      <c r="F112" s="116" t="s">
        <v>2090</v>
      </c>
    </row>
    <row r="113" spans="1:6" ht="13.2">
      <c r="A113" s="116">
        <v>6600601</v>
      </c>
      <c r="B113" s="116">
        <v>80222</v>
      </c>
      <c r="C113" s="117" t="s">
        <v>3093</v>
      </c>
      <c r="D113" s="116">
        <v>2296</v>
      </c>
      <c r="E113" s="116">
        <v>10841</v>
      </c>
      <c r="F113" s="116" t="s">
        <v>2090</v>
      </c>
    </row>
    <row r="114" spans="1:6" ht="13.2">
      <c r="A114" s="116">
        <v>6600701</v>
      </c>
      <c r="B114" s="116">
        <v>80121</v>
      </c>
      <c r="C114" s="117" t="s">
        <v>3094</v>
      </c>
      <c r="D114" s="116">
        <v>1853</v>
      </c>
      <c r="E114" s="116">
        <v>9070</v>
      </c>
      <c r="F114" s="116" t="s">
        <v>2088</v>
      </c>
    </row>
    <row r="115" spans="1:6" ht="13.2">
      <c r="A115" s="116">
        <v>6600801</v>
      </c>
      <c r="B115" s="116">
        <v>80131</v>
      </c>
      <c r="C115" s="117" t="s">
        <v>3095</v>
      </c>
      <c r="D115" s="116">
        <v>1853</v>
      </c>
      <c r="E115" s="116">
        <v>33495</v>
      </c>
      <c r="F115" s="116" t="s">
        <v>2088</v>
      </c>
    </row>
    <row r="116" spans="1:6" ht="13.2">
      <c r="A116" s="116">
        <v>6600912</v>
      </c>
      <c r="B116" s="116">
        <v>80112</v>
      </c>
      <c r="C116" s="117" t="s">
        <v>3096</v>
      </c>
      <c r="D116" s="116">
        <v>1853</v>
      </c>
      <c r="E116" s="116">
        <v>928</v>
      </c>
      <c r="F116" s="116" t="s">
        <v>2088</v>
      </c>
    </row>
    <row r="117" spans="1:6" ht="13.2">
      <c r="A117" s="116">
        <v>6601108</v>
      </c>
      <c r="B117" s="116">
        <v>80112</v>
      </c>
      <c r="C117" s="117" t="s">
        <v>3097</v>
      </c>
      <c r="D117" s="116">
        <v>1853</v>
      </c>
      <c r="E117" s="116">
        <v>928</v>
      </c>
      <c r="F117" s="116" t="s">
        <v>2088</v>
      </c>
    </row>
    <row r="118" spans="1:6" ht="13.2">
      <c r="A118" s="116">
        <v>6601208</v>
      </c>
      <c r="B118" s="116">
        <v>80112</v>
      </c>
      <c r="C118" s="117" t="s">
        <v>3098</v>
      </c>
      <c r="D118" s="116">
        <v>1853</v>
      </c>
      <c r="E118" s="116">
        <v>928</v>
      </c>
      <c r="F118" s="116" t="s">
        <v>2088</v>
      </c>
    </row>
    <row r="119" spans="1:6" ht="13.2">
      <c r="A119" s="116">
        <v>6601501</v>
      </c>
      <c r="B119" s="116">
        <v>80232</v>
      </c>
      <c r="C119" s="117" t="s">
        <v>3099</v>
      </c>
      <c r="D119" s="116">
        <v>1631</v>
      </c>
      <c r="E119" s="116">
        <v>10841</v>
      </c>
      <c r="F119" s="116" t="s">
        <v>2090</v>
      </c>
    </row>
    <row r="120" spans="1:6" ht="13.2">
      <c r="A120" s="116">
        <v>6601707</v>
      </c>
      <c r="B120" s="116">
        <v>80112</v>
      </c>
      <c r="C120" s="117" t="s">
        <v>3100</v>
      </c>
      <c r="D120" s="116">
        <v>1853</v>
      </c>
      <c r="E120" s="116">
        <v>928</v>
      </c>
      <c r="F120" s="116" t="s">
        <v>2088</v>
      </c>
    </row>
    <row r="121" spans="1:6" ht="13.2">
      <c r="A121" s="116">
        <v>6601709</v>
      </c>
      <c r="B121" s="116">
        <v>80112</v>
      </c>
      <c r="C121" s="117" t="s">
        <v>3101</v>
      </c>
      <c r="D121" s="116">
        <v>1853</v>
      </c>
      <c r="E121" s="116">
        <v>928</v>
      </c>
      <c r="F121" s="116" t="s">
        <v>2088</v>
      </c>
    </row>
    <row r="122" spans="1:6" ht="13.2">
      <c r="A122" s="116">
        <v>6601712</v>
      </c>
      <c r="B122" s="116">
        <v>80112</v>
      </c>
      <c r="C122" s="117" t="s">
        <v>3102</v>
      </c>
      <c r="D122" s="116">
        <v>1853</v>
      </c>
      <c r="E122" s="116">
        <v>928</v>
      </c>
      <c r="F122" s="116" t="s">
        <v>2088</v>
      </c>
    </row>
    <row r="123" spans="1:6" ht="13.2">
      <c r="A123" s="116">
        <v>6601805</v>
      </c>
      <c r="B123" s="116">
        <v>80112</v>
      </c>
      <c r="C123" s="117" t="s">
        <v>3103</v>
      </c>
      <c r="D123" s="116">
        <v>1853</v>
      </c>
      <c r="E123" s="116">
        <v>928</v>
      </c>
      <c r="F123" s="116" t="s">
        <v>2088</v>
      </c>
    </row>
    <row r="124" spans="1:6" ht="13.2">
      <c r="A124" s="116">
        <v>6601902</v>
      </c>
      <c r="B124" s="116">
        <v>80112</v>
      </c>
      <c r="C124" s="117" t="s">
        <v>3104</v>
      </c>
      <c r="D124" s="116">
        <v>1853</v>
      </c>
      <c r="E124" s="116">
        <v>928</v>
      </c>
      <c r="F124" s="116" t="s">
        <v>2088</v>
      </c>
    </row>
    <row r="125" spans="1:6" ht="13.2">
      <c r="A125" s="116">
        <v>6601904</v>
      </c>
      <c r="B125" s="116">
        <v>80112</v>
      </c>
      <c r="C125" s="117" t="s">
        <v>3105</v>
      </c>
      <c r="D125" s="116">
        <v>1853</v>
      </c>
      <c r="E125" s="116">
        <v>928</v>
      </c>
      <c r="F125" s="116" t="s">
        <v>2088</v>
      </c>
    </row>
    <row r="126" spans="1:6" ht="13.2">
      <c r="A126" s="116">
        <v>6602001</v>
      </c>
      <c r="B126" s="116">
        <v>80112</v>
      </c>
      <c r="C126" s="117" t="s">
        <v>3106</v>
      </c>
      <c r="D126" s="116">
        <v>1853</v>
      </c>
      <c r="E126" s="116">
        <v>928</v>
      </c>
      <c r="F126" s="116" t="s">
        <v>2088</v>
      </c>
    </row>
    <row r="127" spans="1:6" ht="13.2">
      <c r="A127" s="116">
        <v>6602201</v>
      </c>
      <c r="B127" s="116">
        <v>80250</v>
      </c>
      <c r="C127" s="117" t="s">
        <v>3107</v>
      </c>
      <c r="D127" s="116">
        <v>3830</v>
      </c>
      <c r="E127" s="116">
        <v>10841</v>
      </c>
      <c r="F127" s="116" t="s">
        <v>2090</v>
      </c>
    </row>
    <row r="128" spans="1:6" ht="13.2">
      <c r="A128" s="116">
        <v>6602301</v>
      </c>
      <c r="B128" s="116">
        <v>80112</v>
      </c>
      <c r="C128" s="117" t="s">
        <v>3108</v>
      </c>
      <c r="D128" s="116">
        <v>1853</v>
      </c>
      <c r="E128" s="116">
        <v>928</v>
      </c>
      <c r="F128" s="116" t="s">
        <v>2088</v>
      </c>
    </row>
    <row r="129" spans="1:6" ht="13.2">
      <c r="A129" s="116">
        <v>6602401</v>
      </c>
      <c r="B129" s="116">
        <v>80119</v>
      </c>
      <c r="C129" s="117" t="s">
        <v>3109</v>
      </c>
      <c r="D129" s="116">
        <v>1853</v>
      </c>
      <c r="E129" s="116">
        <v>928</v>
      </c>
      <c r="F129" s="116" t="s">
        <v>2088</v>
      </c>
    </row>
    <row r="130" spans="1:6" ht="13.2">
      <c r="A130" s="116">
        <v>6602601</v>
      </c>
      <c r="B130" s="116">
        <v>80112</v>
      </c>
      <c r="C130" s="117" t="s">
        <v>3110</v>
      </c>
      <c r="D130" s="116">
        <v>1853</v>
      </c>
      <c r="E130" s="116">
        <v>928</v>
      </c>
      <c r="F130" s="116" t="s">
        <v>2088</v>
      </c>
    </row>
    <row r="131" spans="1:6" ht="13.2">
      <c r="A131" s="116">
        <v>6700101</v>
      </c>
      <c r="B131" s="116">
        <v>70519</v>
      </c>
      <c r="C131" s="117" t="s">
        <v>3111</v>
      </c>
      <c r="D131" s="116">
        <v>337</v>
      </c>
      <c r="E131" s="116">
        <v>416</v>
      </c>
      <c r="F131" s="116" t="s">
        <v>2110</v>
      </c>
    </row>
    <row r="132" spans="1:6" ht="13.2">
      <c r="A132" s="116">
        <v>6700201</v>
      </c>
      <c r="B132" s="116">
        <v>70999</v>
      </c>
      <c r="C132" s="117" t="s">
        <v>3112</v>
      </c>
      <c r="D132" s="116">
        <v>198</v>
      </c>
      <c r="E132" s="116">
        <v>799</v>
      </c>
      <c r="F132" s="116" t="s">
        <v>2112</v>
      </c>
    </row>
    <row r="133" spans="1:6" ht="13.2">
      <c r="A133" s="116">
        <v>6700301</v>
      </c>
      <c r="B133" s="116">
        <v>70519</v>
      </c>
      <c r="C133" s="117" t="s">
        <v>3113</v>
      </c>
      <c r="D133" s="116">
        <v>337</v>
      </c>
      <c r="E133" s="116">
        <v>416</v>
      </c>
      <c r="F133" s="116" t="s">
        <v>1831</v>
      </c>
    </row>
    <row r="134" spans="1:6" ht="13.2">
      <c r="A134" s="116">
        <v>6700304</v>
      </c>
      <c r="B134" s="116">
        <v>70529</v>
      </c>
      <c r="C134" s="117" t="s">
        <v>3114</v>
      </c>
      <c r="D134" s="116">
        <v>337</v>
      </c>
      <c r="E134" s="116">
        <v>416</v>
      </c>
      <c r="F134" s="116" t="s">
        <v>1831</v>
      </c>
    </row>
    <row r="135" spans="1:6" ht="13.2">
      <c r="A135" s="116">
        <v>6700501</v>
      </c>
      <c r="B135" s="116">
        <v>70421</v>
      </c>
      <c r="C135" s="117" t="s">
        <v>3115</v>
      </c>
      <c r="D135" s="116">
        <v>349</v>
      </c>
      <c r="E135" s="116">
        <v>799</v>
      </c>
      <c r="F135" s="116" t="s">
        <v>2112</v>
      </c>
    </row>
    <row r="136" spans="1:6" ht="13.2">
      <c r="A136" s="116">
        <v>6700601</v>
      </c>
      <c r="B136" s="116">
        <v>70410</v>
      </c>
      <c r="C136" s="117" t="s">
        <v>3116</v>
      </c>
      <c r="D136" s="116">
        <v>308</v>
      </c>
      <c r="E136" s="116">
        <v>799</v>
      </c>
      <c r="F136" s="116" t="s">
        <v>2116</v>
      </c>
    </row>
    <row r="137" spans="1:6" ht="13.2">
      <c r="A137" s="116">
        <v>6700701</v>
      </c>
      <c r="B137" s="116">
        <v>70970</v>
      </c>
      <c r="C137" s="117" t="s">
        <v>3117</v>
      </c>
      <c r="D137" s="116">
        <v>198</v>
      </c>
      <c r="E137" s="116">
        <v>799</v>
      </c>
      <c r="F137" s="116" t="s">
        <v>2112</v>
      </c>
    </row>
    <row r="138" spans="1:6" ht="13.2">
      <c r="A138" s="116">
        <v>6700801</v>
      </c>
      <c r="B138" s="116">
        <v>70490</v>
      </c>
      <c r="C138" s="117" t="s">
        <v>3118</v>
      </c>
      <c r="D138" s="116">
        <v>107</v>
      </c>
      <c r="E138" s="116">
        <v>799</v>
      </c>
      <c r="F138" s="116" t="s">
        <v>2119</v>
      </c>
    </row>
    <row r="139" spans="1:6" ht="13.2">
      <c r="A139" s="116">
        <v>6700901</v>
      </c>
      <c r="B139" s="116">
        <v>70490</v>
      </c>
      <c r="C139" s="117" t="s">
        <v>3119</v>
      </c>
      <c r="D139" s="116">
        <v>107</v>
      </c>
      <c r="E139" s="116">
        <v>799</v>
      </c>
      <c r="F139" s="116" t="s">
        <v>2119</v>
      </c>
    </row>
    <row r="140" spans="1:6" ht="13.2">
      <c r="A140" s="116">
        <v>67010</v>
      </c>
      <c r="B140" s="116">
        <v>70490</v>
      </c>
      <c r="C140" s="117" t="s">
        <v>3120</v>
      </c>
      <c r="D140" s="116">
        <v>337</v>
      </c>
      <c r="E140" s="116">
        <v>416</v>
      </c>
      <c r="F140" s="116" t="s">
        <v>1831</v>
      </c>
    </row>
    <row r="141" spans="1:6" ht="13.2">
      <c r="A141" s="116">
        <v>6701101</v>
      </c>
      <c r="B141" s="116">
        <v>70390</v>
      </c>
      <c r="C141" s="117" t="s">
        <v>3121</v>
      </c>
      <c r="D141" s="116">
        <v>209</v>
      </c>
      <c r="E141" s="116">
        <v>1623</v>
      </c>
      <c r="F141" s="116" t="s">
        <v>2116</v>
      </c>
    </row>
    <row r="142" spans="1:6" ht="13.2">
      <c r="A142" s="116">
        <v>6701301</v>
      </c>
      <c r="B142" s="116">
        <v>70490</v>
      </c>
      <c r="C142" s="117" t="s">
        <v>3122</v>
      </c>
      <c r="D142" s="116">
        <v>107</v>
      </c>
      <c r="E142" s="116">
        <v>799</v>
      </c>
      <c r="F142" s="116" t="s">
        <v>2119</v>
      </c>
    </row>
    <row r="143" spans="1:6" ht="13.2">
      <c r="A143" s="116">
        <v>6701401</v>
      </c>
      <c r="B143" s="116">
        <v>71490</v>
      </c>
      <c r="C143" s="117" t="s">
        <v>3123</v>
      </c>
      <c r="D143" s="116">
        <v>77</v>
      </c>
      <c r="E143" s="116">
        <v>486</v>
      </c>
      <c r="F143" s="116" t="s">
        <v>2006</v>
      </c>
    </row>
    <row r="144" spans="1:6" ht="13.2">
      <c r="A144" s="116">
        <v>6701501</v>
      </c>
      <c r="B144" s="116">
        <v>70519</v>
      </c>
      <c r="C144" s="117" t="s">
        <v>3124</v>
      </c>
      <c r="D144" s="116">
        <v>337</v>
      </c>
      <c r="E144" s="116">
        <v>416</v>
      </c>
      <c r="F144" s="116" t="s">
        <v>1831</v>
      </c>
    </row>
    <row r="145" spans="1:6" ht="13.2">
      <c r="A145" s="116">
        <v>6701505</v>
      </c>
      <c r="B145" s="116">
        <v>70519</v>
      </c>
      <c r="C145" s="117" t="s">
        <v>3125</v>
      </c>
      <c r="D145" s="116">
        <v>337</v>
      </c>
      <c r="E145" s="116">
        <v>416</v>
      </c>
      <c r="F145" s="116" t="s">
        <v>1831</v>
      </c>
    </row>
    <row r="146" spans="1:6" ht="13.2">
      <c r="A146" s="116">
        <v>6701601</v>
      </c>
      <c r="B146" s="116">
        <v>70529</v>
      </c>
      <c r="C146" s="117" t="s">
        <v>3126</v>
      </c>
      <c r="D146" s="116">
        <v>337</v>
      </c>
      <c r="E146" s="116">
        <v>416</v>
      </c>
      <c r="F146" s="116" t="s">
        <v>1831</v>
      </c>
    </row>
    <row r="147" spans="1:6" ht="13.2">
      <c r="A147" s="116">
        <v>6701602</v>
      </c>
      <c r="B147" s="116">
        <v>70529</v>
      </c>
      <c r="C147" s="117" t="s">
        <v>3127</v>
      </c>
      <c r="D147" s="116">
        <v>337</v>
      </c>
      <c r="E147" s="116">
        <v>416</v>
      </c>
      <c r="F147" s="116" t="s">
        <v>1831</v>
      </c>
    </row>
    <row r="148" spans="1:6" ht="13.2">
      <c r="A148" s="116">
        <v>6701704</v>
      </c>
      <c r="B148" s="116">
        <v>70410</v>
      </c>
      <c r="C148" s="117" t="s">
        <v>3128</v>
      </c>
      <c r="D148" s="116">
        <v>377</v>
      </c>
      <c r="E148" s="116">
        <v>799</v>
      </c>
      <c r="F148" s="116" t="s">
        <v>2020</v>
      </c>
    </row>
    <row r="149" spans="1:6" ht="13.2">
      <c r="A149" s="116">
        <v>6701801</v>
      </c>
      <c r="B149" s="116">
        <v>70490</v>
      </c>
      <c r="C149" s="117" t="s">
        <v>3129</v>
      </c>
      <c r="D149" s="116">
        <v>107</v>
      </c>
      <c r="E149" s="116">
        <v>799</v>
      </c>
      <c r="F149" s="116" t="s">
        <v>2119</v>
      </c>
    </row>
    <row r="150" spans="1:6" ht="13.2">
      <c r="A150" s="116">
        <v>6701901</v>
      </c>
      <c r="B150" s="116">
        <v>70490</v>
      </c>
      <c r="C150" s="117" t="s">
        <v>3130</v>
      </c>
      <c r="D150" s="116">
        <v>107</v>
      </c>
      <c r="E150" s="116">
        <v>799</v>
      </c>
      <c r="F150" s="116" t="s">
        <v>2119</v>
      </c>
    </row>
    <row r="151" spans="1:6" ht="13.2">
      <c r="A151" s="116">
        <v>6701906</v>
      </c>
      <c r="B151" s="116">
        <v>70490</v>
      </c>
      <c r="C151" s="117" t="s">
        <v>3131</v>
      </c>
      <c r="D151" s="116">
        <v>107</v>
      </c>
      <c r="E151" s="116">
        <v>799</v>
      </c>
      <c r="F151" s="116" t="s">
        <v>2119</v>
      </c>
    </row>
    <row r="152" spans="1:6" ht="13.2">
      <c r="A152" s="116">
        <v>6701907</v>
      </c>
      <c r="B152" s="116">
        <v>70490</v>
      </c>
      <c r="C152" s="117" t="s">
        <v>3132</v>
      </c>
      <c r="D152" s="116">
        <v>107</v>
      </c>
      <c r="E152" s="116">
        <v>799</v>
      </c>
      <c r="F152" s="116" t="s">
        <v>2119</v>
      </c>
    </row>
    <row r="153" spans="1:6" ht="13.2">
      <c r="A153" s="116">
        <v>6701913</v>
      </c>
      <c r="B153" s="116">
        <v>70490</v>
      </c>
      <c r="C153" s="117" t="s">
        <v>3133</v>
      </c>
      <c r="D153" s="116">
        <v>107</v>
      </c>
      <c r="E153" s="116">
        <v>799</v>
      </c>
      <c r="F153" s="116" t="s">
        <v>2119</v>
      </c>
    </row>
    <row r="154" spans="1:6" ht="13.2">
      <c r="A154" s="116">
        <v>6702001</v>
      </c>
      <c r="B154" s="116">
        <v>70490</v>
      </c>
      <c r="C154" s="117" t="s">
        <v>3134</v>
      </c>
      <c r="D154" s="116">
        <v>107</v>
      </c>
      <c r="E154" s="116">
        <v>799</v>
      </c>
      <c r="F154" s="116" t="s">
        <v>2119</v>
      </c>
    </row>
    <row r="155" spans="1:6" ht="13.2">
      <c r="A155" s="116">
        <v>6702105</v>
      </c>
      <c r="B155" s="116">
        <v>70490</v>
      </c>
      <c r="C155" s="117" t="s">
        <v>3135</v>
      </c>
      <c r="D155" s="116">
        <v>107</v>
      </c>
      <c r="E155" s="116">
        <v>799</v>
      </c>
      <c r="F155" s="116" t="s">
        <v>2119</v>
      </c>
    </row>
    <row r="156" spans="1:6" ht="13.2">
      <c r="A156" s="116">
        <v>6702201</v>
      </c>
      <c r="B156" s="116">
        <v>70490</v>
      </c>
      <c r="C156" s="117" t="s">
        <v>3136</v>
      </c>
      <c r="D156" s="116">
        <v>107</v>
      </c>
      <c r="E156" s="116">
        <v>799</v>
      </c>
      <c r="F156" s="116" t="s">
        <v>2119</v>
      </c>
    </row>
    <row r="157" spans="1:6" ht="13.2">
      <c r="A157" s="116">
        <v>6702301</v>
      </c>
      <c r="B157" s="116">
        <v>70910</v>
      </c>
      <c r="C157" s="117" t="s">
        <v>3137</v>
      </c>
      <c r="D157" s="116">
        <v>480</v>
      </c>
      <c r="E157" s="116">
        <v>799</v>
      </c>
      <c r="F157" s="116" t="s">
        <v>2020</v>
      </c>
    </row>
    <row r="158" spans="1:6" ht="13.2">
      <c r="A158" s="116">
        <v>6702501</v>
      </c>
      <c r="B158" s="116">
        <v>70490</v>
      </c>
      <c r="C158" s="117" t="s">
        <v>3138</v>
      </c>
      <c r="D158" s="116">
        <v>107</v>
      </c>
      <c r="E158" s="116">
        <v>799</v>
      </c>
      <c r="F158" s="116" t="s">
        <v>2119</v>
      </c>
    </row>
    <row r="159" spans="1:6" ht="13.2">
      <c r="A159" s="116">
        <v>6702604</v>
      </c>
      <c r="B159" s="116">
        <v>70519</v>
      </c>
      <c r="C159" s="117" t="s">
        <v>3139</v>
      </c>
      <c r="D159" s="116">
        <v>337</v>
      </c>
      <c r="E159" s="116">
        <v>416</v>
      </c>
      <c r="F159" s="116" t="s">
        <v>2020</v>
      </c>
    </row>
    <row r="160" spans="1:6" ht="13.2">
      <c r="A160" s="116">
        <v>6702801</v>
      </c>
      <c r="B160" s="116">
        <v>70519</v>
      </c>
      <c r="C160" s="117" t="s">
        <v>3140</v>
      </c>
      <c r="D160" s="116">
        <v>337</v>
      </c>
      <c r="E160" s="116">
        <v>416</v>
      </c>
      <c r="F160" s="116" t="s">
        <v>1831</v>
      </c>
    </row>
    <row r="161" spans="1:6" ht="13.2">
      <c r="A161" s="116">
        <v>6703003</v>
      </c>
      <c r="B161" s="116">
        <v>70519</v>
      </c>
      <c r="C161" s="117" t="s">
        <v>3141</v>
      </c>
      <c r="D161" s="116">
        <v>337</v>
      </c>
      <c r="E161" s="116">
        <v>416</v>
      </c>
      <c r="F161" s="116" t="s">
        <v>1831</v>
      </c>
    </row>
    <row r="162" spans="1:6" ht="13.2">
      <c r="A162" s="116">
        <v>6703004</v>
      </c>
      <c r="B162" s="116">
        <v>70519</v>
      </c>
      <c r="C162" s="117" t="s">
        <v>3142</v>
      </c>
      <c r="D162" s="116">
        <v>337</v>
      </c>
      <c r="E162" s="116">
        <v>416</v>
      </c>
      <c r="F162" s="116" t="s">
        <v>1831</v>
      </c>
    </row>
    <row r="163" spans="1:6" ht="13.2">
      <c r="A163" s="116">
        <v>6703101</v>
      </c>
      <c r="B163" s="116">
        <v>70999</v>
      </c>
      <c r="C163" s="117" t="s">
        <v>3143</v>
      </c>
      <c r="D163" s="116">
        <v>335</v>
      </c>
      <c r="E163" s="116">
        <v>799</v>
      </c>
      <c r="F163" s="116" t="s">
        <v>2020</v>
      </c>
    </row>
    <row r="164" spans="1:6" ht="13.2">
      <c r="A164" s="116">
        <v>6703306</v>
      </c>
      <c r="B164" s="116">
        <v>70993</v>
      </c>
      <c r="C164" s="117" t="s">
        <v>3144</v>
      </c>
      <c r="D164" s="116">
        <v>461</v>
      </c>
      <c r="E164" s="116">
        <v>799</v>
      </c>
      <c r="F164" s="116" t="s">
        <v>2020</v>
      </c>
    </row>
    <row r="165" spans="1:6" ht="13.2">
      <c r="A165" s="116">
        <v>6703701</v>
      </c>
      <c r="B165" s="116">
        <v>70993</v>
      </c>
      <c r="C165" s="117" t="s">
        <v>3145</v>
      </c>
      <c r="D165" s="116">
        <v>168</v>
      </c>
      <c r="E165" s="116">
        <v>799</v>
      </c>
      <c r="F165" s="116" t="s">
        <v>2020</v>
      </c>
    </row>
    <row r="166" spans="1:6" ht="13.2">
      <c r="A166" s="116">
        <v>6703805</v>
      </c>
      <c r="B166" s="116">
        <v>70993</v>
      </c>
      <c r="C166" s="117" t="s">
        <v>3146</v>
      </c>
      <c r="D166" s="116">
        <v>335</v>
      </c>
      <c r="E166" s="116">
        <v>799</v>
      </c>
      <c r="F166" s="116" t="s">
        <v>2020</v>
      </c>
    </row>
    <row r="167" spans="1:6" ht="13.2">
      <c r="A167" s="116">
        <v>6703901</v>
      </c>
      <c r="B167" s="116">
        <v>70993</v>
      </c>
      <c r="C167" s="117" t="s">
        <v>3147</v>
      </c>
      <c r="D167" s="116">
        <v>335</v>
      </c>
      <c r="E167" s="116">
        <v>799</v>
      </c>
      <c r="F167" s="116" t="s">
        <v>2020</v>
      </c>
    </row>
    <row r="168" spans="1:6" ht="13.2">
      <c r="A168" s="116">
        <v>6704001</v>
      </c>
      <c r="B168" s="116">
        <v>70700</v>
      </c>
      <c r="C168" s="117" t="s">
        <v>3148</v>
      </c>
      <c r="D168" s="116">
        <v>327</v>
      </c>
      <c r="E168" s="116">
        <v>799</v>
      </c>
      <c r="F168" s="116" t="s">
        <v>2006</v>
      </c>
    </row>
    <row r="169" spans="1:6" ht="13.2">
      <c r="A169" s="116">
        <v>6704101</v>
      </c>
      <c r="B169" s="116">
        <v>70999</v>
      </c>
      <c r="C169" s="117" t="s">
        <v>3149</v>
      </c>
      <c r="D169" s="116">
        <v>335</v>
      </c>
      <c r="E169" s="116">
        <v>799</v>
      </c>
      <c r="F169" s="116" t="s">
        <v>2020</v>
      </c>
    </row>
    <row r="170" spans="1:6" ht="13.2">
      <c r="A170" s="116">
        <v>6704201</v>
      </c>
      <c r="B170" s="116">
        <v>70930</v>
      </c>
      <c r="C170" s="117" t="s">
        <v>3150</v>
      </c>
      <c r="D170" s="116">
        <v>350</v>
      </c>
      <c r="E170" s="116">
        <v>799</v>
      </c>
      <c r="F170" s="116" t="s">
        <v>2020</v>
      </c>
    </row>
    <row r="171" spans="1:6" ht="13.2">
      <c r="A171" s="116">
        <v>6704301</v>
      </c>
      <c r="B171" s="116">
        <v>70999</v>
      </c>
      <c r="C171" s="117" t="s">
        <v>3151</v>
      </c>
      <c r="D171" s="116">
        <v>335</v>
      </c>
      <c r="E171" s="116">
        <v>799</v>
      </c>
      <c r="F171" s="116" t="s">
        <v>2020</v>
      </c>
    </row>
    <row r="172" spans="1:6" ht="13.2">
      <c r="A172" s="116">
        <v>6704306</v>
      </c>
      <c r="B172" s="116">
        <v>70999</v>
      </c>
      <c r="C172" s="117" t="s">
        <v>3152</v>
      </c>
      <c r="D172" s="116">
        <v>335</v>
      </c>
      <c r="E172" s="116">
        <v>799</v>
      </c>
      <c r="F172" s="116" t="s">
        <v>2020</v>
      </c>
    </row>
    <row r="173" spans="1:6" ht="13.2">
      <c r="A173" s="116">
        <v>6704401</v>
      </c>
      <c r="B173" s="116">
        <v>71080</v>
      </c>
      <c r="C173" s="117" t="s">
        <v>3153</v>
      </c>
      <c r="D173" s="116">
        <v>810</v>
      </c>
      <c r="E173" s="116">
        <v>2397</v>
      </c>
      <c r="F173" s="116" t="s">
        <v>2038</v>
      </c>
    </row>
    <row r="174" spans="1:6" ht="13.2">
      <c r="A174" s="116">
        <v>6704409</v>
      </c>
      <c r="B174" s="116">
        <v>71080</v>
      </c>
      <c r="C174" s="117" t="s">
        <v>3154</v>
      </c>
      <c r="D174" s="116">
        <v>810</v>
      </c>
      <c r="E174" s="116">
        <v>2397</v>
      </c>
      <c r="F174" s="116" t="s">
        <v>2038</v>
      </c>
    </row>
    <row r="175" spans="1:6" ht="13.2">
      <c r="A175" s="116">
        <v>6704410</v>
      </c>
      <c r="B175" s="116">
        <v>71080</v>
      </c>
      <c r="C175" s="117" t="s">
        <v>3155</v>
      </c>
      <c r="D175" s="116">
        <v>810</v>
      </c>
      <c r="E175" s="116">
        <v>2397</v>
      </c>
      <c r="F175" s="116" t="s">
        <v>2038</v>
      </c>
    </row>
    <row r="176" spans="1:6" ht="13.2">
      <c r="A176" s="116">
        <v>6704501</v>
      </c>
      <c r="B176" s="116">
        <v>70960</v>
      </c>
      <c r="C176" s="117" t="s">
        <v>3156</v>
      </c>
      <c r="D176" s="116">
        <v>350</v>
      </c>
      <c r="E176" s="116">
        <v>799</v>
      </c>
      <c r="F176" s="116" t="s">
        <v>2020</v>
      </c>
    </row>
    <row r="177" spans="1:6" ht="13.2">
      <c r="A177" s="116">
        <v>67047</v>
      </c>
      <c r="B177" s="116">
        <v>70960</v>
      </c>
      <c r="C177" s="117" t="s">
        <v>3157</v>
      </c>
      <c r="D177" s="116">
        <v>350</v>
      </c>
      <c r="E177" s="116">
        <v>799</v>
      </c>
      <c r="F177" s="116" t="s">
        <v>2020</v>
      </c>
    </row>
    <row r="178" spans="1:6" ht="13.2">
      <c r="A178" s="116">
        <v>6705001</v>
      </c>
      <c r="B178" s="116">
        <v>70990</v>
      </c>
      <c r="C178" s="117" t="s">
        <v>3158</v>
      </c>
      <c r="D178" s="116">
        <v>335</v>
      </c>
      <c r="E178" s="116">
        <v>799</v>
      </c>
      <c r="F178" s="116" t="s">
        <v>2020</v>
      </c>
    </row>
    <row r="179" spans="1:6" ht="13.2">
      <c r="A179" s="116">
        <v>6705101</v>
      </c>
      <c r="B179" s="116">
        <v>70200</v>
      </c>
      <c r="C179" s="117" t="s">
        <v>3159</v>
      </c>
      <c r="D179" s="116">
        <v>752</v>
      </c>
      <c r="E179" s="116">
        <v>80</v>
      </c>
      <c r="F179" s="116" t="s">
        <v>2153</v>
      </c>
    </row>
    <row r="180" spans="1:6" ht="13.2">
      <c r="A180" s="116">
        <v>6705201</v>
      </c>
      <c r="B180" s="116">
        <v>70820</v>
      </c>
      <c r="C180" s="117" t="s">
        <v>3160</v>
      </c>
      <c r="D180" s="116">
        <v>504</v>
      </c>
      <c r="E180" s="116">
        <v>834</v>
      </c>
      <c r="F180" s="116" t="s">
        <v>1981</v>
      </c>
    </row>
    <row r="181" spans="1:6" ht="13.2">
      <c r="A181" s="116">
        <v>6705301</v>
      </c>
      <c r="B181" s="116">
        <v>70959</v>
      </c>
      <c r="C181" s="117" t="s">
        <v>3161</v>
      </c>
      <c r="D181" s="116">
        <v>475</v>
      </c>
      <c r="E181" s="116">
        <v>799</v>
      </c>
      <c r="F181" s="116" t="s">
        <v>2020</v>
      </c>
    </row>
    <row r="182" spans="1:6" ht="13.2">
      <c r="A182" s="116">
        <v>6705401</v>
      </c>
      <c r="B182" s="116">
        <v>70930</v>
      </c>
      <c r="C182" s="117" t="s">
        <v>3162</v>
      </c>
      <c r="D182" s="116">
        <v>350</v>
      </c>
      <c r="E182" s="116">
        <v>799</v>
      </c>
      <c r="F182" s="116" t="s">
        <v>2020</v>
      </c>
    </row>
    <row r="183" spans="1:6" ht="13.2">
      <c r="A183" s="116">
        <v>6705501</v>
      </c>
      <c r="B183" s="116">
        <v>71310</v>
      </c>
      <c r="C183" s="117" t="s">
        <v>3163</v>
      </c>
      <c r="D183" s="116">
        <v>915</v>
      </c>
      <c r="E183" s="116">
        <v>3846</v>
      </c>
      <c r="F183" s="116" t="s">
        <v>1983</v>
      </c>
    </row>
    <row r="184" spans="1:6" ht="13.2">
      <c r="A184" s="116">
        <v>6705701</v>
      </c>
      <c r="B184" s="116">
        <v>70310</v>
      </c>
      <c r="C184" s="117" t="s">
        <v>3164</v>
      </c>
      <c r="D184" s="116">
        <v>209</v>
      </c>
      <c r="E184" s="116">
        <v>465</v>
      </c>
      <c r="F184" s="116" t="s">
        <v>2116</v>
      </c>
    </row>
    <row r="185" spans="1:6" ht="13.2">
      <c r="A185" s="116">
        <v>6705801</v>
      </c>
      <c r="B185" s="116">
        <v>70490</v>
      </c>
      <c r="C185" s="117" t="s">
        <v>3165</v>
      </c>
      <c r="D185" s="116">
        <v>337</v>
      </c>
      <c r="E185" s="116">
        <v>416</v>
      </c>
      <c r="F185" s="116" t="s">
        <v>1831</v>
      </c>
    </row>
    <row r="186" spans="1:6" ht="13.2">
      <c r="A186" s="116">
        <v>6706101</v>
      </c>
      <c r="B186" s="116">
        <v>71090</v>
      </c>
      <c r="C186" s="117" t="s">
        <v>3166</v>
      </c>
      <c r="D186" s="116">
        <v>810</v>
      </c>
      <c r="E186" s="116">
        <v>2397</v>
      </c>
      <c r="F186" s="116" t="s">
        <v>2038</v>
      </c>
    </row>
    <row r="187" spans="1:6" ht="13.2">
      <c r="A187" s="116">
        <v>6706102</v>
      </c>
      <c r="B187" s="116">
        <v>200500</v>
      </c>
      <c r="C187" s="117" t="s">
        <v>3167</v>
      </c>
      <c r="D187" s="116">
        <v>1730</v>
      </c>
      <c r="E187" s="116">
        <v>1247</v>
      </c>
      <c r="F187" s="116" t="s">
        <v>2161</v>
      </c>
    </row>
    <row r="188" spans="1:6" ht="13.2">
      <c r="A188" s="116">
        <v>6706201</v>
      </c>
      <c r="B188" s="116">
        <v>70320</v>
      </c>
      <c r="C188" s="117" t="s">
        <v>3168</v>
      </c>
      <c r="D188" s="116">
        <v>209</v>
      </c>
      <c r="E188" s="116">
        <v>2781</v>
      </c>
      <c r="F188" s="116" t="s">
        <v>2116</v>
      </c>
    </row>
    <row r="189" spans="1:6" ht="13.2">
      <c r="A189" s="116">
        <v>6706301</v>
      </c>
      <c r="B189" s="116">
        <v>70390</v>
      </c>
      <c r="C189" s="117" t="s">
        <v>3169</v>
      </c>
      <c r="D189" s="116">
        <v>209</v>
      </c>
      <c r="E189" s="116">
        <v>1623</v>
      </c>
      <c r="F189" s="116" t="s">
        <v>2119</v>
      </c>
    </row>
    <row r="190" spans="1:6" ht="13.2">
      <c r="A190" s="116">
        <v>6707301</v>
      </c>
      <c r="B190" s="116">
        <v>70999</v>
      </c>
      <c r="C190" s="117" t="s">
        <v>3170</v>
      </c>
      <c r="D190" s="116">
        <v>335</v>
      </c>
      <c r="E190" s="116">
        <v>799</v>
      </c>
      <c r="F190" s="116" t="s">
        <v>2020</v>
      </c>
    </row>
    <row r="191" spans="1:6" ht="13.2">
      <c r="A191" s="116">
        <v>6707801</v>
      </c>
      <c r="B191" s="116">
        <v>70519</v>
      </c>
      <c r="C191" s="117" t="s">
        <v>3171</v>
      </c>
      <c r="D191" s="116">
        <v>337</v>
      </c>
      <c r="E191" s="116">
        <v>416</v>
      </c>
      <c r="F191" s="116" t="s">
        <v>1831</v>
      </c>
    </row>
    <row r="192" spans="1:6" ht="13.2">
      <c r="A192" s="116">
        <v>6707901</v>
      </c>
      <c r="B192" s="116">
        <v>70200</v>
      </c>
      <c r="C192" s="117" t="s">
        <v>3172</v>
      </c>
      <c r="D192" s="116">
        <v>826</v>
      </c>
      <c r="E192" s="116">
        <v>442</v>
      </c>
      <c r="F192" s="116" t="s">
        <v>2153</v>
      </c>
    </row>
    <row r="193" spans="1:6" ht="13.2">
      <c r="A193" s="116">
        <v>6708001</v>
      </c>
      <c r="B193" s="116">
        <v>70960</v>
      </c>
      <c r="C193" s="117" t="s">
        <v>3173</v>
      </c>
      <c r="D193" s="116">
        <v>350</v>
      </c>
      <c r="E193" s="116">
        <v>799</v>
      </c>
      <c r="F193" s="116" t="s">
        <v>2020</v>
      </c>
    </row>
    <row r="194" spans="1:6" ht="13.2">
      <c r="A194" s="116">
        <v>6709701</v>
      </c>
      <c r="B194" s="116">
        <v>70519</v>
      </c>
      <c r="C194" s="117" t="s">
        <v>3174</v>
      </c>
      <c r="D194" s="116">
        <v>337</v>
      </c>
      <c r="E194" s="116">
        <v>416</v>
      </c>
      <c r="F194" s="116" t="s">
        <v>1831</v>
      </c>
    </row>
    <row r="195" spans="1:6" ht="13.2">
      <c r="A195" s="116">
        <v>6801017</v>
      </c>
      <c r="B195" s="116">
        <v>80112</v>
      </c>
      <c r="C195" s="117" t="s">
        <v>3175</v>
      </c>
      <c r="D195" s="116">
        <v>1853</v>
      </c>
      <c r="E195" s="116">
        <v>928</v>
      </c>
      <c r="F195" s="116" t="s">
        <v>2088</v>
      </c>
    </row>
    <row r="196" spans="1:6" ht="13.2">
      <c r="A196" s="116">
        <v>6801101</v>
      </c>
      <c r="B196" s="116">
        <v>80300</v>
      </c>
      <c r="C196" s="117" t="s">
        <v>3176</v>
      </c>
      <c r="D196" s="116">
        <v>954</v>
      </c>
      <c r="E196" s="116">
        <v>1003</v>
      </c>
      <c r="F196" s="116" t="s">
        <v>2088</v>
      </c>
    </row>
    <row r="197" spans="1:6" ht="13.2">
      <c r="A197" s="116">
        <v>6801801</v>
      </c>
      <c r="B197" s="116">
        <v>80590</v>
      </c>
      <c r="C197" s="117" t="s">
        <v>3177</v>
      </c>
      <c r="D197" s="116">
        <v>258</v>
      </c>
      <c r="E197" s="116">
        <v>395</v>
      </c>
      <c r="F197" s="116" t="s">
        <v>2088</v>
      </c>
    </row>
    <row r="198" spans="1:6" ht="13.2">
      <c r="A198" s="116">
        <v>6801901</v>
      </c>
      <c r="B198" s="116">
        <v>80530</v>
      </c>
      <c r="C198" s="117" t="s">
        <v>3178</v>
      </c>
      <c r="D198" s="116">
        <v>80</v>
      </c>
      <c r="E198" s="116">
        <v>537</v>
      </c>
      <c r="F198" s="116" t="s">
        <v>2088</v>
      </c>
    </row>
    <row r="199" spans="1:6" ht="13.2">
      <c r="A199" s="116">
        <v>6802001</v>
      </c>
      <c r="B199" s="116">
        <v>80530</v>
      </c>
      <c r="C199" s="117" t="s">
        <v>3179</v>
      </c>
      <c r="D199" s="116">
        <v>80</v>
      </c>
      <c r="E199" s="116">
        <v>537</v>
      </c>
      <c r="F199" s="116" t="s">
        <v>2088</v>
      </c>
    </row>
    <row r="200" spans="1:6" ht="13.2">
      <c r="A200" s="116">
        <v>6802201</v>
      </c>
      <c r="B200" s="116">
        <v>80520</v>
      </c>
      <c r="C200" s="117" t="s">
        <v>3180</v>
      </c>
      <c r="D200" s="116">
        <v>556</v>
      </c>
      <c r="E200" s="116">
        <v>515</v>
      </c>
      <c r="F200" s="116" t="s">
        <v>2088</v>
      </c>
    </row>
    <row r="201" spans="1:6" ht="13.2">
      <c r="A201" s="116">
        <v>6802202</v>
      </c>
      <c r="B201" s="116">
        <v>80520</v>
      </c>
      <c r="C201" s="117" t="s">
        <v>3181</v>
      </c>
      <c r="D201" s="116">
        <v>556</v>
      </c>
      <c r="E201" s="116">
        <v>570</v>
      </c>
      <c r="F201" s="116" t="s">
        <v>2088</v>
      </c>
    </row>
    <row r="202" spans="1:6" ht="13.2">
      <c r="A202" s="116">
        <v>6802217</v>
      </c>
      <c r="B202" s="116">
        <v>80520</v>
      </c>
      <c r="C202" s="117" t="s">
        <v>3182</v>
      </c>
      <c r="D202" s="116">
        <v>556</v>
      </c>
      <c r="E202" s="116">
        <v>543</v>
      </c>
      <c r="F202" s="116" t="s">
        <v>2088</v>
      </c>
    </row>
    <row r="203" spans="1:6" ht="13.2">
      <c r="A203" s="116">
        <v>6802218</v>
      </c>
      <c r="B203" s="116">
        <v>80520</v>
      </c>
      <c r="C203" s="117" t="s">
        <v>3183</v>
      </c>
      <c r="D203" s="116">
        <v>556</v>
      </c>
      <c r="E203" s="116">
        <v>543</v>
      </c>
      <c r="F203" s="116" t="s">
        <v>2088</v>
      </c>
    </row>
    <row r="204" spans="1:6" ht="13.2">
      <c r="A204" s="116">
        <v>6802223</v>
      </c>
      <c r="B204" s="116">
        <v>80520</v>
      </c>
      <c r="C204" s="117" t="s">
        <v>3184</v>
      </c>
      <c r="D204" s="116">
        <v>556</v>
      </c>
      <c r="E204" s="116">
        <v>543</v>
      </c>
      <c r="F204" s="116" t="s">
        <v>2088</v>
      </c>
    </row>
    <row r="205" spans="1:6" ht="13.2">
      <c r="A205" s="116">
        <v>6802227</v>
      </c>
      <c r="B205" s="116">
        <v>80520</v>
      </c>
      <c r="C205" s="117" t="s">
        <v>3185</v>
      </c>
      <c r="D205" s="116">
        <v>556</v>
      </c>
      <c r="E205" s="116">
        <v>543</v>
      </c>
      <c r="F205" s="116" t="s">
        <v>2088</v>
      </c>
    </row>
    <row r="206" spans="1:6" ht="13.2">
      <c r="A206" s="116">
        <v>6802407</v>
      </c>
      <c r="B206" s="116">
        <v>80590</v>
      </c>
      <c r="C206" s="117" t="s">
        <v>3186</v>
      </c>
      <c r="D206" s="116">
        <v>258</v>
      </c>
      <c r="E206" s="116">
        <v>395</v>
      </c>
      <c r="F206" s="116" t="s">
        <v>2088</v>
      </c>
    </row>
    <row r="207" spans="1:6" ht="13.2">
      <c r="A207" s="116">
        <v>6802501</v>
      </c>
      <c r="B207" s="116">
        <v>170111</v>
      </c>
      <c r="C207" s="117" t="s">
        <v>3187</v>
      </c>
      <c r="D207" s="116">
        <v>767</v>
      </c>
      <c r="E207" s="116">
        <v>137</v>
      </c>
      <c r="F207" s="116" t="s">
        <v>2178</v>
      </c>
    </row>
    <row r="208" spans="1:6" ht="13.2">
      <c r="A208" s="116">
        <v>6802601</v>
      </c>
      <c r="B208" s="116">
        <v>80430</v>
      </c>
      <c r="C208" s="117" t="s">
        <v>3188</v>
      </c>
      <c r="D208" s="116">
        <v>260</v>
      </c>
      <c r="E208" s="116">
        <v>160</v>
      </c>
      <c r="F208" s="116" t="s">
        <v>2088</v>
      </c>
    </row>
    <row r="209" spans="1:6" ht="13.2">
      <c r="A209" s="116">
        <v>6802602</v>
      </c>
      <c r="B209" s="116">
        <v>81090</v>
      </c>
      <c r="C209" s="117" t="s">
        <v>3189</v>
      </c>
      <c r="D209" s="116">
        <v>60</v>
      </c>
      <c r="E209" s="116">
        <v>3921</v>
      </c>
      <c r="F209" s="116" t="s">
        <v>2180</v>
      </c>
    </row>
    <row r="210" spans="1:6" ht="13.2">
      <c r="A210" s="116">
        <v>6802701</v>
      </c>
      <c r="B210" s="116">
        <v>80440</v>
      </c>
      <c r="C210" s="117" t="s">
        <v>3190</v>
      </c>
      <c r="D210" s="116">
        <v>335</v>
      </c>
      <c r="E210" s="116">
        <v>951</v>
      </c>
      <c r="F210" s="116" t="s">
        <v>2088</v>
      </c>
    </row>
    <row r="211" spans="1:6" ht="13.2">
      <c r="A211" s="116">
        <v>6802801</v>
      </c>
      <c r="B211" s="116">
        <v>81090</v>
      </c>
      <c r="C211" s="117" t="s">
        <v>3191</v>
      </c>
      <c r="D211" s="116">
        <v>587</v>
      </c>
      <c r="E211" s="116">
        <v>3921</v>
      </c>
      <c r="F211" s="116" t="s">
        <v>2180</v>
      </c>
    </row>
    <row r="212" spans="1:6" ht="13.2">
      <c r="A212" s="116">
        <v>6802901</v>
      </c>
      <c r="B212" s="116">
        <v>80420</v>
      </c>
      <c r="C212" s="117" t="s">
        <v>3192</v>
      </c>
      <c r="D212" s="116">
        <v>239</v>
      </c>
      <c r="E212" s="116">
        <v>1212</v>
      </c>
      <c r="F212" s="116" t="s">
        <v>2088</v>
      </c>
    </row>
    <row r="213" spans="1:6" ht="13.2">
      <c r="A213" s="116">
        <v>6803001</v>
      </c>
      <c r="B213" s="116">
        <v>80810</v>
      </c>
      <c r="C213" s="117" t="s">
        <v>3193</v>
      </c>
      <c r="D213" s="116">
        <v>238</v>
      </c>
      <c r="E213" s="116">
        <v>174</v>
      </c>
      <c r="F213" s="116" t="s">
        <v>2003</v>
      </c>
    </row>
    <row r="214" spans="1:6" ht="13.2">
      <c r="A214" s="116">
        <v>6803101</v>
      </c>
      <c r="B214" s="116">
        <v>80720</v>
      </c>
      <c r="C214" s="117" t="s">
        <v>3194</v>
      </c>
      <c r="D214" s="116">
        <v>1020</v>
      </c>
      <c r="E214" s="116">
        <v>238</v>
      </c>
      <c r="F214" s="116" t="s">
        <v>2088</v>
      </c>
    </row>
    <row r="215" spans="1:6" ht="13.2">
      <c r="A215" s="116">
        <v>6803108</v>
      </c>
      <c r="B215" s="116">
        <v>80720</v>
      </c>
      <c r="C215" s="117" t="s">
        <v>3195</v>
      </c>
      <c r="D215" s="116">
        <v>1020</v>
      </c>
      <c r="E215" s="116">
        <v>238</v>
      </c>
      <c r="F215" s="116" t="s">
        <v>2088</v>
      </c>
    </row>
    <row r="216" spans="1:6" ht="13.2">
      <c r="A216" s="116">
        <v>6803201</v>
      </c>
      <c r="B216" s="116">
        <v>80450</v>
      </c>
      <c r="C216" s="117" t="s">
        <v>3196</v>
      </c>
      <c r="D216" s="116">
        <v>90</v>
      </c>
      <c r="E216" s="116">
        <v>933</v>
      </c>
      <c r="F216" s="116" t="s">
        <v>2088</v>
      </c>
    </row>
    <row r="217" spans="1:6" ht="13.2">
      <c r="A217" s="116">
        <v>6803215</v>
      </c>
      <c r="B217" s="116">
        <v>81090</v>
      </c>
      <c r="C217" s="117" t="s">
        <v>3197</v>
      </c>
      <c r="D217" s="116">
        <v>587</v>
      </c>
      <c r="E217" s="116">
        <v>3921</v>
      </c>
      <c r="F217" s="116" t="s">
        <v>2180</v>
      </c>
    </row>
    <row r="218" spans="1:6" ht="13.2">
      <c r="A218" s="116">
        <v>6803301</v>
      </c>
      <c r="B218" s="116">
        <v>81090</v>
      </c>
      <c r="C218" s="117" t="s">
        <v>3198</v>
      </c>
      <c r="D218" s="116">
        <v>120</v>
      </c>
      <c r="E218" s="116">
        <v>3921</v>
      </c>
      <c r="F218" s="116" t="s">
        <v>2180</v>
      </c>
    </row>
    <row r="219" spans="1:6" ht="13.2">
      <c r="A219" s="116">
        <v>6803401</v>
      </c>
      <c r="B219" s="116">
        <v>80711</v>
      </c>
      <c r="C219" s="117" t="s">
        <v>3199</v>
      </c>
      <c r="D219" s="116">
        <v>1330</v>
      </c>
      <c r="E219" s="116">
        <v>225</v>
      </c>
      <c r="F219" s="116" t="s">
        <v>2088</v>
      </c>
    </row>
    <row r="220" spans="1:6" ht="13.2">
      <c r="A220" s="116">
        <v>6803501</v>
      </c>
      <c r="B220" s="116">
        <v>80719</v>
      </c>
      <c r="C220" s="117" t="s">
        <v>3200</v>
      </c>
      <c r="D220" s="116">
        <v>710</v>
      </c>
      <c r="E220" s="116">
        <v>186</v>
      </c>
      <c r="F220" s="116" t="s">
        <v>2088</v>
      </c>
    </row>
    <row r="221" spans="1:6" ht="13.2">
      <c r="A221" s="116">
        <v>6803601</v>
      </c>
      <c r="B221" s="116">
        <v>80820</v>
      </c>
      <c r="C221" s="117" t="s">
        <v>3201</v>
      </c>
      <c r="D221" s="116">
        <v>121</v>
      </c>
      <c r="E221" s="116">
        <v>1120</v>
      </c>
      <c r="F221" s="116" t="s">
        <v>1831</v>
      </c>
    </row>
    <row r="222" spans="1:6" ht="13.2">
      <c r="A222" s="116">
        <v>6803701</v>
      </c>
      <c r="B222" s="116">
        <v>80930</v>
      </c>
      <c r="C222" s="117" t="s">
        <v>3202</v>
      </c>
      <c r="D222" s="116">
        <v>376</v>
      </c>
      <c r="E222" s="116">
        <v>1385</v>
      </c>
      <c r="F222" s="116" t="s">
        <v>2192</v>
      </c>
    </row>
    <row r="223" spans="1:6" ht="13.2">
      <c r="A223" s="116">
        <v>6803801</v>
      </c>
      <c r="B223" s="116">
        <v>81090</v>
      </c>
      <c r="C223" s="117" t="s">
        <v>3203</v>
      </c>
      <c r="D223" s="116">
        <v>587</v>
      </c>
      <c r="E223" s="116">
        <v>3921</v>
      </c>
      <c r="F223" s="116" t="s">
        <v>2180</v>
      </c>
    </row>
    <row r="224" spans="1:6" ht="13.2">
      <c r="A224" s="116">
        <v>6803802</v>
      </c>
      <c r="B224" s="116">
        <v>81090</v>
      </c>
      <c r="C224" s="117" t="s">
        <v>3204</v>
      </c>
      <c r="D224" s="116">
        <v>587</v>
      </c>
      <c r="E224" s="116">
        <v>3921</v>
      </c>
      <c r="F224" s="116" t="s">
        <v>2180</v>
      </c>
    </row>
    <row r="225" spans="1:6" ht="13.2">
      <c r="A225" s="116">
        <v>6803803</v>
      </c>
      <c r="B225" s="116">
        <v>81090</v>
      </c>
      <c r="C225" s="117" t="s">
        <v>3205</v>
      </c>
      <c r="D225" s="116">
        <v>587</v>
      </c>
      <c r="E225" s="116">
        <v>3921</v>
      </c>
      <c r="F225" s="116" t="s">
        <v>2180</v>
      </c>
    </row>
    <row r="226" spans="1:6" ht="13.2">
      <c r="A226" s="116">
        <v>6803901</v>
      </c>
      <c r="B226" s="116">
        <v>80610</v>
      </c>
      <c r="C226" s="117" t="s">
        <v>3206</v>
      </c>
      <c r="D226" s="116">
        <v>197</v>
      </c>
      <c r="E226" s="116">
        <v>352</v>
      </c>
      <c r="F226" s="116" t="s">
        <v>2088</v>
      </c>
    </row>
    <row r="227" spans="1:6" ht="13.2">
      <c r="A227" s="116">
        <v>6803912</v>
      </c>
      <c r="B227" s="116">
        <v>80620</v>
      </c>
      <c r="C227" s="117" t="s">
        <v>3207</v>
      </c>
      <c r="D227" s="116">
        <v>684</v>
      </c>
      <c r="E227" s="116">
        <v>1409</v>
      </c>
      <c r="F227" s="116" t="s">
        <v>2088</v>
      </c>
    </row>
    <row r="228" spans="1:6" ht="13.2">
      <c r="A228" s="116">
        <v>6804001</v>
      </c>
      <c r="B228" s="116">
        <v>81090</v>
      </c>
      <c r="C228" s="117" t="s">
        <v>3208</v>
      </c>
      <c r="D228" s="116">
        <v>587</v>
      </c>
      <c r="E228" s="116">
        <v>3921</v>
      </c>
      <c r="F228" s="116" t="s">
        <v>2180</v>
      </c>
    </row>
    <row r="229" spans="1:6" ht="13.2">
      <c r="A229" s="116">
        <v>6804101</v>
      </c>
      <c r="B229" s="116">
        <v>81090</v>
      </c>
      <c r="C229" s="117" t="s">
        <v>3209</v>
      </c>
      <c r="D229" s="116">
        <v>587</v>
      </c>
      <c r="E229" s="116">
        <v>3921</v>
      </c>
      <c r="F229" s="116" t="s">
        <v>2180</v>
      </c>
    </row>
    <row r="230" spans="1:6" ht="13.2">
      <c r="A230" s="116">
        <v>6804201</v>
      </c>
      <c r="B230" s="116">
        <v>80450</v>
      </c>
      <c r="C230" s="117" t="s">
        <v>3210</v>
      </c>
      <c r="D230" s="116">
        <v>90</v>
      </c>
      <c r="E230" s="116">
        <v>933</v>
      </c>
      <c r="F230" s="116" t="s">
        <v>2088</v>
      </c>
    </row>
    <row r="231" spans="1:6" ht="13.2">
      <c r="A231" s="116">
        <v>6804203</v>
      </c>
      <c r="B231" s="116">
        <v>81090</v>
      </c>
      <c r="C231" s="117" t="s">
        <v>3211</v>
      </c>
      <c r="D231" s="116">
        <v>587</v>
      </c>
      <c r="E231" s="116">
        <v>3921</v>
      </c>
      <c r="F231" s="116" t="s">
        <v>2180</v>
      </c>
    </row>
    <row r="232" spans="1:6" ht="13.2">
      <c r="A232" s="116">
        <v>6804301</v>
      </c>
      <c r="B232" s="116">
        <v>80940</v>
      </c>
      <c r="C232" s="117" t="s">
        <v>3212</v>
      </c>
      <c r="D232" s="116">
        <v>368</v>
      </c>
      <c r="E232" s="116">
        <v>1385</v>
      </c>
      <c r="F232" s="116" t="s">
        <v>2110</v>
      </c>
    </row>
    <row r="233" spans="1:6" ht="13.2">
      <c r="A233" s="116">
        <v>6804401</v>
      </c>
      <c r="B233" s="116">
        <v>81090</v>
      </c>
      <c r="C233" s="117" t="s">
        <v>3213</v>
      </c>
      <c r="D233" s="116">
        <v>1440</v>
      </c>
      <c r="E233" s="116">
        <v>3921</v>
      </c>
      <c r="F233" s="116" t="s">
        <v>2180</v>
      </c>
    </row>
    <row r="234" spans="1:6" ht="13.2">
      <c r="A234" s="116">
        <v>6804501</v>
      </c>
      <c r="B234" s="116">
        <v>80920</v>
      </c>
      <c r="C234" s="117" t="s">
        <v>3214</v>
      </c>
      <c r="D234" s="116">
        <v>355</v>
      </c>
      <c r="E234" s="116">
        <v>1385</v>
      </c>
      <c r="F234" s="116" t="s">
        <v>2161</v>
      </c>
    </row>
    <row r="235" spans="1:6" ht="13.2">
      <c r="A235" s="116">
        <v>6804601</v>
      </c>
      <c r="B235" s="116">
        <v>81090</v>
      </c>
      <c r="C235" s="117" t="s">
        <v>3215</v>
      </c>
      <c r="D235" s="116">
        <v>587</v>
      </c>
      <c r="E235" s="116">
        <v>3921</v>
      </c>
      <c r="F235" s="116" t="s">
        <v>2180</v>
      </c>
    </row>
    <row r="236" spans="1:6" ht="13.2">
      <c r="A236" s="116">
        <v>6804602</v>
      </c>
      <c r="B236" s="116">
        <v>81090</v>
      </c>
      <c r="C236" s="117" t="s">
        <v>3216</v>
      </c>
      <c r="D236" s="116">
        <v>587</v>
      </c>
      <c r="E236" s="116">
        <v>3921</v>
      </c>
      <c r="F236" s="116" t="s">
        <v>2180</v>
      </c>
    </row>
    <row r="237" spans="1:6" ht="13.2">
      <c r="A237" s="116">
        <v>6804701</v>
      </c>
      <c r="B237" s="116">
        <v>81090</v>
      </c>
      <c r="C237" s="117" t="s">
        <v>3217</v>
      </c>
      <c r="D237" s="116">
        <v>587</v>
      </c>
      <c r="E237" s="116">
        <v>3921</v>
      </c>
      <c r="F237" s="116" t="s">
        <v>2180</v>
      </c>
    </row>
    <row r="238" spans="1:6" ht="13.2">
      <c r="A238" s="116">
        <v>6804702</v>
      </c>
      <c r="B238" s="116">
        <v>81090</v>
      </c>
      <c r="C238" s="117" t="s">
        <v>3218</v>
      </c>
      <c r="D238" s="116">
        <v>587</v>
      </c>
      <c r="E238" s="116">
        <v>3921</v>
      </c>
      <c r="F238" s="116" t="s">
        <v>2180</v>
      </c>
    </row>
    <row r="239" spans="1:6" ht="13.2">
      <c r="A239" s="116">
        <v>6804801</v>
      </c>
      <c r="B239" s="116">
        <v>81090</v>
      </c>
      <c r="C239" s="117" t="s">
        <v>3219</v>
      </c>
      <c r="D239" s="116">
        <v>587</v>
      </c>
      <c r="E239" s="116">
        <v>3921</v>
      </c>
      <c r="F239" s="116" t="s">
        <v>2180</v>
      </c>
    </row>
    <row r="240" spans="1:6" ht="13.2">
      <c r="A240" s="116">
        <v>6804901</v>
      </c>
      <c r="B240" s="116">
        <v>81090</v>
      </c>
      <c r="C240" s="117" t="s">
        <v>3220</v>
      </c>
      <c r="D240" s="116">
        <v>587</v>
      </c>
      <c r="E240" s="116">
        <v>3921</v>
      </c>
      <c r="F240" s="116" t="s">
        <v>2180</v>
      </c>
    </row>
    <row r="241" spans="1:6" ht="13.2">
      <c r="A241" s="116">
        <v>6805001</v>
      </c>
      <c r="B241" s="116">
        <v>81090</v>
      </c>
      <c r="C241" s="117" t="s">
        <v>3221</v>
      </c>
      <c r="D241" s="116">
        <v>587</v>
      </c>
      <c r="E241" s="116">
        <v>3921</v>
      </c>
      <c r="F241" s="116" t="s">
        <v>2180</v>
      </c>
    </row>
    <row r="242" spans="1:6" ht="13.2">
      <c r="A242" s="116">
        <v>6805201</v>
      </c>
      <c r="B242" s="116">
        <v>81010</v>
      </c>
      <c r="C242" s="117" t="s">
        <v>3222</v>
      </c>
      <c r="D242" s="116">
        <v>570</v>
      </c>
      <c r="E242" s="116">
        <v>521</v>
      </c>
      <c r="F242" s="116" t="s">
        <v>2212</v>
      </c>
    </row>
    <row r="243" spans="1:6" ht="13.2">
      <c r="A243" s="116">
        <v>6805301</v>
      </c>
      <c r="B243" s="116">
        <v>81090</v>
      </c>
      <c r="C243" s="117" t="s">
        <v>3223</v>
      </c>
      <c r="D243" s="116">
        <v>587</v>
      </c>
      <c r="E243" s="116">
        <v>3921</v>
      </c>
      <c r="F243" s="116" t="s">
        <v>2180</v>
      </c>
    </row>
    <row r="244" spans="1:6" ht="13.2">
      <c r="A244" s="116">
        <v>6805401</v>
      </c>
      <c r="B244" s="116">
        <v>81090</v>
      </c>
      <c r="C244" s="117" t="s">
        <v>3224</v>
      </c>
      <c r="D244" s="116">
        <v>587</v>
      </c>
      <c r="E244" s="116">
        <v>3921</v>
      </c>
      <c r="F244" s="116" t="s">
        <v>2180</v>
      </c>
    </row>
    <row r="245" spans="1:6" ht="13.2">
      <c r="A245" s="116">
        <v>6805601</v>
      </c>
      <c r="B245" s="116">
        <v>81090</v>
      </c>
      <c r="C245" s="117" t="s">
        <v>3225</v>
      </c>
      <c r="D245" s="116">
        <v>587</v>
      </c>
      <c r="E245" s="116">
        <v>3921</v>
      </c>
      <c r="F245" s="116" t="s">
        <v>2180</v>
      </c>
    </row>
    <row r="246" spans="1:6" ht="13.2">
      <c r="A246" s="116">
        <v>6805701</v>
      </c>
      <c r="B246" s="116">
        <v>81090</v>
      </c>
      <c r="C246" s="117" t="s">
        <v>3226</v>
      </c>
      <c r="D246" s="116">
        <v>587</v>
      </c>
      <c r="E246" s="116">
        <v>3921</v>
      </c>
      <c r="F246" s="116" t="s">
        <v>2180</v>
      </c>
    </row>
    <row r="247" spans="1:6" ht="13.2">
      <c r="A247" s="116">
        <v>6805801</v>
      </c>
      <c r="B247" s="116">
        <v>81090</v>
      </c>
      <c r="C247" s="117" t="s">
        <v>3227</v>
      </c>
      <c r="D247" s="116">
        <v>587</v>
      </c>
      <c r="E247" s="116">
        <v>3921</v>
      </c>
      <c r="F247" s="116" t="s">
        <v>2180</v>
      </c>
    </row>
    <row r="248" spans="1:6" ht="13.2">
      <c r="A248" s="116">
        <v>6805901</v>
      </c>
      <c r="B248" s="116">
        <v>81090</v>
      </c>
      <c r="C248" s="117" t="s">
        <v>3228</v>
      </c>
      <c r="D248" s="116">
        <v>587</v>
      </c>
      <c r="E248" s="116">
        <v>3921</v>
      </c>
      <c r="F248" s="116" t="s">
        <v>2180</v>
      </c>
    </row>
    <row r="249" spans="1:6" ht="13.2">
      <c r="A249" s="116">
        <v>6806001</v>
      </c>
      <c r="B249" s="116">
        <v>81090</v>
      </c>
      <c r="C249" s="117" t="s">
        <v>3229</v>
      </c>
      <c r="D249" s="116">
        <v>587</v>
      </c>
      <c r="E249" s="116">
        <v>3921</v>
      </c>
      <c r="F249" s="116" t="s">
        <v>2180</v>
      </c>
    </row>
    <row r="250" spans="1:6" ht="13.2">
      <c r="A250" s="116">
        <v>6806101</v>
      </c>
      <c r="B250" s="116">
        <v>81090</v>
      </c>
      <c r="C250" s="117" t="s">
        <v>3230</v>
      </c>
      <c r="D250" s="116">
        <v>587</v>
      </c>
      <c r="E250" s="116">
        <v>3921</v>
      </c>
      <c r="F250" s="116" t="s">
        <v>2180</v>
      </c>
    </row>
    <row r="251" spans="1:6" ht="13.2">
      <c r="A251" s="116">
        <v>6806201</v>
      </c>
      <c r="B251" s="116">
        <v>81090</v>
      </c>
      <c r="C251" s="117" t="s">
        <v>3231</v>
      </c>
      <c r="D251" s="116">
        <v>587</v>
      </c>
      <c r="E251" s="116">
        <v>3921</v>
      </c>
      <c r="F251" s="116" t="s">
        <v>2180</v>
      </c>
    </row>
    <row r="252" spans="1:6" ht="13.2">
      <c r="A252" s="116">
        <v>6806301</v>
      </c>
      <c r="B252" s="116">
        <v>180100</v>
      </c>
      <c r="C252" s="117" t="s">
        <v>3232</v>
      </c>
      <c r="D252" s="116">
        <v>3100</v>
      </c>
      <c r="E252" s="116">
        <v>30990</v>
      </c>
      <c r="F252" s="116" t="s">
        <v>2223</v>
      </c>
    </row>
    <row r="253" spans="1:6" ht="13.2">
      <c r="A253" s="116">
        <v>6806401</v>
      </c>
      <c r="B253" s="116">
        <v>81090</v>
      </c>
      <c r="C253" s="117" t="s">
        <v>3233</v>
      </c>
      <c r="D253" s="116">
        <v>587</v>
      </c>
      <c r="E253" s="116">
        <v>3921</v>
      </c>
      <c r="F253" s="116" t="s">
        <v>2180</v>
      </c>
    </row>
    <row r="254" spans="1:6" ht="13.2">
      <c r="A254" s="116">
        <v>6806501</v>
      </c>
      <c r="B254" s="116">
        <v>81090</v>
      </c>
      <c r="C254" s="117" t="s">
        <v>3234</v>
      </c>
      <c r="D254" s="116">
        <v>587</v>
      </c>
      <c r="E254" s="116">
        <v>3921</v>
      </c>
      <c r="F254" s="116" t="s">
        <v>2180</v>
      </c>
    </row>
    <row r="255" spans="1:6" ht="13.2">
      <c r="A255" s="116">
        <v>6806601</v>
      </c>
      <c r="B255" s="116">
        <v>81090</v>
      </c>
      <c r="C255" s="117" t="s">
        <v>3235</v>
      </c>
      <c r="D255" s="116">
        <v>587</v>
      </c>
      <c r="E255" s="116">
        <v>3921</v>
      </c>
      <c r="F255" s="116" t="s">
        <v>2180</v>
      </c>
    </row>
    <row r="256" spans="1:6" ht="13.2">
      <c r="A256" s="116">
        <v>6806701</v>
      </c>
      <c r="B256" s="116">
        <v>81090</v>
      </c>
      <c r="C256" s="117" t="s">
        <v>3236</v>
      </c>
      <c r="D256" s="116">
        <v>587</v>
      </c>
      <c r="E256" s="116">
        <v>3921</v>
      </c>
      <c r="F256" s="116" t="s">
        <v>2180</v>
      </c>
    </row>
    <row r="257" spans="1:6" ht="13.2">
      <c r="A257" s="116">
        <v>6806801</v>
      </c>
      <c r="B257" s="116">
        <v>81090</v>
      </c>
      <c r="C257" s="117" t="s">
        <v>3237</v>
      </c>
      <c r="D257" s="116">
        <v>587</v>
      </c>
      <c r="E257" s="116">
        <v>3921</v>
      </c>
      <c r="F257" s="116" t="s">
        <v>2180</v>
      </c>
    </row>
    <row r="258" spans="1:6" ht="13.2">
      <c r="A258" s="116">
        <v>6806901</v>
      </c>
      <c r="B258" s="116">
        <v>81090</v>
      </c>
      <c r="C258" s="117" t="s">
        <v>3238</v>
      </c>
      <c r="D258" s="116">
        <v>587</v>
      </c>
      <c r="E258" s="116">
        <v>3921</v>
      </c>
      <c r="F258" s="116" t="s">
        <v>2180</v>
      </c>
    </row>
    <row r="259" spans="1:6" ht="13.2">
      <c r="A259" s="116">
        <v>6807001</v>
      </c>
      <c r="B259" s="116">
        <v>81090</v>
      </c>
      <c r="C259" s="117" t="s">
        <v>3239</v>
      </c>
      <c r="D259" s="116">
        <v>587</v>
      </c>
      <c r="E259" s="116">
        <v>3921</v>
      </c>
      <c r="F259" s="116" t="s">
        <v>2180</v>
      </c>
    </row>
    <row r="260" spans="1:6" ht="13.2">
      <c r="A260" s="116">
        <v>6807101</v>
      </c>
      <c r="B260" s="116">
        <v>81090</v>
      </c>
      <c r="C260" s="117" t="s">
        <v>3240</v>
      </c>
      <c r="D260" s="116">
        <v>587</v>
      </c>
      <c r="E260" s="116">
        <v>3921</v>
      </c>
      <c r="F260" s="116" t="s">
        <v>2180</v>
      </c>
    </row>
    <row r="261" spans="1:6" ht="13.2">
      <c r="A261" s="116">
        <v>6807103</v>
      </c>
      <c r="B261" s="116">
        <v>81090</v>
      </c>
      <c r="C261" s="117" t="s">
        <v>3241</v>
      </c>
      <c r="D261" s="116">
        <v>587</v>
      </c>
      <c r="E261" s="116">
        <v>3921</v>
      </c>
      <c r="F261" s="116" t="s">
        <v>2180</v>
      </c>
    </row>
    <row r="262" spans="1:6" ht="13.2">
      <c r="A262" s="116">
        <v>6807202</v>
      </c>
      <c r="B262" s="116">
        <v>81090</v>
      </c>
      <c r="C262" s="117" t="s">
        <v>3242</v>
      </c>
      <c r="D262" s="116">
        <v>587</v>
      </c>
      <c r="E262" s="116">
        <v>3921</v>
      </c>
      <c r="F262" s="116" t="s">
        <v>2180</v>
      </c>
    </row>
    <row r="263" spans="1:6" ht="13.2">
      <c r="A263" s="116">
        <v>6807301</v>
      </c>
      <c r="B263" s="116">
        <v>81090</v>
      </c>
      <c r="C263" s="117" t="s">
        <v>3243</v>
      </c>
      <c r="D263" s="116">
        <v>587</v>
      </c>
      <c r="E263" s="116">
        <v>3921</v>
      </c>
      <c r="F263" s="116" t="s">
        <v>2180</v>
      </c>
    </row>
    <row r="264" spans="1:6" ht="13.2">
      <c r="A264" s="116">
        <v>6807401</v>
      </c>
      <c r="B264" s="116">
        <v>80930</v>
      </c>
      <c r="C264" s="117" t="s">
        <v>3244</v>
      </c>
      <c r="D264" s="116">
        <v>376</v>
      </c>
      <c r="E264" s="116">
        <v>1385</v>
      </c>
      <c r="F264" s="116" t="s">
        <v>2192</v>
      </c>
    </row>
    <row r="265" spans="1:6" ht="13.2">
      <c r="A265" s="116">
        <v>6807501</v>
      </c>
      <c r="B265" s="116">
        <v>81090</v>
      </c>
      <c r="C265" s="117" t="s">
        <v>3245</v>
      </c>
      <c r="D265" s="116">
        <v>587</v>
      </c>
      <c r="E265" s="116">
        <v>3921</v>
      </c>
      <c r="F265" s="116" t="s">
        <v>2180</v>
      </c>
    </row>
    <row r="266" spans="1:6" ht="13.2">
      <c r="A266" s="116">
        <v>6807601</v>
      </c>
      <c r="B266" s="116">
        <v>81090</v>
      </c>
      <c r="C266" s="117" t="s">
        <v>3246</v>
      </c>
      <c r="D266" s="116">
        <v>587</v>
      </c>
      <c r="E266" s="116">
        <v>3921</v>
      </c>
      <c r="F266" s="116" t="s">
        <v>2180</v>
      </c>
    </row>
    <row r="267" spans="1:6" ht="13.2">
      <c r="A267" s="116">
        <v>6807701</v>
      </c>
      <c r="B267" s="116">
        <v>81090</v>
      </c>
      <c r="C267" s="117" t="s">
        <v>3247</v>
      </c>
      <c r="D267" s="116">
        <v>587</v>
      </c>
      <c r="E267" s="116">
        <v>3921</v>
      </c>
      <c r="F267" s="116" t="s">
        <v>2180</v>
      </c>
    </row>
    <row r="268" spans="1:6" ht="13.2">
      <c r="A268" s="116">
        <v>6807801</v>
      </c>
      <c r="B268" s="116">
        <v>81050</v>
      </c>
      <c r="C268" s="117" t="s">
        <v>3248</v>
      </c>
      <c r="D268" s="116">
        <v>1328</v>
      </c>
      <c r="E268" s="116">
        <v>1201</v>
      </c>
      <c r="F268" s="116" t="s">
        <v>2240</v>
      </c>
    </row>
    <row r="269" spans="1:6" ht="13.2">
      <c r="A269" s="116">
        <v>6808001</v>
      </c>
      <c r="B269" s="116">
        <v>81090</v>
      </c>
      <c r="C269" s="117" t="s">
        <v>3249</v>
      </c>
      <c r="D269" s="116">
        <v>587</v>
      </c>
      <c r="E269" s="116">
        <v>3921</v>
      </c>
      <c r="F269" s="116" t="s">
        <v>2180</v>
      </c>
    </row>
    <row r="270" spans="1:6" ht="13.2">
      <c r="A270" s="116">
        <v>6808201</v>
      </c>
      <c r="B270" s="116">
        <v>81090</v>
      </c>
      <c r="C270" s="117" t="s">
        <v>3250</v>
      </c>
      <c r="D270" s="116">
        <v>587</v>
      </c>
      <c r="E270" s="116">
        <v>3921</v>
      </c>
      <c r="F270" s="116" t="s">
        <v>2180</v>
      </c>
    </row>
    <row r="271" spans="1:6" ht="13.2">
      <c r="A271" s="116">
        <v>6808401</v>
      </c>
      <c r="B271" s="116">
        <v>81090</v>
      </c>
      <c r="C271" s="117" t="s">
        <v>3251</v>
      </c>
      <c r="D271" s="116">
        <v>865</v>
      </c>
      <c r="E271" s="116">
        <v>3921</v>
      </c>
      <c r="F271" s="116" t="s">
        <v>2180</v>
      </c>
    </row>
    <row r="272" spans="1:6" ht="13.2">
      <c r="A272" s="116">
        <v>6808601</v>
      </c>
      <c r="B272" s="116">
        <v>80810</v>
      </c>
      <c r="C272" s="117" t="s">
        <v>3252</v>
      </c>
      <c r="D272" s="116">
        <v>238</v>
      </c>
      <c r="E272" s="116">
        <v>174</v>
      </c>
      <c r="F272" s="116" t="s">
        <v>2003</v>
      </c>
    </row>
    <row r="273" spans="1:6" ht="13.2">
      <c r="A273" s="116">
        <v>6808901</v>
      </c>
      <c r="B273" s="116">
        <v>81090</v>
      </c>
      <c r="C273" s="117" t="s">
        <v>3253</v>
      </c>
      <c r="D273" s="116">
        <v>587</v>
      </c>
      <c r="E273" s="116">
        <v>3921</v>
      </c>
      <c r="F273" s="116" t="s">
        <v>2180</v>
      </c>
    </row>
    <row r="274" spans="1:6" ht="13.2">
      <c r="A274" s="116">
        <v>6809901</v>
      </c>
      <c r="B274" s="116">
        <v>81090</v>
      </c>
      <c r="C274" s="117" t="s">
        <v>3254</v>
      </c>
      <c r="D274" s="116">
        <v>170</v>
      </c>
      <c r="E274" s="116">
        <v>3921</v>
      </c>
      <c r="F274" s="116" t="s">
        <v>2180</v>
      </c>
    </row>
    <row r="275" spans="1:6" ht="13.2">
      <c r="A275" s="116">
        <v>6810201</v>
      </c>
      <c r="B275" s="116">
        <v>81090</v>
      </c>
      <c r="C275" s="117" t="s">
        <v>3255</v>
      </c>
      <c r="D275" s="116">
        <v>587</v>
      </c>
      <c r="E275" s="116">
        <v>3921</v>
      </c>
      <c r="F275" s="116" t="s">
        <v>2180</v>
      </c>
    </row>
    <row r="276" spans="1:6" ht="13.2">
      <c r="A276" s="116">
        <v>6900302</v>
      </c>
      <c r="B276" s="116">
        <v>170111</v>
      </c>
      <c r="C276" s="117" t="s">
        <v>3256</v>
      </c>
      <c r="D276" s="116">
        <v>767</v>
      </c>
      <c r="E276" s="116">
        <v>649</v>
      </c>
      <c r="F276" s="116" t="s">
        <v>2178</v>
      </c>
    </row>
    <row r="277" spans="1:6" ht="13.2">
      <c r="A277" s="116">
        <v>6900304</v>
      </c>
      <c r="B277" s="116">
        <v>170111</v>
      </c>
      <c r="C277" s="117" t="s">
        <v>3257</v>
      </c>
      <c r="D277" s="116">
        <v>1800</v>
      </c>
      <c r="E277" s="116">
        <v>1091</v>
      </c>
      <c r="F277" s="116" t="s">
        <v>2178</v>
      </c>
    </row>
    <row r="278" spans="1:6" ht="13.2">
      <c r="A278" s="116">
        <v>6900401</v>
      </c>
      <c r="B278" s="116">
        <v>170191</v>
      </c>
      <c r="C278" s="117" t="s">
        <v>3258</v>
      </c>
      <c r="D278" s="116">
        <v>767</v>
      </c>
      <c r="E278" s="116">
        <v>345</v>
      </c>
      <c r="F278" s="116" t="s">
        <v>2178</v>
      </c>
    </row>
    <row r="279" spans="1:6" ht="13.2">
      <c r="A279" s="116">
        <v>6900402</v>
      </c>
      <c r="B279" s="116">
        <v>170191</v>
      </c>
      <c r="C279" s="117" t="s">
        <v>3259</v>
      </c>
      <c r="D279" s="116">
        <v>767</v>
      </c>
      <c r="E279" s="116">
        <v>345</v>
      </c>
      <c r="F279" s="116" t="s">
        <v>2178</v>
      </c>
    </row>
    <row r="280" spans="1:6" ht="13.2">
      <c r="A280" s="116">
        <v>6900403</v>
      </c>
      <c r="B280" s="116">
        <v>170111</v>
      </c>
      <c r="C280" s="117" t="s">
        <v>3260</v>
      </c>
      <c r="D280" s="116">
        <v>767</v>
      </c>
      <c r="E280" s="116">
        <v>649</v>
      </c>
      <c r="F280" s="116" t="s">
        <v>2178</v>
      </c>
    </row>
    <row r="281" spans="1:6" ht="13.2">
      <c r="A281" s="116">
        <v>6900501</v>
      </c>
      <c r="B281" s="116">
        <v>210500</v>
      </c>
      <c r="C281" s="117" t="s">
        <v>3261</v>
      </c>
      <c r="D281" s="116">
        <v>2350</v>
      </c>
      <c r="E281" s="116">
        <v>6115</v>
      </c>
      <c r="F281" s="116" t="s">
        <v>2253</v>
      </c>
    </row>
    <row r="282" spans="1:6" ht="13.2">
      <c r="A282" s="116">
        <v>6900502</v>
      </c>
      <c r="B282" s="116">
        <v>210500</v>
      </c>
      <c r="C282" s="117" t="s">
        <v>3262</v>
      </c>
      <c r="D282" s="116">
        <v>2350</v>
      </c>
      <c r="E282" s="116">
        <v>6115</v>
      </c>
      <c r="F282" s="116" t="s">
        <v>2253</v>
      </c>
    </row>
    <row r="283" spans="1:6" ht="13.2">
      <c r="A283" s="116">
        <v>6900601</v>
      </c>
      <c r="B283" s="116">
        <v>170410</v>
      </c>
      <c r="C283" s="117" t="s">
        <v>3263</v>
      </c>
      <c r="D283" s="116">
        <v>3295</v>
      </c>
      <c r="E283" s="116">
        <v>588</v>
      </c>
      <c r="F283" s="116" t="s">
        <v>2178</v>
      </c>
    </row>
    <row r="284" spans="1:6" ht="13.2">
      <c r="A284" s="116">
        <v>6900603</v>
      </c>
      <c r="B284" s="116">
        <v>170490</v>
      </c>
      <c r="C284" s="117" t="s">
        <v>3264</v>
      </c>
      <c r="D284" s="116">
        <v>4000</v>
      </c>
      <c r="E284" s="116">
        <v>588</v>
      </c>
      <c r="F284" s="116" t="s">
        <v>2178</v>
      </c>
    </row>
    <row r="285" spans="1:6" ht="13.2">
      <c r="A285" s="116">
        <v>6900604</v>
      </c>
      <c r="B285" s="116">
        <v>170490</v>
      </c>
      <c r="C285" s="117" t="s">
        <v>3265</v>
      </c>
      <c r="D285" s="116">
        <v>3295</v>
      </c>
      <c r="E285" s="116">
        <v>588</v>
      </c>
      <c r="F285" s="116" t="s">
        <v>2178</v>
      </c>
    </row>
    <row r="286" spans="1:6" ht="13.2">
      <c r="A286" s="116">
        <v>6900605</v>
      </c>
      <c r="B286" s="116">
        <v>170490</v>
      </c>
      <c r="C286" s="117" t="s">
        <v>3266</v>
      </c>
      <c r="D286" s="116">
        <v>3295</v>
      </c>
      <c r="E286" s="116">
        <v>588</v>
      </c>
      <c r="F286" s="116" t="s">
        <v>2178</v>
      </c>
    </row>
    <row r="287" spans="1:6" ht="13.2">
      <c r="A287" s="116">
        <v>6900606</v>
      </c>
      <c r="B287" s="116">
        <v>170490</v>
      </c>
      <c r="C287" s="117" t="s">
        <v>3267</v>
      </c>
      <c r="D287" s="116">
        <v>3295</v>
      </c>
      <c r="E287" s="116">
        <v>588</v>
      </c>
      <c r="F287" s="116" t="s">
        <v>2178</v>
      </c>
    </row>
    <row r="288" spans="1:6" ht="13.2">
      <c r="A288" s="116">
        <v>6900607</v>
      </c>
      <c r="B288" s="116">
        <v>170490</v>
      </c>
      <c r="C288" s="117" t="s">
        <v>3268</v>
      </c>
      <c r="D288" s="116">
        <v>3295</v>
      </c>
      <c r="E288" s="116">
        <v>588</v>
      </c>
      <c r="F288" s="116" t="s">
        <v>2178</v>
      </c>
    </row>
    <row r="289" spans="1:6" ht="13.2">
      <c r="A289" s="116">
        <v>6900609</v>
      </c>
      <c r="B289" s="116">
        <v>170410</v>
      </c>
      <c r="C289" s="117" t="s">
        <v>3269</v>
      </c>
      <c r="D289" s="116">
        <v>3295</v>
      </c>
      <c r="E289" s="116">
        <v>588</v>
      </c>
      <c r="F289" s="116" t="s">
        <v>2178</v>
      </c>
    </row>
    <row r="290" spans="1:6" ht="13.2">
      <c r="A290" s="116">
        <v>6900610</v>
      </c>
      <c r="B290" s="116">
        <v>170490</v>
      </c>
      <c r="C290" s="117" t="s">
        <v>3270</v>
      </c>
      <c r="D290" s="116">
        <v>2590</v>
      </c>
      <c r="E290" s="116">
        <v>588</v>
      </c>
      <c r="F290" s="116" t="s">
        <v>2178</v>
      </c>
    </row>
    <row r="291" spans="1:6" ht="13.2">
      <c r="A291" s="116">
        <v>6900701</v>
      </c>
      <c r="B291" s="116">
        <v>180500</v>
      </c>
      <c r="C291" s="117" t="s">
        <v>3271</v>
      </c>
      <c r="D291" s="116">
        <v>2333</v>
      </c>
      <c r="E291" s="116">
        <v>26430</v>
      </c>
      <c r="F291" s="116" t="s">
        <v>2223</v>
      </c>
    </row>
    <row r="292" spans="1:6" ht="13.2">
      <c r="A292" s="116">
        <v>6900702</v>
      </c>
      <c r="B292" s="116">
        <v>180500</v>
      </c>
      <c r="C292" s="117" t="s">
        <v>3272</v>
      </c>
      <c r="D292" s="116">
        <v>2333</v>
      </c>
      <c r="E292" s="116">
        <v>26430</v>
      </c>
      <c r="F292" s="116" t="s">
        <v>2223</v>
      </c>
    </row>
    <row r="293" spans="1:6" ht="13.2">
      <c r="A293" s="116">
        <v>6900706</v>
      </c>
      <c r="B293" s="116">
        <v>180500</v>
      </c>
      <c r="C293" s="117" t="s">
        <v>3273</v>
      </c>
      <c r="D293" s="116">
        <v>2333</v>
      </c>
      <c r="E293" s="116">
        <v>26430</v>
      </c>
      <c r="F293" s="116" t="s">
        <v>2223</v>
      </c>
    </row>
    <row r="294" spans="1:6" ht="13.2">
      <c r="A294" s="116">
        <v>6900801</v>
      </c>
      <c r="B294" s="116">
        <v>180610</v>
      </c>
      <c r="C294" s="117" t="s">
        <v>3274</v>
      </c>
      <c r="D294" s="116">
        <v>2525</v>
      </c>
      <c r="E294" s="116">
        <v>24910</v>
      </c>
      <c r="F294" s="116" t="s">
        <v>2223</v>
      </c>
    </row>
    <row r="295" spans="1:6" ht="13.2">
      <c r="A295" s="116">
        <v>6900818</v>
      </c>
      <c r="B295" s="116">
        <v>220290</v>
      </c>
      <c r="C295" s="117" t="s">
        <v>3275</v>
      </c>
      <c r="D295" s="116">
        <v>794</v>
      </c>
      <c r="E295" s="116">
        <v>1519</v>
      </c>
      <c r="F295" s="116" t="s">
        <v>2079</v>
      </c>
    </row>
    <row r="296" spans="1:6" ht="13.2">
      <c r="A296" s="116">
        <v>6900821</v>
      </c>
      <c r="B296" s="116">
        <v>220290</v>
      </c>
      <c r="C296" s="117" t="s">
        <v>3276</v>
      </c>
      <c r="D296" s="116">
        <v>794</v>
      </c>
      <c r="E296" s="116">
        <v>1519</v>
      </c>
      <c r="F296" s="116" t="s">
        <v>2079</v>
      </c>
    </row>
    <row r="297" spans="1:6" ht="13.2">
      <c r="A297" s="116">
        <v>6900822</v>
      </c>
      <c r="B297" s="116">
        <v>220290</v>
      </c>
      <c r="C297" s="117" t="s">
        <v>3277</v>
      </c>
      <c r="D297" s="116">
        <v>794</v>
      </c>
      <c r="E297" s="116">
        <v>1519</v>
      </c>
      <c r="F297" s="116" t="s">
        <v>2079</v>
      </c>
    </row>
    <row r="298" spans="1:6" ht="13.2">
      <c r="A298" s="116">
        <v>6900901</v>
      </c>
      <c r="B298" s="116">
        <v>180500</v>
      </c>
      <c r="C298" s="117" t="s">
        <v>3278</v>
      </c>
      <c r="D298" s="116">
        <v>2333</v>
      </c>
      <c r="E298" s="116">
        <v>26430</v>
      </c>
      <c r="F298" s="116" t="s">
        <v>2223</v>
      </c>
    </row>
    <row r="299" spans="1:6" ht="13.2">
      <c r="A299" s="116">
        <v>6900904</v>
      </c>
      <c r="B299" s="116">
        <v>180500</v>
      </c>
      <c r="C299" s="117" t="s">
        <v>3279</v>
      </c>
      <c r="D299" s="116">
        <v>2333</v>
      </c>
      <c r="E299" s="116">
        <v>26430</v>
      </c>
      <c r="F299" s="116" t="s">
        <v>2223</v>
      </c>
    </row>
    <row r="300" spans="1:6" ht="13.2">
      <c r="A300" s="116">
        <v>6901001</v>
      </c>
      <c r="B300" s="116">
        <v>200799</v>
      </c>
      <c r="C300" s="117" t="s">
        <v>3280</v>
      </c>
      <c r="D300" s="116">
        <v>3495</v>
      </c>
      <c r="E300" s="116">
        <v>1247</v>
      </c>
      <c r="F300" s="116" t="s">
        <v>2025</v>
      </c>
    </row>
    <row r="301" spans="1:6" ht="13.2">
      <c r="A301" s="116">
        <v>6901002</v>
      </c>
      <c r="B301" s="116">
        <v>190590</v>
      </c>
      <c r="C301" s="117" t="s">
        <v>3281</v>
      </c>
      <c r="D301" s="116">
        <v>1796</v>
      </c>
      <c r="E301" s="116">
        <v>1270</v>
      </c>
      <c r="F301" s="116" t="s">
        <v>2062</v>
      </c>
    </row>
    <row r="302" spans="1:6" ht="13.2">
      <c r="A302" s="116">
        <v>6901101</v>
      </c>
      <c r="B302" s="116">
        <v>200799</v>
      </c>
      <c r="C302" s="117" t="s">
        <v>3282</v>
      </c>
      <c r="D302" s="116">
        <v>2948</v>
      </c>
      <c r="E302" s="116">
        <v>1247</v>
      </c>
      <c r="F302" s="116" t="s">
        <v>2025</v>
      </c>
    </row>
    <row r="303" spans="1:6" ht="13.2">
      <c r="A303" s="116">
        <v>6901201</v>
      </c>
      <c r="B303" s="116">
        <v>200799</v>
      </c>
      <c r="C303" s="117" t="s">
        <v>3283</v>
      </c>
      <c r="D303" s="116">
        <v>2948</v>
      </c>
      <c r="E303" s="116">
        <v>1247</v>
      </c>
      <c r="F303" s="116" t="s">
        <v>2025</v>
      </c>
    </row>
    <row r="304" spans="1:6" ht="13.2">
      <c r="A304" s="116">
        <v>6901204</v>
      </c>
      <c r="B304" s="116">
        <v>200799</v>
      </c>
      <c r="C304" s="117" t="s">
        <v>3284</v>
      </c>
      <c r="D304" s="116">
        <v>2948</v>
      </c>
      <c r="E304" s="116">
        <v>1247</v>
      </c>
      <c r="F304" s="116" t="s">
        <v>2025</v>
      </c>
    </row>
    <row r="305" spans="1:6" ht="13.2">
      <c r="A305" s="116">
        <v>6901206</v>
      </c>
      <c r="B305" s="116">
        <v>200799</v>
      </c>
      <c r="C305" s="117" t="s">
        <v>3285</v>
      </c>
      <c r="D305" s="116">
        <v>2400</v>
      </c>
      <c r="E305" s="116">
        <v>1247</v>
      </c>
      <c r="F305" s="116" t="s">
        <v>2025</v>
      </c>
    </row>
    <row r="306" spans="1:6" ht="13.2">
      <c r="A306" s="116">
        <v>6901209</v>
      </c>
      <c r="B306" s="116">
        <v>200799</v>
      </c>
      <c r="C306" s="117" t="s">
        <v>3286</v>
      </c>
      <c r="D306" s="116">
        <v>2948</v>
      </c>
      <c r="E306" s="116">
        <v>1247</v>
      </c>
      <c r="F306" s="116" t="s">
        <v>2025</v>
      </c>
    </row>
    <row r="307" spans="1:6" ht="13.2">
      <c r="A307" s="116">
        <v>6901211</v>
      </c>
      <c r="B307" s="116">
        <v>200799</v>
      </c>
      <c r="C307" s="117" t="s">
        <v>3287</v>
      </c>
      <c r="D307" s="116">
        <v>2948</v>
      </c>
      <c r="E307" s="116">
        <v>1247</v>
      </c>
      <c r="F307" s="116" t="s">
        <v>2025</v>
      </c>
    </row>
    <row r="308" spans="1:6" ht="13.2">
      <c r="A308" s="116">
        <v>6901214</v>
      </c>
      <c r="B308" s="116">
        <v>200799</v>
      </c>
      <c r="C308" s="117" t="s">
        <v>3288</v>
      </c>
      <c r="D308" s="116">
        <v>2948</v>
      </c>
      <c r="E308" s="116">
        <v>1247</v>
      </c>
      <c r="F308" s="116" t="s">
        <v>2025</v>
      </c>
    </row>
    <row r="309" spans="1:6" ht="13.2">
      <c r="A309" s="116">
        <v>6901224</v>
      </c>
      <c r="B309" s="116">
        <v>200799</v>
      </c>
      <c r="C309" s="117" t="s">
        <v>3289</v>
      </c>
      <c r="D309" s="116">
        <v>2948</v>
      </c>
      <c r="E309" s="116">
        <v>1247</v>
      </c>
      <c r="F309" s="116" t="s">
        <v>2025</v>
      </c>
    </row>
    <row r="310" spans="1:6" ht="13.2">
      <c r="A310" s="116">
        <v>6901301</v>
      </c>
      <c r="B310" s="116">
        <v>200600</v>
      </c>
      <c r="C310" s="117" t="s">
        <v>3290</v>
      </c>
      <c r="D310" s="116">
        <v>1600</v>
      </c>
      <c r="E310" s="116">
        <v>1247</v>
      </c>
      <c r="F310" s="116" t="s">
        <v>2025</v>
      </c>
    </row>
    <row r="311" spans="1:6" ht="13.2">
      <c r="A311" s="116">
        <v>6901401</v>
      </c>
      <c r="B311" s="116">
        <v>200600</v>
      </c>
      <c r="C311" s="117" t="s">
        <v>3291</v>
      </c>
      <c r="D311" s="116">
        <v>1600</v>
      </c>
      <c r="E311" s="116">
        <v>1247</v>
      </c>
      <c r="F311" s="116" t="s">
        <v>2025</v>
      </c>
    </row>
    <row r="312" spans="1:6" ht="13.2">
      <c r="A312" s="116">
        <v>6901501</v>
      </c>
      <c r="B312" s="116">
        <v>170191</v>
      </c>
      <c r="C312" s="117" t="s">
        <v>3292</v>
      </c>
      <c r="D312" s="116">
        <v>767</v>
      </c>
      <c r="E312" s="116">
        <v>345</v>
      </c>
      <c r="F312" s="116" t="s">
        <v>2178</v>
      </c>
    </row>
    <row r="313" spans="1:6" ht="13.2">
      <c r="A313" s="116">
        <v>6901602</v>
      </c>
      <c r="B313" s="116">
        <v>40900</v>
      </c>
      <c r="C313" s="117" t="s">
        <v>3293</v>
      </c>
      <c r="D313" s="116">
        <v>1998</v>
      </c>
      <c r="E313" s="116">
        <v>3978</v>
      </c>
      <c r="F313" s="116" t="s">
        <v>2044</v>
      </c>
    </row>
    <row r="314" spans="1:6" ht="13.2">
      <c r="A314" s="116">
        <v>6901701</v>
      </c>
      <c r="B314" s="116">
        <v>200799</v>
      </c>
      <c r="C314" s="117" t="s">
        <v>3294</v>
      </c>
      <c r="D314" s="116">
        <v>2948</v>
      </c>
      <c r="E314" s="116">
        <v>1247</v>
      </c>
      <c r="F314" s="116" t="s">
        <v>2025</v>
      </c>
    </row>
    <row r="315" spans="1:6" ht="13.2">
      <c r="A315" s="116">
        <v>6901801</v>
      </c>
      <c r="B315" s="116">
        <v>210690</v>
      </c>
      <c r="C315" s="117" t="s">
        <v>3295</v>
      </c>
      <c r="D315" s="116">
        <v>44570</v>
      </c>
      <c r="E315" s="116">
        <v>17481</v>
      </c>
      <c r="F315" s="116" t="s">
        <v>2253</v>
      </c>
    </row>
    <row r="316" spans="1:6" ht="13.2">
      <c r="A316" s="116">
        <v>6902004</v>
      </c>
      <c r="B316" s="116">
        <v>170490</v>
      </c>
      <c r="C316" s="117" t="s">
        <v>3296</v>
      </c>
      <c r="D316" s="116">
        <v>3295</v>
      </c>
      <c r="E316" s="116">
        <v>588</v>
      </c>
      <c r="F316" s="116" t="s">
        <v>2178</v>
      </c>
    </row>
    <row r="317" spans="1:6" ht="13.2">
      <c r="A317" s="116">
        <v>6902301</v>
      </c>
      <c r="B317" s="116">
        <v>200799</v>
      </c>
      <c r="C317" s="117" t="s">
        <v>3297</v>
      </c>
      <c r="D317" s="116">
        <v>2948</v>
      </c>
      <c r="E317" s="116">
        <v>1247</v>
      </c>
      <c r="F317" s="116" t="s">
        <v>2025</v>
      </c>
    </row>
    <row r="318" spans="1:6" ht="13.2">
      <c r="A318" s="116">
        <v>6902401</v>
      </c>
      <c r="B318" s="116">
        <v>81340</v>
      </c>
      <c r="C318" s="117" t="s">
        <v>3298</v>
      </c>
      <c r="D318" s="116">
        <v>719</v>
      </c>
      <c r="E318" s="116">
        <v>3082</v>
      </c>
      <c r="F318" s="116" t="s">
        <v>2088</v>
      </c>
    </row>
    <row r="319" spans="1:6" ht="13.2">
      <c r="A319" s="116">
        <v>6902402</v>
      </c>
      <c r="B319" s="116">
        <v>80620</v>
      </c>
      <c r="C319" s="117" t="s">
        <v>3299</v>
      </c>
      <c r="D319" s="116">
        <v>684</v>
      </c>
      <c r="E319" s="116">
        <v>1409</v>
      </c>
      <c r="F319" s="116" t="s">
        <v>2088</v>
      </c>
    </row>
    <row r="320" spans="1:6" ht="13.2">
      <c r="A320" s="116">
        <v>6902601</v>
      </c>
      <c r="B320" s="116">
        <v>41000</v>
      </c>
      <c r="C320" s="117" t="s">
        <v>3300</v>
      </c>
      <c r="D320" s="116">
        <v>3200</v>
      </c>
      <c r="E320" s="116">
        <v>3978</v>
      </c>
      <c r="F320" s="116" t="s">
        <v>2291</v>
      </c>
    </row>
    <row r="321" spans="1:6" ht="13.2">
      <c r="A321" s="116">
        <v>6902607</v>
      </c>
      <c r="B321" s="116">
        <v>41000</v>
      </c>
      <c r="C321" s="117" t="s">
        <v>3301</v>
      </c>
      <c r="D321" s="116">
        <v>3200</v>
      </c>
      <c r="E321" s="116">
        <v>3978</v>
      </c>
      <c r="F321" s="116" t="s">
        <v>2291</v>
      </c>
    </row>
    <row r="322" spans="1:6" ht="13.2">
      <c r="A322" s="116">
        <v>6902901</v>
      </c>
      <c r="B322" s="116">
        <v>110220</v>
      </c>
      <c r="C322" s="117" t="s">
        <v>3302</v>
      </c>
      <c r="D322" s="116">
        <v>578</v>
      </c>
      <c r="E322" s="116">
        <v>1790</v>
      </c>
      <c r="F322" s="116" t="s">
        <v>1976</v>
      </c>
    </row>
    <row r="323" spans="1:6" ht="13.2">
      <c r="A323" s="116">
        <v>6903001</v>
      </c>
      <c r="B323" s="116">
        <v>200799</v>
      </c>
      <c r="C323" s="117" t="s">
        <v>3303</v>
      </c>
      <c r="D323" s="116">
        <v>2948</v>
      </c>
      <c r="E323" s="116">
        <v>1247</v>
      </c>
      <c r="F323" s="116" t="s">
        <v>2025</v>
      </c>
    </row>
    <row r="324" spans="1:6" ht="13.2">
      <c r="A324" s="116">
        <v>6903202</v>
      </c>
      <c r="B324" s="116">
        <v>200799</v>
      </c>
      <c r="C324" s="117" t="s">
        <v>3304</v>
      </c>
      <c r="D324" s="116">
        <v>1602</v>
      </c>
      <c r="E324" s="116">
        <v>1247</v>
      </c>
      <c r="F324" s="116" t="s">
        <v>2025</v>
      </c>
    </row>
    <row r="325" spans="1:6" ht="13.2">
      <c r="A325" s="116">
        <v>6903203</v>
      </c>
      <c r="B325" s="116">
        <v>200819</v>
      </c>
      <c r="C325" s="117" t="s">
        <v>3305</v>
      </c>
      <c r="D325" s="116">
        <v>1602</v>
      </c>
      <c r="E325" s="116">
        <v>1247</v>
      </c>
      <c r="F325" s="116" t="s">
        <v>2025</v>
      </c>
    </row>
    <row r="326" spans="1:6" ht="13.2">
      <c r="A326" s="116">
        <v>6903205</v>
      </c>
      <c r="B326" s="116">
        <v>200819</v>
      </c>
      <c r="C326" s="117" t="s">
        <v>3306</v>
      </c>
      <c r="D326" s="116">
        <v>1602</v>
      </c>
      <c r="E326" s="116">
        <v>1247</v>
      </c>
      <c r="F326" s="116" t="s">
        <v>2025</v>
      </c>
    </row>
    <row r="327" spans="1:6" ht="13.2">
      <c r="A327" s="116">
        <v>6903208</v>
      </c>
      <c r="B327" s="116">
        <v>200819</v>
      </c>
      <c r="C327" s="117" t="s">
        <v>3307</v>
      </c>
      <c r="D327" s="116">
        <v>1602</v>
      </c>
      <c r="E327" s="116">
        <v>1247</v>
      </c>
      <c r="F327" s="116" t="s">
        <v>2025</v>
      </c>
    </row>
    <row r="328" spans="1:6" ht="13.2">
      <c r="A328" s="116">
        <v>6903303</v>
      </c>
      <c r="B328" s="116">
        <v>200819</v>
      </c>
      <c r="C328" s="117" t="s">
        <v>3308</v>
      </c>
      <c r="D328" s="116">
        <v>1602</v>
      </c>
      <c r="E328" s="116">
        <v>1247</v>
      </c>
      <c r="F328" s="116" t="s">
        <v>2025</v>
      </c>
    </row>
    <row r="329" spans="1:6" ht="13.2">
      <c r="A329" s="116">
        <v>6903701</v>
      </c>
      <c r="B329" s="116">
        <v>180500</v>
      </c>
      <c r="C329" s="117" t="s">
        <v>3309</v>
      </c>
      <c r="D329" s="116">
        <v>2333</v>
      </c>
      <c r="E329" s="116">
        <v>26430</v>
      </c>
      <c r="F329" s="116" t="s">
        <v>2223</v>
      </c>
    </row>
    <row r="330" spans="1:6" ht="13.2">
      <c r="A330" s="116">
        <v>6903801</v>
      </c>
      <c r="B330" s="116">
        <v>190590</v>
      </c>
      <c r="C330" s="117" t="s">
        <v>3310</v>
      </c>
      <c r="D330" s="116">
        <v>1796</v>
      </c>
      <c r="E330" s="116">
        <v>1270</v>
      </c>
      <c r="F330" s="116" t="s">
        <v>2062</v>
      </c>
    </row>
    <row r="331" spans="1:6" ht="13.2">
      <c r="A331" s="116">
        <v>6903901</v>
      </c>
      <c r="B331" s="116">
        <v>170490</v>
      </c>
      <c r="C331" s="117" t="s">
        <v>3311</v>
      </c>
      <c r="D331" s="116">
        <v>3295</v>
      </c>
      <c r="E331" s="116">
        <v>588</v>
      </c>
      <c r="F331" s="116" t="s">
        <v>2178</v>
      </c>
    </row>
    <row r="332" spans="1:6" ht="13.2">
      <c r="A332" s="116">
        <v>6904101</v>
      </c>
      <c r="B332" s="116">
        <v>170490</v>
      </c>
      <c r="C332" s="117" t="s">
        <v>3312</v>
      </c>
      <c r="D332" s="116">
        <v>3295</v>
      </c>
      <c r="E332" s="116">
        <v>588</v>
      </c>
      <c r="F332" s="116" t="s">
        <v>2178</v>
      </c>
    </row>
    <row r="333" spans="1:6" ht="13.2">
      <c r="A333" s="116">
        <v>6904104</v>
      </c>
      <c r="B333" s="116">
        <v>190190</v>
      </c>
      <c r="C333" s="117" t="s">
        <v>3313</v>
      </c>
      <c r="D333" s="116">
        <v>3295</v>
      </c>
      <c r="E333" s="116">
        <v>588</v>
      </c>
      <c r="F333" s="116" t="s">
        <v>2178</v>
      </c>
    </row>
    <row r="334" spans="1:6" ht="13.2">
      <c r="A334" s="116">
        <v>6904201</v>
      </c>
      <c r="B334" s="116">
        <v>190190</v>
      </c>
      <c r="C334" s="117" t="s">
        <v>3314</v>
      </c>
      <c r="D334" s="116">
        <v>3295</v>
      </c>
      <c r="E334" s="116">
        <v>588</v>
      </c>
      <c r="F334" s="116" t="s">
        <v>2178</v>
      </c>
    </row>
    <row r="335" spans="1:6" ht="13.2">
      <c r="A335" s="116">
        <v>6904204</v>
      </c>
      <c r="B335" s="116">
        <v>190190</v>
      </c>
      <c r="C335" s="117" t="s">
        <v>3315</v>
      </c>
      <c r="D335" s="116">
        <v>2004</v>
      </c>
      <c r="E335" s="116">
        <v>1647</v>
      </c>
      <c r="F335" s="116" t="s">
        <v>2027</v>
      </c>
    </row>
    <row r="336" spans="1:6" ht="13.2">
      <c r="A336" s="116">
        <v>6904205</v>
      </c>
      <c r="B336" s="116">
        <v>40390</v>
      </c>
      <c r="C336" s="117" t="s">
        <v>3316</v>
      </c>
      <c r="D336" s="116">
        <v>2004</v>
      </c>
      <c r="E336" s="116">
        <v>1647</v>
      </c>
      <c r="F336" s="116" t="s">
        <v>2027</v>
      </c>
    </row>
    <row r="337" spans="1:6" ht="13.2">
      <c r="A337" s="116">
        <v>6904302</v>
      </c>
      <c r="B337" s="116">
        <v>190190</v>
      </c>
      <c r="C337" s="117" t="s">
        <v>3317</v>
      </c>
      <c r="D337" s="116">
        <v>2004</v>
      </c>
      <c r="E337" s="116">
        <v>1647</v>
      </c>
      <c r="F337" s="116" t="s">
        <v>2027</v>
      </c>
    </row>
    <row r="338" spans="1:6" ht="13.2">
      <c r="A338" s="116">
        <v>6904401</v>
      </c>
      <c r="B338" s="116">
        <v>190590</v>
      </c>
      <c r="C338" s="117" t="s">
        <v>3318</v>
      </c>
      <c r="D338" s="116">
        <v>3331</v>
      </c>
      <c r="E338" s="116">
        <v>2653</v>
      </c>
      <c r="F338" s="116" t="s">
        <v>2310</v>
      </c>
    </row>
    <row r="339" spans="1:6" ht="13.2">
      <c r="A339" s="116">
        <v>6904502</v>
      </c>
      <c r="B339" s="116">
        <v>110620</v>
      </c>
      <c r="C339" s="117" t="s">
        <v>3319</v>
      </c>
      <c r="D339" s="116">
        <v>2004</v>
      </c>
      <c r="E339" s="116">
        <v>1647</v>
      </c>
      <c r="F339" s="116" t="s">
        <v>2027</v>
      </c>
    </row>
    <row r="340" spans="1:6" ht="13.2">
      <c r="A340" s="116">
        <v>6904801</v>
      </c>
      <c r="B340" s="116">
        <v>210500</v>
      </c>
      <c r="C340" s="117" t="s">
        <v>3320</v>
      </c>
      <c r="D340" s="116">
        <v>1796</v>
      </c>
      <c r="E340" s="116">
        <v>1270</v>
      </c>
      <c r="F340" s="116" t="s">
        <v>2062</v>
      </c>
    </row>
    <row r="341" spans="1:6" ht="13.2">
      <c r="A341" s="116">
        <v>6904807</v>
      </c>
      <c r="B341" s="116">
        <v>210500</v>
      </c>
      <c r="C341" s="117" t="s">
        <v>3321</v>
      </c>
      <c r="D341" s="116">
        <v>594</v>
      </c>
      <c r="E341" s="116">
        <v>1966</v>
      </c>
      <c r="F341" s="116" t="s">
        <v>1976</v>
      </c>
    </row>
    <row r="342" spans="1:6" ht="13.2">
      <c r="A342" s="116">
        <v>6905001</v>
      </c>
      <c r="B342" s="116">
        <v>190120</v>
      </c>
      <c r="C342" s="117" t="s">
        <v>3322</v>
      </c>
      <c r="D342" s="116">
        <v>2350</v>
      </c>
      <c r="E342" s="116">
        <v>6115</v>
      </c>
      <c r="F342" s="116" t="s">
        <v>2253</v>
      </c>
    </row>
    <row r="343" spans="1:6" ht="13.2">
      <c r="A343" s="116">
        <v>6905401</v>
      </c>
      <c r="B343" s="116">
        <v>190531</v>
      </c>
      <c r="C343" s="117" t="s">
        <v>3323</v>
      </c>
      <c r="D343" s="116">
        <v>2350</v>
      </c>
      <c r="E343" s="116">
        <v>6115</v>
      </c>
      <c r="F343" s="116" t="s">
        <v>2253</v>
      </c>
    </row>
    <row r="344" spans="1:6" ht="13.2">
      <c r="A344" s="116">
        <v>6905603</v>
      </c>
      <c r="B344" s="116">
        <v>180690</v>
      </c>
      <c r="C344" s="117" t="s">
        <v>3324</v>
      </c>
      <c r="D344" s="116">
        <v>2004</v>
      </c>
      <c r="E344" s="116">
        <v>1647</v>
      </c>
      <c r="F344" s="116" t="s">
        <v>2027</v>
      </c>
    </row>
    <row r="345" spans="1:6" ht="13.2">
      <c r="A345" s="116">
        <v>6905801</v>
      </c>
      <c r="B345" s="116">
        <v>180500</v>
      </c>
      <c r="C345" s="117" t="s">
        <v>3325</v>
      </c>
      <c r="D345" s="116">
        <v>1642</v>
      </c>
      <c r="E345" s="116">
        <v>2233</v>
      </c>
      <c r="F345" s="116" t="s">
        <v>2318</v>
      </c>
    </row>
    <row r="346" spans="1:6" ht="13.2">
      <c r="A346" s="116">
        <v>6905804</v>
      </c>
      <c r="B346" s="116">
        <v>180500</v>
      </c>
      <c r="C346" s="117" t="s">
        <v>3326</v>
      </c>
      <c r="D346" s="116">
        <v>2525</v>
      </c>
      <c r="E346" s="116">
        <v>24910</v>
      </c>
      <c r="F346" s="116" t="s">
        <v>2223</v>
      </c>
    </row>
    <row r="347" spans="1:6" ht="13.2">
      <c r="A347" s="116">
        <v>6905901</v>
      </c>
      <c r="B347" s="116">
        <v>170490</v>
      </c>
      <c r="C347" s="117" t="s">
        <v>3327</v>
      </c>
      <c r="D347" s="116">
        <v>2333</v>
      </c>
      <c r="E347" s="116">
        <v>26430</v>
      </c>
      <c r="F347" s="116" t="s">
        <v>2223</v>
      </c>
    </row>
    <row r="348" spans="1:6" ht="13.2">
      <c r="A348" s="116">
        <v>6906404</v>
      </c>
      <c r="B348" s="116">
        <v>80111</v>
      </c>
      <c r="C348" s="117" t="s">
        <v>3328</v>
      </c>
      <c r="D348" s="116">
        <v>2333</v>
      </c>
      <c r="E348" s="116">
        <v>26430</v>
      </c>
      <c r="F348" s="116" t="s">
        <v>2223</v>
      </c>
    </row>
    <row r="349" spans="1:6" ht="13.2">
      <c r="A349" s="116">
        <v>6906501</v>
      </c>
      <c r="B349" s="116">
        <v>220290</v>
      </c>
      <c r="C349" s="117" t="s">
        <v>3329</v>
      </c>
      <c r="D349" s="116">
        <v>3295</v>
      </c>
      <c r="E349" s="116">
        <v>588</v>
      </c>
      <c r="F349" s="116" t="s">
        <v>2178</v>
      </c>
    </row>
    <row r="350" spans="1:6" ht="13.2">
      <c r="A350" s="116">
        <v>6906502</v>
      </c>
      <c r="B350" s="116">
        <v>220290</v>
      </c>
      <c r="C350" s="117" t="s">
        <v>3330</v>
      </c>
      <c r="D350" s="116">
        <v>1853</v>
      </c>
      <c r="E350" s="116">
        <v>928</v>
      </c>
      <c r="F350" s="116" t="s">
        <v>2088</v>
      </c>
    </row>
    <row r="351" spans="1:6" ht="13.2">
      <c r="A351" s="116">
        <v>6906602</v>
      </c>
      <c r="B351" s="116">
        <v>170111</v>
      </c>
      <c r="C351" s="117" t="s">
        <v>3331</v>
      </c>
      <c r="D351" s="116">
        <v>794</v>
      </c>
      <c r="E351" s="116">
        <v>1519</v>
      </c>
      <c r="F351" s="116" t="s">
        <v>2079</v>
      </c>
    </row>
    <row r="352" spans="1:6" ht="13.2">
      <c r="A352" s="116">
        <v>6907001</v>
      </c>
      <c r="B352" s="116">
        <v>170113</v>
      </c>
      <c r="C352" s="117" t="s">
        <v>3332</v>
      </c>
      <c r="D352" s="116">
        <v>794</v>
      </c>
      <c r="E352" s="116">
        <v>1519</v>
      </c>
      <c r="F352" s="116" t="s">
        <v>2079</v>
      </c>
    </row>
    <row r="353" spans="1:6" ht="13.2">
      <c r="A353" s="116">
        <v>6907201</v>
      </c>
      <c r="B353" s="116">
        <v>190420</v>
      </c>
      <c r="C353" s="117" t="s">
        <v>3333</v>
      </c>
      <c r="D353" s="116">
        <v>422</v>
      </c>
      <c r="E353" s="116">
        <v>684</v>
      </c>
      <c r="F353" s="116" t="s">
        <v>2178</v>
      </c>
    </row>
    <row r="354" spans="1:6" ht="13.2">
      <c r="A354" s="116">
        <v>6907202</v>
      </c>
      <c r="B354" s="116">
        <v>190420</v>
      </c>
      <c r="C354" s="117" t="s">
        <v>3334</v>
      </c>
      <c r="D354" s="116">
        <v>767</v>
      </c>
      <c r="E354" s="116">
        <v>649</v>
      </c>
      <c r="F354" s="116" t="s">
        <v>2178</v>
      </c>
    </row>
    <row r="355" spans="1:6" ht="13.2">
      <c r="A355" s="116">
        <v>6907203</v>
      </c>
      <c r="B355" s="116">
        <v>190420</v>
      </c>
      <c r="C355" s="117" t="s">
        <v>3335</v>
      </c>
      <c r="D355" s="116">
        <v>2903</v>
      </c>
      <c r="E355" s="116">
        <v>1772</v>
      </c>
      <c r="F355" s="116" t="s">
        <v>2027</v>
      </c>
    </row>
    <row r="356" spans="1:6" ht="13.2">
      <c r="A356" s="116">
        <v>6907301</v>
      </c>
      <c r="B356" s="116">
        <v>190590</v>
      </c>
      <c r="C356" s="117" t="s">
        <v>3336</v>
      </c>
      <c r="D356" s="116">
        <v>2903</v>
      </c>
      <c r="E356" s="116">
        <v>1772</v>
      </c>
      <c r="F356" s="116" t="s">
        <v>2027</v>
      </c>
    </row>
    <row r="357" spans="1:6" ht="13.2">
      <c r="A357" s="116">
        <v>6907501</v>
      </c>
      <c r="B357" s="116">
        <v>210500</v>
      </c>
      <c r="C357" s="117" t="s">
        <v>3337</v>
      </c>
      <c r="D357" s="116">
        <v>2903</v>
      </c>
      <c r="E357" s="116">
        <v>1772</v>
      </c>
      <c r="F357" s="116" t="s">
        <v>2027</v>
      </c>
    </row>
    <row r="358" spans="1:6" ht="13.2">
      <c r="A358" s="116">
        <v>6907901</v>
      </c>
      <c r="B358" s="116">
        <v>200799</v>
      </c>
      <c r="C358" s="117" t="s">
        <v>3338</v>
      </c>
      <c r="D358" s="116">
        <v>1796</v>
      </c>
      <c r="E358" s="116">
        <v>1270</v>
      </c>
      <c r="F358" s="116" t="s">
        <v>2062</v>
      </c>
    </row>
    <row r="359" spans="1:6" ht="13.2">
      <c r="A359" s="116">
        <v>6908001</v>
      </c>
      <c r="B359" s="116">
        <v>200799</v>
      </c>
      <c r="C359" s="117" t="s">
        <v>3339</v>
      </c>
      <c r="D359" s="116">
        <v>2350</v>
      </c>
      <c r="E359" s="116">
        <v>6115</v>
      </c>
      <c r="F359" s="116" t="s">
        <v>2253</v>
      </c>
    </row>
    <row r="360" spans="1:6" ht="13.2">
      <c r="A360" s="116">
        <v>6909301</v>
      </c>
      <c r="B360" s="116">
        <v>80410</v>
      </c>
      <c r="C360" s="117" t="s">
        <v>3340</v>
      </c>
      <c r="D360" s="116">
        <v>2948</v>
      </c>
      <c r="E360" s="116">
        <v>1247</v>
      </c>
      <c r="F360" s="116" t="s">
        <v>2025</v>
      </c>
    </row>
    <row r="361" spans="1:6" ht="13.2">
      <c r="A361" s="116">
        <v>6909601</v>
      </c>
      <c r="B361" s="116">
        <v>210500</v>
      </c>
      <c r="C361" s="117" t="s">
        <v>3341</v>
      </c>
      <c r="D361" s="116">
        <v>2948</v>
      </c>
      <c r="E361" s="116">
        <v>1247</v>
      </c>
      <c r="F361" s="116" t="s">
        <v>2025</v>
      </c>
    </row>
    <row r="362" spans="1:6" ht="13.2">
      <c r="A362" s="116">
        <v>6909701</v>
      </c>
      <c r="B362" s="116">
        <v>210500</v>
      </c>
      <c r="C362" s="117" t="s">
        <v>3342</v>
      </c>
      <c r="D362" s="116">
        <v>239</v>
      </c>
      <c r="E362" s="116">
        <v>841</v>
      </c>
      <c r="F362" s="116" t="s">
        <v>2088</v>
      </c>
    </row>
    <row r="363" spans="1:6" ht="13.2">
      <c r="A363" s="116">
        <v>6909803</v>
      </c>
      <c r="B363" s="116">
        <v>170490</v>
      </c>
      <c r="C363" s="117" t="s">
        <v>3343</v>
      </c>
      <c r="D363" s="116">
        <v>2350</v>
      </c>
      <c r="E363" s="116">
        <v>6115</v>
      </c>
      <c r="F363" s="116" t="s">
        <v>2253</v>
      </c>
    </row>
    <row r="364" spans="1:6" ht="13.2">
      <c r="A364" s="116">
        <v>6909901</v>
      </c>
      <c r="B364" s="116">
        <v>170490</v>
      </c>
      <c r="C364" s="117" t="s">
        <v>3344</v>
      </c>
      <c r="D364" s="116">
        <v>2350</v>
      </c>
      <c r="E364" s="116">
        <v>6115</v>
      </c>
      <c r="F364" s="116" t="s">
        <v>2253</v>
      </c>
    </row>
    <row r="365" spans="1:6" ht="13.2">
      <c r="A365" s="116">
        <v>6909903</v>
      </c>
      <c r="B365" s="116">
        <v>170490</v>
      </c>
      <c r="C365" s="117" t="s">
        <v>3345</v>
      </c>
      <c r="D365" s="116">
        <v>3295</v>
      </c>
      <c r="E365" s="116">
        <v>588</v>
      </c>
      <c r="F365" s="116" t="s">
        <v>2178</v>
      </c>
    </row>
    <row r="366" spans="1:6" ht="13.2">
      <c r="A366" s="116">
        <v>6910002</v>
      </c>
      <c r="B366" s="116">
        <v>180500</v>
      </c>
      <c r="C366" s="117" t="s">
        <v>3346</v>
      </c>
      <c r="D366" s="116">
        <v>3295</v>
      </c>
      <c r="E366" s="116">
        <v>588</v>
      </c>
      <c r="F366" s="116" t="s">
        <v>2178</v>
      </c>
    </row>
    <row r="367" spans="1:6" ht="13.2">
      <c r="A367" s="116">
        <v>6910102</v>
      </c>
      <c r="B367" s="116">
        <v>180500</v>
      </c>
      <c r="C367" s="117" t="s">
        <v>3347</v>
      </c>
      <c r="D367" s="116">
        <v>3295</v>
      </c>
      <c r="E367" s="116">
        <v>588</v>
      </c>
      <c r="F367" s="116" t="s">
        <v>2178</v>
      </c>
    </row>
    <row r="368" spans="1:6" ht="13.2">
      <c r="A368" s="116">
        <v>6910221</v>
      </c>
      <c r="B368" s="116">
        <v>220290</v>
      </c>
      <c r="C368" s="117" t="s">
        <v>3348</v>
      </c>
      <c r="D368" s="116">
        <v>2333</v>
      </c>
      <c r="E368" s="116">
        <v>26430</v>
      </c>
      <c r="F368" s="116" t="s">
        <v>2223</v>
      </c>
    </row>
    <row r="369" spans="1:6" ht="13.2">
      <c r="A369" s="116">
        <v>6910321</v>
      </c>
      <c r="B369" s="116">
        <v>220290</v>
      </c>
      <c r="C369" s="117" t="s">
        <v>3349</v>
      </c>
      <c r="D369" s="116">
        <v>2333</v>
      </c>
      <c r="E369" s="116">
        <v>26430</v>
      </c>
      <c r="F369" s="116" t="s">
        <v>2223</v>
      </c>
    </row>
    <row r="370" spans="1:6" ht="13.2">
      <c r="A370" s="116">
        <v>6910322</v>
      </c>
      <c r="B370" s="116">
        <v>220290</v>
      </c>
      <c r="C370" s="117" t="s">
        <v>3350</v>
      </c>
      <c r="D370" s="116">
        <v>794</v>
      </c>
      <c r="E370" s="116">
        <v>1519</v>
      </c>
      <c r="F370" s="116" t="s">
        <v>2079</v>
      </c>
    </row>
    <row r="371" spans="1:6" ht="13.2">
      <c r="A371" s="116">
        <v>6910401</v>
      </c>
      <c r="B371" s="116">
        <v>180500</v>
      </c>
      <c r="C371" s="117" t="s">
        <v>3351</v>
      </c>
      <c r="D371" s="116">
        <v>794</v>
      </c>
      <c r="E371" s="116">
        <v>1519</v>
      </c>
      <c r="F371" s="116" t="s">
        <v>2079</v>
      </c>
    </row>
    <row r="372" spans="1:6" ht="13.2">
      <c r="A372" s="116">
        <v>6910501</v>
      </c>
      <c r="B372" s="116">
        <v>180500</v>
      </c>
      <c r="C372" s="117" t="s">
        <v>3352</v>
      </c>
      <c r="D372" s="116">
        <v>794</v>
      </c>
      <c r="E372" s="116">
        <v>1519</v>
      </c>
      <c r="F372" s="116" t="s">
        <v>2079</v>
      </c>
    </row>
    <row r="373" spans="1:6" ht="13.2">
      <c r="A373" s="116">
        <v>6910502</v>
      </c>
      <c r="B373" s="116">
        <v>180500</v>
      </c>
      <c r="C373" s="117" t="s">
        <v>3353</v>
      </c>
      <c r="D373" s="116">
        <v>2333</v>
      </c>
      <c r="E373" s="116">
        <v>26430</v>
      </c>
      <c r="F373" s="116" t="s">
        <v>2223</v>
      </c>
    </row>
    <row r="374" spans="1:6" ht="13.2">
      <c r="A374" s="116">
        <v>6910601</v>
      </c>
      <c r="B374" s="116">
        <v>200799</v>
      </c>
      <c r="C374" s="117" t="s">
        <v>3354</v>
      </c>
      <c r="D374" s="116">
        <v>2333</v>
      </c>
      <c r="E374" s="116">
        <v>26430</v>
      </c>
      <c r="F374" s="116" t="s">
        <v>2223</v>
      </c>
    </row>
    <row r="375" spans="1:6" ht="13.2">
      <c r="A375" s="116">
        <v>6910604</v>
      </c>
      <c r="B375" s="116">
        <v>200799</v>
      </c>
      <c r="C375" s="117" t="s">
        <v>3355</v>
      </c>
      <c r="D375" s="116">
        <v>2333</v>
      </c>
      <c r="E375" s="116">
        <v>26430</v>
      </c>
      <c r="F375" s="116" t="s">
        <v>2223</v>
      </c>
    </row>
    <row r="376" spans="1:6" ht="13.2">
      <c r="A376" s="116">
        <v>6910605</v>
      </c>
      <c r="B376" s="116">
        <v>200799</v>
      </c>
      <c r="C376" s="117" t="s">
        <v>3356</v>
      </c>
      <c r="D376" s="116">
        <v>2948</v>
      </c>
      <c r="E376" s="116">
        <v>1247</v>
      </c>
      <c r="F376" s="116" t="s">
        <v>2025</v>
      </c>
    </row>
    <row r="377" spans="1:6" ht="13.2">
      <c r="A377" s="116">
        <v>6910701</v>
      </c>
      <c r="B377" s="116">
        <v>200799</v>
      </c>
      <c r="C377" s="117" t="s">
        <v>3357</v>
      </c>
      <c r="D377" s="116">
        <v>2948</v>
      </c>
      <c r="E377" s="116">
        <v>1247</v>
      </c>
      <c r="F377" s="116" t="s">
        <v>2025</v>
      </c>
    </row>
    <row r="378" spans="1:6" ht="13.2">
      <c r="A378" s="116">
        <v>6910702</v>
      </c>
      <c r="B378" s="116">
        <v>200799</v>
      </c>
      <c r="C378" s="117" t="s">
        <v>3358</v>
      </c>
      <c r="D378" s="116">
        <v>2948</v>
      </c>
      <c r="E378" s="116">
        <v>1247</v>
      </c>
      <c r="F378" s="116" t="s">
        <v>2025</v>
      </c>
    </row>
    <row r="379" spans="1:6" ht="13.2">
      <c r="A379" s="116">
        <v>6910801</v>
      </c>
      <c r="B379" s="116">
        <v>41000</v>
      </c>
      <c r="C379" s="117" t="s">
        <v>3359</v>
      </c>
      <c r="D379" s="116">
        <v>2948</v>
      </c>
      <c r="E379" s="116">
        <v>1247</v>
      </c>
      <c r="F379" s="116" t="s">
        <v>2025</v>
      </c>
    </row>
    <row r="380" spans="1:6" ht="13.2">
      <c r="A380" s="116">
        <v>6910808</v>
      </c>
      <c r="B380" s="116">
        <v>41000</v>
      </c>
      <c r="C380" s="117" t="s">
        <v>3360</v>
      </c>
      <c r="D380" s="116">
        <v>2948</v>
      </c>
      <c r="E380" s="116">
        <v>1247</v>
      </c>
      <c r="F380" s="116" t="s">
        <v>2025</v>
      </c>
    </row>
    <row r="381" spans="1:6" ht="13.2">
      <c r="A381" s="116">
        <v>6910901</v>
      </c>
      <c r="B381" s="116">
        <v>41000</v>
      </c>
      <c r="C381" s="117" t="s">
        <v>3361</v>
      </c>
      <c r="D381" s="116">
        <v>3200</v>
      </c>
      <c r="E381" s="116">
        <v>3978</v>
      </c>
      <c r="F381" s="116" t="s">
        <v>2291</v>
      </c>
    </row>
    <row r="382" spans="1:6" ht="13.2">
      <c r="A382" s="116">
        <v>6911201</v>
      </c>
      <c r="B382" s="116">
        <v>190190</v>
      </c>
      <c r="C382" s="117" t="s">
        <v>3362</v>
      </c>
      <c r="D382" s="116">
        <v>3200</v>
      </c>
      <c r="E382" s="116">
        <v>3978</v>
      </c>
      <c r="F382" s="116" t="s">
        <v>2291</v>
      </c>
    </row>
    <row r="383" spans="1:6" ht="13.2">
      <c r="A383" s="116">
        <v>6911301</v>
      </c>
      <c r="B383" s="116">
        <v>190190</v>
      </c>
      <c r="C383" s="117" t="s">
        <v>3363</v>
      </c>
      <c r="D383" s="116">
        <v>3200</v>
      </c>
      <c r="E383" s="116">
        <v>3978</v>
      </c>
      <c r="F383" s="116" t="s">
        <v>2291</v>
      </c>
    </row>
    <row r="384" spans="1:6" ht="13.2">
      <c r="A384" s="116">
        <v>6912501</v>
      </c>
      <c r="B384" s="116">
        <v>190420</v>
      </c>
      <c r="C384" s="117" t="s">
        <v>3364</v>
      </c>
      <c r="D384" s="116">
        <v>2004</v>
      </c>
      <c r="E384" s="116">
        <v>1647</v>
      </c>
      <c r="F384" s="116" t="s">
        <v>2027</v>
      </c>
    </row>
    <row r="385" spans="1:6" ht="13.2">
      <c r="A385" s="116">
        <v>6912502</v>
      </c>
      <c r="B385" s="116">
        <v>190420</v>
      </c>
      <c r="C385" s="117" t="s">
        <v>3365</v>
      </c>
      <c r="D385" s="116">
        <v>2004</v>
      </c>
      <c r="E385" s="116">
        <v>1647</v>
      </c>
      <c r="F385" s="116" t="s">
        <v>2027</v>
      </c>
    </row>
    <row r="386" spans="1:6" ht="13.2">
      <c r="A386" s="116">
        <v>6912801</v>
      </c>
      <c r="B386" s="116">
        <v>220290</v>
      </c>
      <c r="C386" s="117" t="s">
        <v>3366</v>
      </c>
      <c r="D386" s="116">
        <v>2903</v>
      </c>
      <c r="E386" s="116">
        <v>1772</v>
      </c>
      <c r="F386" s="116" t="s">
        <v>2027</v>
      </c>
    </row>
    <row r="387" spans="1:6" ht="13.2">
      <c r="A387" s="116">
        <v>6913001</v>
      </c>
      <c r="B387" s="116">
        <v>200799</v>
      </c>
      <c r="C387" s="117" t="s">
        <v>3367</v>
      </c>
      <c r="D387" s="116">
        <v>2903</v>
      </c>
      <c r="E387" s="116">
        <v>1772</v>
      </c>
      <c r="F387" s="116" t="s">
        <v>2027</v>
      </c>
    </row>
    <row r="388" spans="1:6" ht="13.2">
      <c r="A388" s="116">
        <v>6913101</v>
      </c>
      <c r="B388" s="116">
        <v>200819</v>
      </c>
      <c r="C388" s="117" t="s">
        <v>3368</v>
      </c>
      <c r="D388" s="116">
        <v>794</v>
      </c>
      <c r="E388" s="116">
        <v>1519</v>
      </c>
      <c r="F388" s="116" t="s">
        <v>2079</v>
      </c>
    </row>
    <row r="389" spans="1:6" ht="13.2">
      <c r="A389" s="116">
        <v>6913103</v>
      </c>
      <c r="B389" s="116">
        <v>200799</v>
      </c>
      <c r="C389" s="117" t="s">
        <v>3369</v>
      </c>
      <c r="D389" s="116">
        <v>2948</v>
      </c>
      <c r="E389" s="116">
        <v>1247</v>
      </c>
      <c r="F389" s="116" t="s">
        <v>2025</v>
      </c>
    </row>
    <row r="390" spans="1:6" ht="13.2">
      <c r="A390" s="116">
        <v>6913108</v>
      </c>
      <c r="B390" s="116">
        <v>200819</v>
      </c>
      <c r="C390" s="117" t="s">
        <v>3370</v>
      </c>
      <c r="D390" s="116">
        <v>1602</v>
      </c>
      <c r="E390" s="116">
        <v>1247</v>
      </c>
      <c r="F390" s="116" t="s">
        <v>2025</v>
      </c>
    </row>
    <row r="391" spans="1:6" ht="13.2">
      <c r="A391" s="116">
        <v>6913801</v>
      </c>
      <c r="B391" s="116">
        <v>190190</v>
      </c>
      <c r="C391" s="117" t="s">
        <v>3371</v>
      </c>
      <c r="D391" s="116">
        <v>2948</v>
      </c>
      <c r="E391" s="116">
        <v>1247</v>
      </c>
      <c r="F391" s="116" t="s">
        <v>2025</v>
      </c>
    </row>
    <row r="392" spans="1:6" ht="13.2">
      <c r="A392" s="116">
        <v>6913901</v>
      </c>
      <c r="B392" s="116">
        <v>200799</v>
      </c>
      <c r="C392" s="117" t="s">
        <v>3372</v>
      </c>
      <c r="D392" s="116">
        <v>1602</v>
      </c>
      <c r="E392" s="116">
        <v>1247</v>
      </c>
      <c r="F392" s="116" t="s">
        <v>2025</v>
      </c>
    </row>
    <row r="393" spans="1:6" ht="13.2">
      <c r="A393" s="116">
        <v>6914001</v>
      </c>
      <c r="B393" s="116">
        <v>210690</v>
      </c>
      <c r="C393" s="117" t="s">
        <v>3373</v>
      </c>
      <c r="D393" s="116">
        <v>2004</v>
      </c>
      <c r="E393" s="116">
        <v>1647</v>
      </c>
      <c r="F393" s="116" t="s">
        <v>2027</v>
      </c>
    </row>
    <row r="394" spans="1:6" ht="13.2">
      <c r="A394" s="116">
        <v>6914002</v>
      </c>
      <c r="B394" s="116">
        <v>210690</v>
      </c>
      <c r="C394" s="117" t="s">
        <v>3374</v>
      </c>
      <c r="D394" s="116">
        <v>2948</v>
      </c>
      <c r="E394" s="116">
        <v>1247</v>
      </c>
      <c r="F394" s="116" t="s">
        <v>2025</v>
      </c>
    </row>
    <row r="395" spans="1:6" ht="13.2">
      <c r="A395" s="116">
        <v>6914003</v>
      </c>
      <c r="B395" s="116">
        <v>210690</v>
      </c>
      <c r="C395" s="117" t="s">
        <v>3375</v>
      </c>
      <c r="D395" s="116">
        <v>44570</v>
      </c>
      <c r="E395" s="116">
        <v>17481</v>
      </c>
      <c r="F395" s="116" t="s">
        <v>2253</v>
      </c>
    </row>
    <row r="396" spans="1:6" ht="13.2">
      <c r="A396" s="116">
        <v>70006</v>
      </c>
      <c r="B396" s="116">
        <v>210230</v>
      </c>
      <c r="C396" s="117" t="s">
        <v>3376</v>
      </c>
      <c r="D396" s="116">
        <v>44570</v>
      </c>
      <c r="E396" s="116">
        <v>17481</v>
      </c>
      <c r="F396" s="116" t="s">
        <v>2253</v>
      </c>
    </row>
    <row r="397" spans="1:6" ht="13.2">
      <c r="A397" s="116">
        <v>7001501</v>
      </c>
      <c r="B397" s="116">
        <v>210330</v>
      </c>
      <c r="C397" s="117" t="s">
        <v>3377</v>
      </c>
      <c r="D397" s="116">
        <v>44570</v>
      </c>
      <c r="E397" s="116">
        <v>17481</v>
      </c>
      <c r="F397" s="116" t="s">
        <v>2253</v>
      </c>
    </row>
    <row r="398" spans="1:6" ht="13.2">
      <c r="A398" s="116">
        <v>7002304</v>
      </c>
      <c r="B398" s="116">
        <v>70999</v>
      </c>
      <c r="C398" s="117" t="s">
        <v>3378</v>
      </c>
      <c r="D398" s="116">
        <v>7313</v>
      </c>
      <c r="E398" s="116">
        <v>6115</v>
      </c>
      <c r="F398" s="116" t="s">
        <v>2253</v>
      </c>
    </row>
    <row r="399" spans="1:6" ht="13.2">
      <c r="A399" s="116">
        <v>7002401</v>
      </c>
      <c r="B399" s="116">
        <v>200190</v>
      </c>
      <c r="C399" s="117" t="s">
        <v>3379</v>
      </c>
      <c r="D399" s="116">
        <v>1560</v>
      </c>
      <c r="E399" s="116">
        <v>432</v>
      </c>
      <c r="F399" s="116" t="s">
        <v>2253</v>
      </c>
    </row>
    <row r="400" spans="1:6" ht="13.2">
      <c r="A400" s="116">
        <v>7002601</v>
      </c>
      <c r="B400" s="116">
        <v>70519</v>
      </c>
      <c r="C400" s="117" t="s">
        <v>3380</v>
      </c>
      <c r="D400" s="116">
        <v>335</v>
      </c>
      <c r="E400" s="116">
        <v>799</v>
      </c>
      <c r="F400" s="116" t="s">
        <v>2020</v>
      </c>
    </row>
    <row r="401" spans="1:6" ht="13.2">
      <c r="A401" s="116">
        <v>7003601</v>
      </c>
      <c r="B401" s="116">
        <v>210310</v>
      </c>
      <c r="C401" s="117" t="s">
        <v>3381</v>
      </c>
      <c r="D401" s="116">
        <v>808</v>
      </c>
      <c r="E401" s="116">
        <v>5129</v>
      </c>
      <c r="F401" s="116" t="s">
        <v>2025</v>
      </c>
    </row>
    <row r="402" spans="1:6" ht="13.2">
      <c r="A402" s="116">
        <v>7003604</v>
      </c>
      <c r="B402" s="116">
        <v>210310</v>
      </c>
      <c r="C402" s="117" t="s">
        <v>3382</v>
      </c>
      <c r="D402" s="116">
        <v>337</v>
      </c>
      <c r="E402" s="116">
        <v>416</v>
      </c>
      <c r="F402" s="116" t="s">
        <v>2119</v>
      </c>
    </row>
    <row r="403" spans="1:6" ht="13.2">
      <c r="A403" s="116">
        <v>7003801</v>
      </c>
      <c r="B403" s="116">
        <v>200989</v>
      </c>
      <c r="C403" s="117" t="s">
        <v>3383</v>
      </c>
      <c r="D403" s="116">
        <v>1560</v>
      </c>
      <c r="E403" s="116">
        <v>628</v>
      </c>
      <c r="F403" s="116" t="s">
        <v>2253</v>
      </c>
    </row>
    <row r="404" spans="1:6" ht="13.2">
      <c r="A404" s="116">
        <v>7004301</v>
      </c>
      <c r="B404" s="116">
        <v>210390</v>
      </c>
      <c r="C404" s="117" t="s">
        <v>3384</v>
      </c>
      <c r="D404" s="116">
        <v>1560</v>
      </c>
      <c r="E404" s="116">
        <v>628</v>
      </c>
      <c r="F404" s="116" t="s">
        <v>2253</v>
      </c>
    </row>
    <row r="405" spans="1:6" ht="13.2">
      <c r="A405" s="116">
        <v>7004701</v>
      </c>
      <c r="B405" s="116">
        <v>200210</v>
      </c>
      <c r="C405" s="117" t="s">
        <v>3385</v>
      </c>
      <c r="D405" s="116">
        <v>943</v>
      </c>
      <c r="E405" s="116">
        <v>2072</v>
      </c>
      <c r="F405" s="116" t="s">
        <v>2373</v>
      </c>
    </row>
    <row r="406" spans="1:6" ht="13.2">
      <c r="A406" s="116">
        <v>7004801</v>
      </c>
      <c r="B406" s="116">
        <v>200950</v>
      </c>
      <c r="C406" s="117" t="s">
        <v>3386</v>
      </c>
      <c r="D406" s="116">
        <v>1560</v>
      </c>
      <c r="E406" s="116">
        <v>432</v>
      </c>
      <c r="F406" s="116" t="s">
        <v>2253</v>
      </c>
    </row>
    <row r="407" spans="1:6" ht="13.2">
      <c r="A407" s="116">
        <v>7004802</v>
      </c>
      <c r="B407" s="116">
        <v>210320</v>
      </c>
      <c r="C407" s="117" t="s">
        <v>3387</v>
      </c>
      <c r="D407" s="116">
        <v>1500</v>
      </c>
      <c r="E407" s="116">
        <v>357</v>
      </c>
      <c r="F407" s="116" t="s">
        <v>2025</v>
      </c>
    </row>
    <row r="408" spans="1:6" ht="13.2">
      <c r="A408" s="116">
        <v>7004803</v>
      </c>
      <c r="B408" s="116">
        <v>210320</v>
      </c>
      <c r="C408" s="117" t="s">
        <v>3388</v>
      </c>
      <c r="D408" s="116">
        <v>1300</v>
      </c>
      <c r="E408" s="116">
        <v>322</v>
      </c>
      <c r="F408" s="116" t="s">
        <v>1983</v>
      </c>
    </row>
    <row r="409" spans="1:6" ht="13.2">
      <c r="A409" s="116">
        <v>7006101</v>
      </c>
      <c r="B409" s="116">
        <v>90412</v>
      </c>
      <c r="C409" s="117" t="s">
        <v>3389</v>
      </c>
      <c r="D409" s="116">
        <v>1560</v>
      </c>
      <c r="E409" s="116">
        <v>236</v>
      </c>
      <c r="F409" s="116" t="s">
        <v>2253</v>
      </c>
    </row>
    <row r="410" spans="1:6" ht="13.2">
      <c r="A410" s="116">
        <v>7007101</v>
      </c>
      <c r="B410" s="116">
        <v>210410</v>
      </c>
      <c r="C410" s="117" t="s">
        <v>3390</v>
      </c>
      <c r="D410" s="116">
        <v>1560</v>
      </c>
      <c r="E410" s="116">
        <v>236</v>
      </c>
      <c r="F410" s="116" t="s">
        <v>2253</v>
      </c>
    </row>
    <row r="411" spans="1:6" ht="13.2">
      <c r="A411" s="116">
        <v>7007502</v>
      </c>
      <c r="B411" s="116">
        <v>40630</v>
      </c>
      <c r="C411" s="117" t="s">
        <v>3391</v>
      </c>
      <c r="D411" s="116">
        <v>330</v>
      </c>
      <c r="E411" s="116">
        <v>1842</v>
      </c>
      <c r="F411" s="116" t="s">
        <v>2022</v>
      </c>
    </row>
    <row r="412" spans="1:6" ht="13.2">
      <c r="A412" s="116">
        <v>7007701</v>
      </c>
      <c r="B412" s="116">
        <v>210410</v>
      </c>
      <c r="C412" s="117" t="s">
        <v>3392</v>
      </c>
      <c r="D412" s="116">
        <v>2900</v>
      </c>
      <c r="E412" s="116">
        <v>6115</v>
      </c>
      <c r="F412" s="116" t="s">
        <v>2253</v>
      </c>
    </row>
    <row r="413" spans="1:6" ht="13.2">
      <c r="A413" s="116">
        <v>7009102</v>
      </c>
      <c r="B413" s="116">
        <v>120740</v>
      </c>
      <c r="C413" s="117" t="s">
        <v>3393</v>
      </c>
      <c r="D413" s="116">
        <v>8180</v>
      </c>
      <c r="E413" s="116">
        <v>6262</v>
      </c>
      <c r="F413" s="116" t="s">
        <v>2378</v>
      </c>
    </row>
    <row r="414" spans="1:6" ht="13.2">
      <c r="A414" s="116">
        <v>70012</v>
      </c>
      <c r="B414" s="116">
        <v>91099</v>
      </c>
      <c r="C414" s="117" t="s">
        <v>3394</v>
      </c>
      <c r="D414" s="116">
        <v>2900</v>
      </c>
      <c r="E414" s="116">
        <v>6115</v>
      </c>
      <c r="F414" s="116" t="s">
        <v>2253</v>
      </c>
    </row>
    <row r="415" spans="1:6" ht="13.2">
      <c r="A415" s="116">
        <v>70033</v>
      </c>
      <c r="B415" s="116">
        <v>220900</v>
      </c>
      <c r="C415" s="117" t="s">
        <v>3395</v>
      </c>
      <c r="D415" s="116">
        <v>1936</v>
      </c>
      <c r="E415" s="116">
        <v>6849</v>
      </c>
      <c r="F415" s="116" t="s">
        <v>1979</v>
      </c>
    </row>
    <row r="416" spans="1:6" ht="13.2">
      <c r="A416" s="116">
        <v>7010301</v>
      </c>
      <c r="B416" s="116">
        <v>70200</v>
      </c>
      <c r="C416" s="117" t="s">
        <v>3396</v>
      </c>
      <c r="D416" s="116">
        <v>330</v>
      </c>
      <c r="E416" s="116">
        <v>8159</v>
      </c>
      <c r="F416" s="116" t="s">
        <v>2022</v>
      </c>
    </row>
    <row r="417" spans="1:6" ht="13.2">
      <c r="A417" s="116">
        <v>7010401</v>
      </c>
      <c r="B417" s="116">
        <v>210390</v>
      </c>
      <c r="C417" s="117" t="s">
        <v>3397</v>
      </c>
      <c r="D417" s="116">
        <v>1331</v>
      </c>
      <c r="E417" s="116">
        <v>793</v>
      </c>
      <c r="F417" s="116" t="s">
        <v>2381</v>
      </c>
    </row>
    <row r="418" spans="1:6" ht="13.2">
      <c r="A418" s="116">
        <v>7010501</v>
      </c>
      <c r="B418" s="116">
        <v>210310</v>
      </c>
      <c r="C418" s="117" t="s">
        <v>3398</v>
      </c>
      <c r="D418" s="116">
        <v>772</v>
      </c>
      <c r="E418" s="116">
        <v>1887</v>
      </c>
      <c r="F418" s="116" t="s">
        <v>2153</v>
      </c>
    </row>
    <row r="419" spans="1:6" ht="13.2">
      <c r="A419" s="116">
        <v>7010601</v>
      </c>
      <c r="B419" s="116">
        <v>200989</v>
      </c>
      <c r="C419" s="117" t="s">
        <v>3399</v>
      </c>
      <c r="D419" s="116">
        <v>1560</v>
      </c>
      <c r="E419" s="116">
        <v>432</v>
      </c>
      <c r="F419" s="116" t="s">
        <v>2253</v>
      </c>
    </row>
    <row r="420" spans="1:6" ht="13.2">
      <c r="A420" s="116">
        <v>7079202</v>
      </c>
      <c r="B420" s="116">
        <v>210390</v>
      </c>
      <c r="C420" s="117" t="s">
        <v>3400</v>
      </c>
      <c r="D420" s="116">
        <v>1560</v>
      </c>
      <c r="E420" s="116">
        <v>628</v>
      </c>
      <c r="F420" s="116" t="s">
        <v>2253</v>
      </c>
    </row>
    <row r="421" spans="1:6" ht="13.2">
      <c r="A421" s="116">
        <v>7100101</v>
      </c>
      <c r="B421" s="116">
        <v>20130</v>
      </c>
      <c r="C421" s="117" t="s">
        <v>3401</v>
      </c>
      <c r="D421" s="116">
        <v>943</v>
      </c>
      <c r="E421" s="116">
        <v>2072</v>
      </c>
      <c r="F421" s="116" t="s">
        <v>2373</v>
      </c>
    </row>
    <row r="422" spans="1:6" ht="13.2">
      <c r="A422" s="116">
        <v>7100201</v>
      </c>
      <c r="B422" s="116">
        <v>20130</v>
      </c>
      <c r="C422" s="117" t="s">
        <v>3402</v>
      </c>
      <c r="D422" s="116">
        <v>1560</v>
      </c>
      <c r="E422" s="116">
        <v>432</v>
      </c>
      <c r="F422" s="116" t="s">
        <v>2253</v>
      </c>
    </row>
    <row r="423" spans="1:6" ht="13.2">
      <c r="A423" s="116">
        <v>7100205</v>
      </c>
      <c r="B423" s="116">
        <v>20130</v>
      </c>
      <c r="C423" s="117" t="s">
        <v>3403</v>
      </c>
      <c r="D423" s="116">
        <v>26938</v>
      </c>
      <c r="E423" s="116">
        <v>18136</v>
      </c>
      <c r="F423" s="116" t="s">
        <v>2388</v>
      </c>
    </row>
    <row r="424" spans="1:6" ht="13.2">
      <c r="A424" s="116">
        <v>7100301</v>
      </c>
      <c r="B424" s="116">
        <v>20130</v>
      </c>
      <c r="C424" s="117" t="s">
        <v>3404</v>
      </c>
      <c r="D424" s="116">
        <v>26938</v>
      </c>
      <c r="E424" s="116">
        <v>18136</v>
      </c>
      <c r="F424" s="116" t="s">
        <v>2388</v>
      </c>
    </row>
    <row r="425" spans="1:6" ht="13.2">
      <c r="A425" s="116">
        <v>7100303</v>
      </c>
      <c r="B425" s="116">
        <v>20130</v>
      </c>
      <c r="C425" s="117" t="s">
        <v>3405</v>
      </c>
      <c r="D425" s="116">
        <v>26938</v>
      </c>
      <c r="E425" s="116">
        <v>18136</v>
      </c>
      <c r="F425" s="116" t="s">
        <v>2388</v>
      </c>
    </row>
    <row r="426" spans="1:6" ht="13.2">
      <c r="A426" s="116">
        <v>7100304</v>
      </c>
      <c r="B426" s="116">
        <v>20130</v>
      </c>
      <c r="C426" s="117" t="s">
        <v>3406</v>
      </c>
      <c r="D426" s="116">
        <v>26938</v>
      </c>
      <c r="E426" s="116">
        <v>18136</v>
      </c>
      <c r="F426" s="116" t="s">
        <v>2388</v>
      </c>
    </row>
    <row r="427" spans="1:6" ht="13.2">
      <c r="A427" s="116">
        <v>7100501</v>
      </c>
      <c r="B427" s="116">
        <v>20130</v>
      </c>
      <c r="C427" s="117" t="s">
        <v>3407</v>
      </c>
      <c r="D427" s="116">
        <v>26938</v>
      </c>
      <c r="E427" s="116">
        <v>18136</v>
      </c>
      <c r="F427" s="116" t="s">
        <v>2388</v>
      </c>
    </row>
    <row r="428" spans="1:6" ht="13.2">
      <c r="A428" s="116">
        <v>7100502</v>
      </c>
      <c r="B428" s="116">
        <v>20130</v>
      </c>
      <c r="C428" s="117" t="s">
        <v>3408</v>
      </c>
      <c r="D428" s="116">
        <v>26938</v>
      </c>
      <c r="E428" s="116">
        <v>18136</v>
      </c>
      <c r="F428" s="116" t="s">
        <v>2388</v>
      </c>
    </row>
    <row r="429" spans="1:6" ht="13.2">
      <c r="A429" s="116">
        <v>7100604</v>
      </c>
      <c r="B429" s="116">
        <v>20130</v>
      </c>
      <c r="C429" s="117" t="s">
        <v>3409</v>
      </c>
      <c r="D429" s="116">
        <v>26938</v>
      </c>
      <c r="E429" s="116">
        <v>18136</v>
      </c>
      <c r="F429" s="116" t="s">
        <v>2388</v>
      </c>
    </row>
    <row r="430" spans="1:6" ht="13.2">
      <c r="A430" s="116">
        <v>7100606</v>
      </c>
      <c r="B430" s="116">
        <v>20130</v>
      </c>
      <c r="C430" s="117" t="s">
        <v>3410</v>
      </c>
      <c r="D430" s="116">
        <v>26938</v>
      </c>
      <c r="E430" s="116">
        <v>18136</v>
      </c>
      <c r="F430" s="116" t="s">
        <v>2388</v>
      </c>
    </row>
    <row r="431" spans="1:6" ht="13.2">
      <c r="A431" s="116">
        <v>7100607</v>
      </c>
      <c r="B431" s="116">
        <v>20130</v>
      </c>
      <c r="C431" s="117" t="s">
        <v>3411</v>
      </c>
      <c r="D431" s="116">
        <v>26938</v>
      </c>
      <c r="E431" s="116">
        <v>18136</v>
      </c>
      <c r="F431" s="116" t="s">
        <v>2388</v>
      </c>
    </row>
    <row r="432" spans="1:6" ht="13.2">
      <c r="A432" s="116">
        <v>7100608</v>
      </c>
      <c r="B432" s="116">
        <v>20130</v>
      </c>
      <c r="C432" s="117" t="s">
        <v>3412</v>
      </c>
      <c r="D432" s="116">
        <v>26938</v>
      </c>
      <c r="E432" s="116">
        <v>18136</v>
      </c>
      <c r="F432" s="116" t="s">
        <v>2388</v>
      </c>
    </row>
    <row r="433" spans="1:6" ht="13.2">
      <c r="A433" s="116">
        <v>7100702</v>
      </c>
      <c r="B433" s="116">
        <v>20130</v>
      </c>
      <c r="C433" s="117" t="s">
        <v>3413</v>
      </c>
      <c r="D433" s="116">
        <v>26938</v>
      </c>
      <c r="E433" s="116">
        <v>18136</v>
      </c>
      <c r="F433" s="116" t="s">
        <v>2388</v>
      </c>
    </row>
    <row r="434" spans="1:6" ht="13.2">
      <c r="A434" s="116">
        <v>7100801</v>
      </c>
      <c r="B434" s="116">
        <v>20130</v>
      </c>
      <c r="C434" s="117" t="s">
        <v>3414</v>
      </c>
      <c r="D434" s="116">
        <v>26938</v>
      </c>
      <c r="E434" s="116">
        <v>18136</v>
      </c>
      <c r="F434" s="116" t="s">
        <v>2388</v>
      </c>
    </row>
    <row r="435" spans="1:6" ht="13.2">
      <c r="A435" s="116">
        <v>7100803</v>
      </c>
      <c r="B435" s="116">
        <v>20130</v>
      </c>
      <c r="C435" s="117" t="s">
        <v>3415</v>
      </c>
      <c r="D435" s="116">
        <v>26938</v>
      </c>
      <c r="E435" s="116">
        <v>18136</v>
      </c>
      <c r="F435" s="116" t="s">
        <v>2388</v>
      </c>
    </row>
    <row r="436" spans="1:6" ht="13.2">
      <c r="A436" s="116">
        <v>7100905</v>
      </c>
      <c r="B436" s="116">
        <v>20130</v>
      </c>
      <c r="C436" s="117" t="s">
        <v>3416</v>
      </c>
      <c r="D436" s="116">
        <v>26938</v>
      </c>
      <c r="E436" s="116">
        <v>18136</v>
      </c>
      <c r="F436" s="116" t="s">
        <v>2388</v>
      </c>
    </row>
    <row r="437" spans="1:6" ht="13.2">
      <c r="A437" s="116">
        <v>7100908</v>
      </c>
      <c r="B437" s="116">
        <v>20120</v>
      </c>
      <c r="C437" s="117" t="s">
        <v>3417</v>
      </c>
      <c r="D437" s="116">
        <v>26938</v>
      </c>
      <c r="E437" s="116">
        <v>18136</v>
      </c>
      <c r="F437" s="116" t="s">
        <v>2388</v>
      </c>
    </row>
    <row r="438" spans="1:6" ht="13.2">
      <c r="A438" s="116">
        <v>7101001</v>
      </c>
      <c r="B438" s="116">
        <v>20130</v>
      </c>
      <c r="C438" s="117" t="s">
        <v>3418</v>
      </c>
      <c r="D438" s="116">
        <v>26938</v>
      </c>
      <c r="E438" s="116">
        <v>18136</v>
      </c>
      <c r="F438" s="116" t="s">
        <v>2388</v>
      </c>
    </row>
    <row r="439" spans="1:6" ht="13.2">
      <c r="A439" s="116">
        <v>7101006</v>
      </c>
      <c r="B439" s="116">
        <v>20130</v>
      </c>
      <c r="C439" s="117" t="s">
        <v>3419</v>
      </c>
      <c r="D439" s="116">
        <v>26938</v>
      </c>
      <c r="E439" s="116">
        <v>18136</v>
      </c>
      <c r="F439" s="116" t="s">
        <v>2388</v>
      </c>
    </row>
    <row r="440" spans="1:6" ht="13.2">
      <c r="A440" s="116">
        <v>7101009</v>
      </c>
      <c r="B440" s="116">
        <v>20130</v>
      </c>
      <c r="C440" s="117" t="s">
        <v>3420</v>
      </c>
      <c r="D440" s="116">
        <v>26938</v>
      </c>
      <c r="E440" s="116">
        <v>18136</v>
      </c>
      <c r="F440" s="116" t="s">
        <v>2388</v>
      </c>
    </row>
    <row r="441" spans="1:6" ht="13.2">
      <c r="A441" s="116">
        <v>7101011</v>
      </c>
      <c r="B441" s="116">
        <v>20130</v>
      </c>
      <c r="C441" s="117" t="s">
        <v>3421</v>
      </c>
      <c r="D441" s="116">
        <v>26938</v>
      </c>
      <c r="E441" s="116">
        <v>18136</v>
      </c>
      <c r="F441" s="116" t="s">
        <v>2388</v>
      </c>
    </row>
    <row r="442" spans="1:6" ht="13.2">
      <c r="A442" s="116">
        <v>7101101</v>
      </c>
      <c r="B442" s="116">
        <v>20130</v>
      </c>
      <c r="C442" s="117" t="s">
        <v>3422</v>
      </c>
      <c r="D442" s="116">
        <v>26938</v>
      </c>
      <c r="E442" s="116">
        <v>18136</v>
      </c>
      <c r="F442" s="116" t="s">
        <v>2388</v>
      </c>
    </row>
    <row r="443" spans="1:6" ht="13.2">
      <c r="A443" s="116">
        <v>7101202</v>
      </c>
      <c r="B443" s="116">
        <v>20130</v>
      </c>
      <c r="C443" s="117" t="s">
        <v>3423</v>
      </c>
      <c r="D443" s="116">
        <v>26938</v>
      </c>
      <c r="E443" s="116">
        <v>18136</v>
      </c>
      <c r="F443" s="116" t="s">
        <v>2388</v>
      </c>
    </row>
    <row r="444" spans="1:6" ht="13.2">
      <c r="A444" s="116">
        <v>7101203</v>
      </c>
      <c r="B444" s="116">
        <v>20130</v>
      </c>
      <c r="C444" s="117" t="s">
        <v>3424</v>
      </c>
      <c r="D444" s="116">
        <v>26938</v>
      </c>
      <c r="E444" s="116">
        <v>18136</v>
      </c>
      <c r="F444" s="116" t="s">
        <v>2388</v>
      </c>
    </row>
    <row r="445" spans="1:6" ht="13.2">
      <c r="A445" s="116">
        <v>7101301</v>
      </c>
      <c r="B445" s="116">
        <v>20120</v>
      </c>
      <c r="C445" s="117" t="s">
        <v>3425</v>
      </c>
      <c r="D445" s="116">
        <v>26938</v>
      </c>
      <c r="E445" s="116">
        <v>18136</v>
      </c>
      <c r="F445" s="116" t="s">
        <v>2388</v>
      </c>
    </row>
    <row r="446" spans="1:6" ht="13.2">
      <c r="A446" s="116">
        <v>7101704</v>
      </c>
      <c r="B446" s="116">
        <v>20130</v>
      </c>
      <c r="C446" s="117" t="s">
        <v>3426</v>
      </c>
      <c r="D446" s="116">
        <v>26938</v>
      </c>
      <c r="E446" s="116">
        <v>18136</v>
      </c>
      <c r="F446" s="116" t="s">
        <v>2388</v>
      </c>
    </row>
    <row r="447" spans="1:6" ht="13.2">
      <c r="A447" s="116">
        <v>7101706</v>
      </c>
      <c r="B447" s="116">
        <v>20130</v>
      </c>
      <c r="C447" s="117" t="s">
        <v>3427</v>
      </c>
      <c r="D447" s="116">
        <v>26938</v>
      </c>
      <c r="E447" s="116">
        <v>18136</v>
      </c>
      <c r="F447" s="116" t="s">
        <v>2388</v>
      </c>
    </row>
    <row r="448" spans="1:6" ht="13.2">
      <c r="A448" s="116">
        <v>7101801</v>
      </c>
      <c r="B448" s="116">
        <v>20629</v>
      </c>
      <c r="C448" s="117" t="s">
        <v>3428</v>
      </c>
      <c r="D448" s="116">
        <v>26938</v>
      </c>
      <c r="E448" s="116">
        <v>18136</v>
      </c>
      <c r="F448" s="116" t="s">
        <v>2388</v>
      </c>
    </row>
    <row r="449" spans="1:6" ht="13.2">
      <c r="A449" s="116">
        <v>7101806</v>
      </c>
      <c r="B449" s="116">
        <v>20610</v>
      </c>
      <c r="C449" s="117" t="s">
        <v>3429</v>
      </c>
      <c r="D449" s="116">
        <v>26938</v>
      </c>
      <c r="E449" s="116">
        <v>18136</v>
      </c>
      <c r="F449" s="116" t="s">
        <v>2388</v>
      </c>
    </row>
    <row r="450" spans="1:6" ht="13.2">
      <c r="A450" s="116">
        <v>7101901</v>
      </c>
      <c r="B450" s="116">
        <v>20610</v>
      </c>
      <c r="C450" s="117" t="s">
        <v>3430</v>
      </c>
      <c r="D450" s="116">
        <v>10100</v>
      </c>
      <c r="E450" s="116">
        <v>1389</v>
      </c>
      <c r="F450" s="116" t="s">
        <v>2416</v>
      </c>
    </row>
    <row r="451" spans="1:6" ht="13.2">
      <c r="A451" s="116">
        <v>7102001</v>
      </c>
      <c r="B451" s="116">
        <v>20610</v>
      </c>
      <c r="C451" s="117" t="s">
        <v>3431</v>
      </c>
      <c r="D451" s="116">
        <v>10100</v>
      </c>
      <c r="E451" s="116">
        <v>1389</v>
      </c>
      <c r="F451" s="116" t="s">
        <v>2416</v>
      </c>
    </row>
    <row r="452" spans="1:6" ht="13.2">
      <c r="A452" s="116">
        <v>7102102</v>
      </c>
      <c r="B452" s="116">
        <v>20610</v>
      </c>
      <c r="C452" s="117" t="s">
        <v>3432</v>
      </c>
      <c r="D452" s="116">
        <v>10100</v>
      </c>
      <c r="E452" s="116">
        <v>1389</v>
      </c>
      <c r="F452" s="116" t="s">
        <v>2416</v>
      </c>
    </row>
    <row r="453" spans="1:6" ht="13.2">
      <c r="A453" s="116">
        <v>7102201</v>
      </c>
      <c r="B453" s="116">
        <v>20610</v>
      </c>
      <c r="C453" s="117" t="s">
        <v>3433</v>
      </c>
      <c r="D453" s="116">
        <v>10100</v>
      </c>
      <c r="E453" s="116">
        <v>1389</v>
      </c>
      <c r="F453" s="116" t="s">
        <v>2416</v>
      </c>
    </row>
    <row r="454" spans="1:6" ht="13.2">
      <c r="A454" s="116">
        <v>7102401</v>
      </c>
      <c r="B454" s="116">
        <v>20610</v>
      </c>
      <c r="C454" s="117" t="s">
        <v>3434</v>
      </c>
      <c r="D454" s="116">
        <v>10100</v>
      </c>
      <c r="E454" s="116">
        <v>1389</v>
      </c>
      <c r="F454" s="116" t="s">
        <v>2416</v>
      </c>
    </row>
    <row r="455" spans="1:6" ht="13.2">
      <c r="A455" s="116">
        <v>7102402</v>
      </c>
      <c r="B455" s="116">
        <v>20610</v>
      </c>
      <c r="C455" s="117" t="s">
        <v>3435</v>
      </c>
      <c r="D455" s="116">
        <v>10100</v>
      </c>
      <c r="E455" s="116">
        <v>1389</v>
      </c>
      <c r="F455" s="116" t="s">
        <v>2416</v>
      </c>
    </row>
    <row r="456" spans="1:6" ht="13.2">
      <c r="A456" s="116">
        <v>7102403</v>
      </c>
      <c r="B456" s="116">
        <v>20610</v>
      </c>
      <c r="C456" s="117" t="s">
        <v>3436</v>
      </c>
      <c r="D456" s="116">
        <v>10100</v>
      </c>
      <c r="E456" s="116">
        <v>1389</v>
      </c>
      <c r="F456" s="116" t="s">
        <v>2416</v>
      </c>
    </row>
    <row r="457" spans="1:6" ht="13.2">
      <c r="A457" s="116">
        <v>7102404</v>
      </c>
      <c r="B457" s="116">
        <v>20680</v>
      </c>
      <c r="C457" s="117" t="s">
        <v>3437</v>
      </c>
      <c r="D457" s="116">
        <v>10100</v>
      </c>
      <c r="E457" s="116">
        <v>1389</v>
      </c>
      <c r="F457" s="116" t="s">
        <v>2416</v>
      </c>
    </row>
    <row r="458" spans="1:6" ht="13.2">
      <c r="A458" s="116">
        <v>7102501</v>
      </c>
      <c r="B458" s="116">
        <v>20622</v>
      </c>
      <c r="C458" s="117" t="s">
        <v>3438</v>
      </c>
      <c r="D458" s="116">
        <v>10100</v>
      </c>
      <c r="E458" s="116">
        <v>1389</v>
      </c>
      <c r="F458" s="116" t="s">
        <v>2416</v>
      </c>
    </row>
    <row r="459" spans="1:6" ht="13.2">
      <c r="A459" s="116">
        <v>7102601</v>
      </c>
      <c r="B459" s="116">
        <v>20130</v>
      </c>
      <c r="C459" s="117" t="s">
        <v>3439</v>
      </c>
      <c r="D459" s="116">
        <v>10100</v>
      </c>
      <c r="E459" s="116">
        <v>1389</v>
      </c>
      <c r="F459" s="116" t="s">
        <v>2416</v>
      </c>
    </row>
    <row r="460" spans="1:6" ht="13.2">
      <c r="A460" s="116">
        <v>7102701</v>
      </c>
      <c r="B460" s="116">
        <v>20621</v>
      </c>
      <c r="C460" s="117" t="s">
        <v>3440</v>
      </c>
      <c r="D460" s="116">
        <v>10100</v>
      </c>
      <c r="E460" s="116">
        <v>1389</v>
      </c>
      <c r="F460" s="116" t="s">
        <v>2416</v>
      </c>
    </row>
    <row r="461" spans="1:6" ht="13.2">
      <c r="A461" s="116">
        <v>7102801</v>
      </c>
      <c r="B461" s="116">
        <v>20120</v>
      </c>
      <c r="C461" s="117" t="s">
        <v>3441</v>
      </c>
      <c r="D461" s="116">
        <v>26938</v>
      </c>
      <c r="E461" s="116">
        <v>18136</v>
      </c>
      <c r="F461" s="116" t="s">
        <v>2388</v>
      </c>
    </row>
    <row r="462" spans="1:6" ht="13.2">
      <c r="A462" s="116">
        <v>7103101</v>
      </c>
      <c r="B462" s="116">
        <v>20610</v>
      </c>
      <c r="C462" s="117" t="s">
        <v>3442</v>
      </c>
      <c r="D462" s="116">
        <v>10100</v>
      </c>
      <c r="E462" s="116">
        <v>1389</v>
      </c>
      <c r="F462" s="116" t="s">
        <v>2416</v>
      </c>
    </row>
    <row r="463" spans="1:6" ht="13.2">
      <c r="A463" s="116">
        <v>7103104</v>
      </c>
      <c r="B463" s="116">
        <v>20130</v>
      </c>
      <c r="C463" s="117" t="s">
        <v>3443</v>
      </c>
      <c r="D463" s="116">
        <v>26938</v>
      </c>
      <c r="E463" s="116">
        <v>18136</v>
      </c>
      <c r="F463" s="116" t="s">
        <v>2388</v>
      </c>
    </row>
    <row r="464" spans="1:6" ht="13.2">
      <c r="A464" s="116">
        <v>7103105</v>
      </c>
      <c r="B464" s="116">
        <v>20610</v>
      </c>
      <c r="C464" s="117" t="s">
        <v>3444</v>
      </c>
      <c r="D464" s="116">
        <v>10100</v>
      </c>
      <c r="E464" s="116">
        <v>1389</v>
      </c>
      <c r="F464" s="116" t="s">
        <v>2416</v>
      </c>
    </row>
    <row r="465" spans="1:6" ht="13.2">
      <c r="A465" s="116">
        <v>7103301</v>
      </c>
      <c r="B465" s="116">
        <v>20319</v>
      </c>
      <c r="C465" s="117" t="s">
        <v>3445</v>
      </c>
      <c r="D465" s="116">
        <v>26938</v>
      </c>
      <c r="E465" s="116">
        <v>18136</v>
      </c>
      <c r="F465" s="116" t="s">
        <v>2388</v>
      </c>
    </row>
    <row r="466" spans="1:6" ht="13.2">
      <c r="A466" s="116">
        <v>7103305</v>
      </c>
      <c r="B466" s="116">
        <v>20319</v>
      </c>
      <c r="C466" s="117" t="s">
        <v>3446</v>
      </c>
      <c r="D466" s="116">
        <v>10100</v>
      </c>
      <c r="E466" s="116">
        <v>1389</v>
      </c>
      <c r="F466" s="116" t="s">
        <v>2416</v>
      </c>
    </row>
    <row r="467" spans="1:6" ht="13.2">
      <c r="A467" s="116">
        <v>7103401</v>
      </c>
      <c r="B467" s="116">
        <v>20319</v>
      </c>
      <c r="C467" s="117" t="s">
        <v>3447</v>
      </c>
      <c r="D467" s="116">
        <v>4005</v>
      </c>
      <c r="E467" s="116">
        <v>7509</v>
      </c>
      <c r="F467" s="116" t="s">
        <v>2432</v>
      </c>
    </row>
    <row r="468" spans="1:6" ht="13.2">
      <c r="A468" s="116">
        <v>7103403</v>
      </c>
      <c r="B468" s="116">
        <v>20319</v>
      </c>
      <c r="C468" s="117" t="s">
        <v>3448</v>
      </c>
      <c r="D468" s="116">
        <v>4005</v>
      </c>
      <c r="E468" s="116">
        <v>7509</v>
      </c>
      <c r="F468" s="116" t="s">
        <v>2432</v>
      </c>
    </row>
    <row r="469" spans="1:6" ht="13.2">
      <c r="A469" s="116">
        <v>7103501</v>
      </c>
      <c r="B469" s="116">
        <v>20319</v>
      </c>
      <c r="C469" s="117" t="s">
        <v>3449</v>
      </c>
      <c r="D469" s="116">
        <v>4005</v>
      </c>
      <c r="E469" s="116">
        <v>7509</v>
      </c>
      <c r="F469" s="116" t="s">
        <v>2432</v>
      </c>
    </row>
    <row r="470" spans="1:6" ht="13.2">
      <c r="A470" s="116">
        <v>7103701</v>
      </c>
      <c r="B470" s="116">
        <v>20319</v>
      </c>
      <c r="C470" s="117" t="s">
        <v>3450</v>
      </c>
      <c r="D470" s="116">
        <v>4005</v>
      </c>
      <c r="E470" s="116">
        <v>7509</v>
      </c>
      <c r="F470" s="116" t="s">
        <v>2432</v>
      </c>
    </row>
    <row r="471" spans="1:6" ht="13.2">
      <c r="A471" s="116">
        <v>7103801</v>
      </c>
      <c r="B471" s="116">
        <v>21012</v>
      </c>
      <c r="C471" s="117" t="s">
        <v>3451</v>
      </c>
      <c r="D471" s="116">
        <v>4005</v>
      </c>
      <c r="E471" s="116">
        <v>7509</v>
      </c>
      <c r="F471" s="116" t="s">
        <v>2432</v>
      </c>
    </row>
    <row r="472" spans="1:6" ht="13.2">
      <c r="A472" s="116">
        <v>7103903</v>
      </c>
      <c r="B472" s="116">
        <v>20641</v>
      </c>
      <c r="C472" s="117" t="s">
        <v>3452</v>
      </c>
      <c r="D472" s="116">
        <v>4885</v>
      </c>
      <c r="E472" s="116">
        <v>7509</v>
      </c>
      <c r="F472" s="116" t="s">
        <v>2432</v>
      </c>
    </row>
    <row r="473" spans="1:6" ht="13.2">
      <c r="A473" s="116">
        <v>7103906</v>
      </c>
      <c r="B473" s="116">
        <v>20641</v>
      </c>
      <c r="C473" s="117" t="s">
        <v>3453</v>
      </c>
      <c r="D473" s="116">
        <v>10200</v>
      </c>
      <c r="E473" s="116">
        <v>7360</v>
      </c>
      <c r="F473" s="116" t="s">
        <v>2436</v>
      </c>
    </row>
    <row r="474" spans="1:6" ht="13.2">
      <c r="A474" s="116">
        <v>7103907</v>
      </c>
      <c r="B474" s="116">
        <v>20641</v>
      </c>
      <c r="C474" s="117" t="s">
        <v>3454</v>
      </c>
      <c r="D474" s="116">
        <v>2925</v>
      </c>
      <c r="E474" s="116">
        <v>1389</v>
      </c>
      <c r="F474" s="116" t="s">
        <v>2416</v>
      </c>
    </row>
    <row r="475" spans="1:6" ht="13.2">
      <c r="A475" s="116">
        <v>7104101</v>
      </c>
      <c r="B475" s="116">
        <v>20319</v>
      </c>
      <c r="C475" s="117" t="s">
        <v>3455</v>
      </c>
      <c r="D475" s="116">
        <v>2925</v>
      </c>
      <c r="E475" s="116">
        <v>1389</v>
      </c>
      <c r="F475" s="116" t="s">
        <v>2416</v>
      </c>
    </row>
    <row r="476" spans="1:6" ht="13.2">
      <c r="A476" s="116">
        <v>7104301</v>
      </c>
      <c r="B476" s="116">
        <v>20130</v>
      </c>
      <c r="C476" s="117" t="s">
        <v>3456</v>
      </c>
      <c r="D476" s="116">
        <v>2925</v>
      </c>
      <c r="E476" s="116">
        <v>1389</v>
      </c>
      <c r="F476" s="116" t="s">
        <v>2416</v>
      </c>
    </row>
    <row r="477" spans="1:6" ht="13.2">
      <c r="A477" s="116">
        <v>7104501</v>
      </c>
      <c r="B477" s="116">
        <v>20630</v>
      </c>
      <c r="C477" s="117" t="s">
        <v>3457</v>
      </c>
      <c r="D477" s="116">
        <v>3983</v>
      </c>
      <c r="E477" s="116">
        <v>7509</v>
      </c>
      <c r="F477" s="116" t="s">
        <v>2432</v>
      </c>
    </row>
    <row r="478" spans="1:6" ht="13.2">
      <c r="A478" s="116">
        <v>7104601</v>
      </c>
      <c r="B478" s="116">
        <v>20641</v>
      </c>
      <c r="C478" s="117" t="s">
        <v>3458</v>
      </c>
      <c r="D478" s="116">
        <v>26938</v>
      </c>
      <c r="E478" s="116">
        <v>18136</v>
      </c>
      <c r="F478" s="116" t="s">
        <v>2388</v>
      </c>
    </row>
    <row r="479" spans="1:6" ht="13.2">
      <c r="A479" s="116">
        <v>7104701</v>
      </c>
      <c r="B479" s="116">
        <v>20630</v>
      </c>
      <c r="C479" s="117" t="s">
        <v>3459</v>
      </c>
      <c r="D479" s="116">
        <v>2925</v>
      </c>
      <c r="E479" s="116">
        <v>1389</v>
      </c>
      <c r="F479" s="116" t="s">
        <v>2416</v>
      </c>
    </row>
    <row r="480" spans="1:6" ht="13.2">
      <c r="A480" s="116">
        <v>7105001</v>
      </c>
      <c r="B480" s="116">
        <v>20630</v>
      </c>
      <c r="C480" s="117" t="s">
        <v>3460</v>
      </c>
      <c r="D480" s="116">
        <v>2925</v>
      </c>
      <c r="E480" s="116">
        <v>1389</v>
      </c>
      <c r="F480" s="116" t="s">
        <v>2416</v>
      </c>
    </row>
    <row r="481" spans="1:6" ht="13.2">
      <c r="A481" s="116">
        <v>7105203</v>
      </c>
      <c r="B481" s="116">
        <v>20630</v>
      </c>
      <c r="C481" s="117" t="s">
        <v>3461</v>
      </c>
      <c r="D481" s="116">
        <v>2925</v>
      </c>
      <c r="E481" s="116">
        <v>1389</v>
      </c>
      <c r="F481" s="116" t="s">
        <v>2416</v>
      </c>
    </row>
    <row r="482" spans="1:6" ht="13.2">
      <c r="A482" s="116">
        <v>7105401</v>
      </c>
      <c r="B482" s="116">
        <v>20450</v>
      </c>
      <c r="C482" s="117" t="s">
        <v>3462</v>
      </c>
      <c r="D482" s="116">
        <v>2925</v>
      </c>
      <c r="E482" s="116">
        <v>1389</v>
      </c>
      <c r="F482" s="116" t="s">
        <v>2416</v>
      </c>
    </row>
    <row r="483" spans="1:6" ht="13.2">
      <c r="A483" s="116">
        <v>7105402</v>
      </c>
      <c r="B483" s="116">
        <v>20450</v>
      </c>
      <c r="C483" s="117" t="s">
        <v>3463</v>
      </c>
      <c r="D483" s="116">
        <v>2925</v>
      </c>
      <c r="E483" s="116">
        <v>1389</v>
      </c>
      <c r="F483" s="116" t="s">
        <v>2416</v>
      </c>
    </row>
    <row r="484" spans="1:6" ht="13.2">
      <c r="A484" s="116">
        <v>7105403</v>
      </c>
      <c r="B484" s="116">
        <v>20450</v>
      </c>
      <c r="C484" s="117" t="s">
        <v>3464</v>
      </c>
      <c r="D484" s="116">
        <v>14000</v>
      </c>
      <c r="E484" s="116">
        <v>7594</v>
      </c>
      <c r="F484" s="116" t="s">
        <v>2446</v>
      </c>
    </row>
    <row r="485" spans="1:6" ht="13.2">
      <c r="A485" s="116">
        <v>7105405</v>
      </c>
      <c r="B485" s="116">
        <v>20450</v>
      </c>
      <c r="C485" s="117" t="s">
        <v>3465</v>
      </c>
      <c r="D485" s="116">
        <v>14000</v>
      </c>
      <c r="E485" s="116">
        <v>7594</v>
      </c>
      <c r="F485" s="116" t="s">
        <v>2446</v>
      </c>
    </row>
    <row r="486" spans="1:6" ht="13.2">
      <c r="A486" s="116">
        <v>7105601</v>
      </c>
      <c r="B486" s="116">
        <v>20443</v>
      </c>
      <c r="C486" s="117" t="s">
        <v>3466</v>
      </c>
      <c r="D486" s="116">
        <v>14000</v>
      </c>
      <c r="E486" s="116">
        <v>7594</v>
      </c>
      <c r="F486" s="116" t="s">
        <v>2446</v>
      </c>
    </row>
    <row r="487" spans="1:6" ht="13.2">
      <c r="A487" s="116">
        <v>7105602</v>
      </c>
      <c r="B487" s="116">
        <v>20443</v>
      </c>
      <c r="C487" s="117" t="s">
        <v>3467</v>
      </c>
      <c r="D487" s="116">
        <v>14000</v>
      </c>
      <c r="E487" s="116">
        <v>7594</v>
      </c>
      <c r="F487" s="116" t="s">
        <v>2446</v>
      </c>
    </row>
    <row r="488" spans="1:6" ht="13.2">
      <c r="A488" s="116">
        <v>7105801</v>
      </c>
      <c r="B488" s="116">
        <v>20680</v>
      </c>
      <c r="C488" s="117" t="s">
        <v>3468</v>
      </c>
      <c r="D488" s="116">
        <v>14000</v>
      </c>
      <c r="E488" s="116">
        <v>7594</v>
      </c>
      <c r="F488" s="116" t="s">
        <v>2446</v>
      </c>
    </row>
    <row r="489" spans="1:6" ht="13.2">
      <c r="A489" s="116">
        <v>7106301</v>
      </c>
      <c r="B489" s="116">
        <v>20319</v>
      </c>
      <c r="C489" s="117" t="s">
        <v>3469</v>
      </c>
      <c r="D489" s="116">
        <v>14000</v>
      </c>
      <c r="E489" s="116">
        <v>7594</v>
      </c>
      <c r="F489" s="116" t="s">
        <v>2446</v>
      </c>
    </row>
    <row r="490" spans="1:6" ht="13.2">
      <c r="A490" s="116">
        <v>7106401</v>
      </c>
      <c r="B490" s="116">
        <v>20130</v>
      </c>
      <c r="C490" s="117" t="s">
        <v>3470</v>
      </c>
      <c r="D490" s="116">
        <v>10100</v>
      </c>
      <c r="E490" s="116">
        <v>1389</v>
      </c>
      <c r="F490" s="116" t="s">
        <v>2416</v>
      </c>
    </row>
    <row r="491" spans="1:6" ht="13.2">
      <c r="A491" s="116">
        <v>7106501</v>
      </c>
      <c r="B491" s="116">
        <v>20319</v>
      </c>
      <c r="C491" s="117" t="s">
        <v>3471</v>
      </c>
      <c r="D491" s="116">
        <v>4005</v>
      </c>
      <c r="E491" s="116">
        <v>7509</v>
      </c>
      <c r="F491" s="116" t="s">
        <v>2432</v>
      </c>
    </row>
    <row r="492" spans="1:6" ht="13.2">
      <c r="A492" s="116">
        <v>7107501</v>
      </c>
      <c r="B492" s="116">
        <v>20319</v>
      </c>
      <c r="C492" s="117" t="s">
        <v>3472</v>
      </c>
      <c r="D492" s="116">
        <v>26938</v>
      </c>
      <c r="E492" s="116">
        <v>18136</v>
      </c>
      <c r="F492" s="116" t="s">
        <v>2388</v>
      </c>
    </row>
    <row r="493" spans="1:6" ht="13.2">
      <c r="A493" s="116">
        <v>7107601</v>
      </c>
      <c r="B493" s="116">
        <v>20890</v>
      </c>
      <c r="C493" s="117" t="s">
        <v>3473</v>
      </c>
      <c r="D493" s="116">
        <v>4005</v>
      </c>
      <c r="E493" s="116">
        <v>7509</v>
      </c>
      <c r="F493" s="116" t="s">
        <v>2432</v>
      </c>
    </row>
    <row r="494" spans="1:6" ht="13.2">
      <c r="A494" s="116">
        <v>7107603</v>
      </c>
      <c r="B494" s="116">
        <v>20890</v>
      </c>
      <c r="C494" s="117" t="s">
        <v>3474</v>
      </c>
      <c r="D494" s="116">
        <v>2925</v>
      </c>
      <c r="E494" s="116">
        <v>1389</v>
      </c>
      <c r="F494" s="116" t="s">
        <v>2432</v>
      </c>
    </row>
    <row r="495" spans="1:6" ht="13.2">
      <c r="A495" s="116">
        <v>7107611</v>
      </c>
      <c r="B495" s="116">
        <v>20850</v>
      </c>
      <c r="C495" s="117" t="s">
        <v>3475</v>
      </c>
      <c r="D495" s="116">
        <v>3321</v>
      </c>
      <c r="E495" s="116">
        <v>10064</v>
      </c>
      <c r="F495" s="116" t="s">
        <v>2416</v>
      </c>
    </row>
    <row r="496" spans="1:6" ht="13.2">
      <c r="A496" s="116">
        <v>7107615</v>
      </c>
      <c r="B496" s="116">
        <v>20890</v>
      </c>
      <c r="C496" s="117" t="s">
        <v>3476</v>
      </c>
      <c r="D496" s="116">
        <v>3321</v>
      </c>
      <c r="E496" s="116">
        <v>10064</v>
      </c>
      <c r="F496" s="116" t="s">
        <v>2416</v>
      </c>
    </row>
    <row r="497" spans="1:6" ht="13.2">
      <c r="A497" s="116">
        <v>7107617</v>
      </c>
      <c r="B497" s="116">
        <v>20890</v>
      </c>
      <c r="C497" s="117" t="s">
        <v>3477</v>
      </c>
      <c r="D497" s="116">
        <v>3321</v>
      </c>
      <c r="E497" s="116">
        <v>10064</v>
      </c>
      <c r="F497" s="116" t="s">
        <v>2416</v>
      </c>
    </row>
    <row r="498" spans="1:6" ht="13.2">
      <c r="A498" s="116">
        <v>7107622</v>
      </c>
      <c r="B498" s="116">
        <v>20850</v>
      </c>
      <c r="C498" s="117" t="s">
        <v>3478</v>
      </c>
      <c r="D498" s="116">
        <v>3321</v>
      </c>
      <c r="E498" s="116">
        <v>10064</v>
      </c>
      <c r="F498" s="116" t="s">
        <v>2416</v>
      </c>
    </row>
    <row r="499" spans="1:6" ht="13.2">
      <c r="A499" s="116">
        <v>7107801</v>
      </c>
      <c r="B499" s="116">
        <v>20130</v>
      </c>
      <c r="C499" s="117" t="s">
        <v>3479</v>
      </c>
      <c r="D499" s="116">
        <v>3321</v>
      </c>
      <c r="E499" s="116">
        <v>10064</v>
      </c>
      <c r="F499" s="116" t="s">
        <v>2416</v>
      </c>
    </row>
    <row r="500" spans="1:6" ht="13.2">
      <c r="A500" s="116">
        <v>7107804</v>
      </c>
      <c r="B500" s="116">
        <v>20130</v>
      </c>
      <c r="C500" s="117" t="s">
        <v>3480</v>
      </c>
      <c r="D500" s="116">
        <v>3321</v>
      </c>
      <c r="E500" s="116">
        <v>10064</v>
      </c>
      <c r="F500" s="116" t="s">
        <v>2416</v>
      </c>
    </row>
    <row r="501" spans="1:6" ht="13.2">
      <c r="A501" s="116">
        <v>7107805</v>
      </c>
      <c r="B501" s="116">
        <v>20130</v>
      </c>
      <c r="C501" s="117" t="s">
        <v>3481</v>
      </c>
      <c r="D501" s="116">
        <v>26938</v>
      </c>
      <c r="E501" s="116">
        <v>18136</v>
      </c>
      <c r="F501" s="116" t="s">
        <v>2388</v>
      </c>
    </row>
    <row r="502" spans="1:6" ht="13.2">
      <c r="A502" s="116">
        <v>7108107</v>
      </c>
      <c r="B502" s="116">
        <v>20680</v>
      </c>
      <c r="C502" s="117" t="s">
        <v>3482</v>
      </c>
      <c r="D502" s="116">
        <v>26938</v>
      </c>
      <c r="E502" s="116">
        <v>18136</v>
      </c>
      <c r="F502" s="116" t="s">
        <v>2388</v>
      </c>
    </row>
    <row r="503" spans="1:6" ht="13.2">
      <c r="A503" s="116">
        <v>7108301</v>
      </c>
      <c r="B503" s="116">
        <v>20630</v>
      </c>
      <c r="C503" s="117" t="s">
        <v>3483</v>
      </c>
      <c r="D503" s="116">
        <v>26938</v>
      </c>
      <c r="E503" s="116">
        <v>18136</v>
      </c>
      <c r="F503" s="116" t="s">
        <v>2388</v>
      </c>
    </row>
    <row r="504" spans="1:6" ht="13.2">
      <c r="A504" s="116">
        <v>7109101</v>
      </c>
      <c r="B504" s="116">
        <v>20130</v>
      </c>
      <c r="C504" s="117" t="s">
        <v>3484</v>
      </c>
      <c r="D504" s="116">
        <v>10100</v>
      </c>
      <c r="E504" s="116">
        <v>1389</v>
      </c>
      <c r="F504" s="116" t="s">
        <v>2416</v>
      </c>
    </row>
    <row r="505" spans="1:6" ht="13.2">
      <c r="A505" s="116">
        <v>7110601</v>
      </c>
      <c r="B505" s="116">
        <v>20319</v>
      </c>
      <c r="C505" s="117" t="s">
        <v>3485</v>
      </c>
      <c r="D505" s="116">
        <v>2925</v>
      </c>
      <c r="E505" s="116">
        <v>1389</v>
      </c>
      <c r="F505" s="116" t="s">
        <v>2416</v>
      </c>
    </row>
    <row r="506" spans="1:6" ht="13.2">
      <c r="A506" s="116">
        <v>7110801</v>
      </c>
      <c r="B506" s="116">
        <v>20130</v>
      </c>
      <c r="C506" s="117" t="s">
        <v>3486</v>
      </c>
      <c r="D506" s="116">
        <v>26938</v>
      </c>
      <c r="E506" s="116">
        <v>18136</v>
      </c>
      <c r="F506" s="116" t="s">
        <v>2388</v>
      </c>
    </row>
    <row r="507" spans="1:6" ht="13.2">
      <c r="A507" s="116">
        <v>7110902</v>
      </c>
      <c r="B507" s="116">
        <v>20120</v>
      </c>
      <c r="C507" s="117" t="s">
        <v>3487</v>
      </c>
      <c r="D507" s="116">
        <v>4005</v>
      </c>
      <c r="E507" s="116">
        <v>7509</v>
      </c>
      <c r="F507" s="116" t="s">
        <v>2432</v>
      </c>
    </row>
    <row r="508" spans="1:6" ht="13.2">
      <c r="A508" s="116">
        <v>7111202</v>
      </c>
      <c r="B508" s="116">
        <v>20130</v>
      </c>
      <c r="C508" s="117" t="s">
        <v>3488</v>
      </c>
      <c r="D508" s="116">
        <v>26938</v>
      </c>
      <c r="E508" s="116">
        <v>18136</v>
      </c>
      <c r="F508" s="116" t="s">
        <v>2388</v>
      </c>
    </row>
    <row r="509" spans="1:6" ht="13.2">
      <c r="A509" s="116">
        <v>7111401</v>
      </c>
      <c r="B509" s="116">
        <v>20130</v>
      </c>
      <c r="C509" s="117" t="s">
        <v>3489</v>
      </c>
      <c r="D509" s="116">
        <v>26938</v>
      </c>
      <c r="E509" s="116">
        <v>18136</v>
      </c>
      <c r="F509" s="116" t="s">
        <v>2388</v>
      </c>
    </row>
    <row r="510" spans="1:6" ht="13.2">
      <c r="A510" s="116">
        <v>7111405</v>
      </c>
      <c r="B510" s="116">
        <v>20130</v>
      </c>
      <c r="C510" s="117" t="s">
        <v>3490</v>
      </c>
      <c r="D510" s="116">
        <v>26938</v>
      </c>
      <c r="E510" s="116">
        <v>18136</v>
      </c>
      <c r="F510" s="116" t="s">
        <v>2388</v>
      </c>
    </row>
    <row r="511" spans="1:6" ht="13.2">
      <c r="A511" s="116">
        <v>7111702</v>
      </c>
      <c r="B511" s="116">
        <v>20319</v>
      </c>
      <c r="C511" s="117" t="s">
        <v>3491</v>
      </c>
      <c r="D511" s="116">
        <v>26938</v>
      </c>
      <c r="E511" s="116">
        <v>18136</v>
      </c>
      <c r="F511" s="116" t="s">
        <v>2388</v>
      </c>
    </row>
    <row r="512" spans="1:6" ht="13.2">
      <c r="A512" s="116">
        <v>7111806</v>
      </c>
      <c r="B512" s="116">
        <v>20130</v>
      </c>
      <c r="C512" s="117" t="s">
        <v>3492</v>
      </c>
      <c r="D512" s="116">
        <v>26938</v>
      </c>
      <c r="E512" s="116">
        <v>18136</v>
      </c>
      <c r="F512" s="116" t="s">
        <v>2388</v>
      </c>
    </row>
    <row r="513" spans="1:6" ht="13.2">
      <c r="A513" s="116">
        <v>7200101</v>
      </c>
      <c r="B513" s="116">
        <v>30250</v>
      </c>
      <c r="C513" s="117" t="s">
        <v>3493</v>
      </c>
      <c r="D513" s="116">
        <v>4005</v>
      </c>
      <c r="E513" s="116">
        <v>7509</v>
      </c>
      <c r="F513" s="116" t="s">
        <v>2432</v>
      </c>
    </row>
    <row r="514" spans="1:6" ht="13.2">
      <c r="A514" s="116">
        <v>7200401</v>
      </c>
      <c r="B514" s="116">
        <v>30250</v>
      </c>
      <c r="C514" s="117" t="s">
        <v>3494</v>
      </c>
      <c r="D514" s="116">
        <v>26938</v>
      </c>
      <c r="E514" s="116">
        <v>18136</v>
      </c>
      <c r="F514" s="116" t="s">
        <v>2388</v>
      </c>
    </row>
    <row r="515" spans="1:6" ht="13.2">
      <c r="A515" s="116">
        <v>7260101</v>
      </c>
      <c r="B515" s="116">
        <v>30627</v>
      </c>
      <c r="C515" s="117" t="s">
        <v>3495</v>
      </c>
      <c r="D515" s="116">
        <v>4452</v>
      </c>
      <c r="E515" s="116">
        <v>0</v>
      </c>
      <c r="F515" s="116" t="s">
        <v>2476</v>
      </c>
    </row>
    <row r="516" spans="1:6" ht="13.2">
      <c r="A516" s="116">
        <v>7261101</v>
      </c>
      <c r="B516" s="116">
        <v>30627</v>
      </c>
      <c r="C516" s="117" t="s">
        <v>3496</v>
      </c>
      <c r="D516" s="116">
        <v>4227</v>
      </c>
      <c r="E516" s="116">
        <v>0</v>
      </c>
      <c r="F516" s="116" t="s">
        <v>2478</v>
      </c>
    </row>
    <row r="517" spans="1:6" ht="13.2">
      <c r="A517" s="116">
        <v>7261120</v>
      </c>
      <c r="B517" s="116">
        <v>30627</v>
      </c>
      <c r="C517" s="117" t="s">
        <v>3497</v>
      </c>
      <c r="D517" s="116">
        <v>20742</v>
      </c>
      <c r="E517" s="116">
        <v>0</v>
      </c>
      <c r="F517" s="116" t="s">
        <v>2478</v>
      </c>
    </row>
    <row r="518" spans="1:6" ht="13.2">
      <c r="A518" s="116">
        <v>7261121</v>
      </c>
      <c r="B518" s="116">
        <v>30627</v>
      </c>
      <c r="C518" s="117" t="s">
        <v>3498</v>
      </c>
      <c r="D518" s="116">
        <v>6320</v>
      </c>
      <c r="E518" s="116">
        <v>0</v>
      </c>
      <c r="F518" s="116" t="s">
        <v>2478</v>
      </c>
    </row>
    <row r="519" spans="1:6" ht="13.2">
      <c r="A519" s="116">
        <v>7262101</v>
      </c>
      <c r="B519" s="116">
        <v>30627</v>
      </c>
      <c r="C519" s="117" t="s">
        <v>3499</v>
      </c>
      <c r="D519" s="116">
        <v>6320</v>
      </c>
      <c r="E519" s="116">
        <v>0</v>
      </c>
      <c r="F519" s="116" t="s">
        <v>2478</v>
      </c>
    </row>
    <row r="520" spans="1:6" ht="13.2">
      <c r="A520" s="116">
        <v>7262105</v>
      </c>
      <c r="B520" s="116">
        <v>30627</v>
      </c>
      <c r="C520" s="117" t="s">
        <v>3500</v>
      </c>
      <c r="D520" s="116">
        <v>17858</v>
      </c>
      <c r="E520" s="116">
        <v>0</v>
      </c>
      <c r="F520" s="116" t="s">
        <v>2478</v>
      </c>
    </row>
    <row r="521" spans="1:6" ht="13.2">
      <c r="A521" s="116">
        <v>7263101</v>
      </c>
      <c r="B521" s="116">
        <v>30710</v>
      </c>
      <c r="C521" s="117" t="s">
        <v>3501</v>
      </c>
      <c r="D521" s="116">
        <v>6320</v>
      </c>
      <c r="E521" s="116">
        <v>0</v>
      </c>
      <c r="F521" s="116" t="s">
        <v>2478</v>
      </c>
    </row>
    <row r="522" spans="1:6" ht="13.2">
      <c r="A522" s="116">
        <v>7264101</v>
      </c>
      <c r="B522" s="116">
        <v>30710</v>
      </c>
      <c r="C522" s="117" t="s">
        <v>3502</v>
      </c>
      <c r="D522" s="116">
        <v>17858</v>
      </c>
      <c r="E522" s="116">
        <v>0</v>
      </c>
      <c r="F522" s="116" t="s">
        <v>2478</v>
      </c>
    </row>
    <row r="523" spans="1:6" ht="13.2">
      <c r="A523" s="116">
        <v>7265101</v>
      </c>
      <c r="B523" s="116">
        <v>30749</v>
      </c>
      <c r="C523" s="117" t="s">
        <v>3503</v>
      </c>
      <c r="D523" s="116">
        <v>4611</v>
      </c>
      <c r="E523" s="116">
        <v>0</v>
      </c>
      <c r="F523" s="116" t="s">
        <v>2478</v>
      </c>
    </row>
    <row r="524" spans="1:6" ht="13.2">
      <c r="A524" s="116">
        <v>7266101</v>
      </c>
      <c r="B524" s="116">
        <v>30731</v>
      </c>
      <c r="C524" s="117" t="s">
        <v>3504</v>
      </c>
      <c r="D524" s="116">
        <v>4611</v>
      </c>
      <c r="E524" s="116">
        <v>0</v>
      </c>
      <c r="F524" s="116" t="s">
        <v>2478</v>
      </c>
    </row>
    <row r="525" spans="1:6" ht="13.2">
      <c r="A525" s="116">
        <v>7270401</v>
      </c>
      <c r="B525" s="116">
        <v>30551</v>
      </c>
      <c r="C525" s="117" t="s">
        <v>3505</v>
      </c>
      <c r="D525" s="116">
        <v>6883</v>
      </c>
      <c r="E525" s="116">
        <v>0</v>
      </c>
      <c r="F525" s="116" t="s">
        <v>2478</v>
      </c>
    </row>
    <row r="526" spans="1:6" ht="13.2">
      <c r="A526" s="116">
        <v>7273101</v>
      </c>
      <c r="B526" s="116">
        <v>160431</v>
      </c>
      <c r="C526" s="117" t="s">
        <v>3506</v>
      </c>
      <c r="D526" s="116">
        <v>5585</v>
      </c>
      <c r="E526" s="116">
        <v>0</v>
      </c>
      <c r="F526" s="116" t="s">
        <v>2478</v>
      </c>
    </row>
    <row r="527" spans="1:6" ht="13.2">
      <c r="A527" s="116">
        <v>7400101</v>
      </c>
      <c r="B527" s="116">
        <v>30250</v>
      </c>
      <c r="C527" s="117" t="s">
        <v>3507</v>
      </c>
      <c r="D527" s="116">
        <v>2858</v>
      </c>
      <c r="E527" s="116">
        <v>0</v>
      </c>
      <c r="F527" s="116" t="s">
        <v>2478</v>
      </c>
    </row>
    <row r="528" spans="1:6" ht="13.2">
      <c r="A528" s="116">
        <v>7400401</v>
      </c>
      <c r="B528" s="116">
        <v>30552</v>
      </c>
      <c r="C528" s="117" t="s">
        <v>3508</v>
      </c>
      <c r="D528" s="116">
        <v>5870</v>
      </c>
      <c r="E528" s="116">
        <v>12800</v>
      </c>
      <c r="F528" s="116" t="s">
        <v>2489</v>
      </c>
    </row>
    <row r="529" spans="1:6" ht="13.2">
      <c r="A529" s="116">
        <v>7444101</v>
      </c>
      <c r="B529" s="116">
        <v>30250</v>
      </c>
      <c r="C529" s="117" t="s">
        <v>3509</v>
      </c>
      <c r="D529" s="116">
        <v>3325</v>
      </c>
      <c r="E529" s="116">
        <v>0</v>
      </c>
      <c r="F529" s="116" t="s">
        <v>2491</v>
      </c>
    </row>
    <row r="530" spans="1:6" ht="13.2">
      <c r="A530" s="116">
        <v>7600101</v>
      </c>
      <c r="B530" s="116">
        <v>30250</v>
      </c>
      <c r="C530" s="117" t="s">
        <v>3510</v>
      </c>
      <c r="D530" s="116">
        <v>2858</v>
      </c>
      <c r="E530" s="116">
        <v>0</v>
      </c>
      <c r="F530" s="116" t="s">
        <v>2478</v>
      </c>
    </row>
    <row r="531" spans="1:6" ht="13.2">
      <c r="A531" s="116">
        <v>7600401</v>
      </c>
      <c r="B531" s="116">
        <v>30554</v>
      </c>
      <c r="C531" s="117" t="s">
        <v>3511</v>
      </c>
      <c r="D531" s="116">
        <v>4227</v>
      </c>
      <c r="E531" s="116">
        <v>0</v>
      </c>
      <c r="F531" s="116" t="s">
        <v>2478</v>
      </c>
    </row>
    <row r="532" spans="1:6" ht="13.2">
      <c r="A532" s="116">
        <v>7700101</v>
      </c>
      <c r="B532" s="116">
        <v>200190</v>
      </c>
      <c r="C532" s="117" t="s">
        <v>3512</v>
      </c>
      <c r="D532" s="116">
        <v>4114</v>
      </c>
      <c r="E532" s="116">
        <v>0</v>
      </c>
      <c r="F532" s="116" t="s">
        <v>2494</v>
      </c>
    </row>
    <row r="533" spans="1:6" ht="13.2">
      <c r="A533" s="116">
        <v>7700201</v>
      </c>
      <c r="B533" s="116">
        <v>200540</v>
      </c>
      <c r="C533" s="117" t="s">
        <v>3513</v>
      </c>
      <c r="D533" s="116">
        <v>2858</v>
      </c>
      <c r="E533" s="116">
        <v>0</v>
      </c>
      <c r="F533" s="116" t="s">
        <v>2478</v>
      </c>
    </row>
    <row r="534" spans="1:6" ht="13.2">
      <c r="A534" s="116">
        <v>7700202</v>
      </c>
      <c r="B534" s="116">
        <v>200540</v>
      </c>
      <c r="C534" s="117" t="s">
        <v>3514</v>
      </c>
      <c r="D534" s="116">
        <v>625</v>
      </c>
      <c r="E534" s="116">
        <v>7688</v>
      </c>
      <c r="F534" s="116" t="s">
        <v>2025</v>
      </c>
    </row>
    <row r="535" spans="1:6" ht="13.2">
      <c r="A535" s="116">
        <v>7700401</v>
      </c>
      <c r="B535" s="116">
        <v>200580</v>
      </c>
      <c r="C535" s="117" t="s">
        <v>3515</v>
      </c>
      <c r="D535" s="116">
        <v>1730</v>
      </c>
      <c r="E535" s="116">
        <v>1247</v>
      </c>
      <c r="F535" s="116" t="s">
        <v>2161</v>
      </c>
    </row>
    <row r="536" spans="1:6" ht="13.2">
      <c r="A536" s="116">
        <v>7700501</v>
      </c>
      <c r="B536" s="116">
        <v>200190</v>
      </c>
      <c r="C536" s="117" t="s">
        <v>3516</v>
      </c>
      <c r="D536" s="116">
        <v>1730</v>
      </c>
      <c r="E536" s="116">
        <v>1247</v>
      </c>
      <c r="F536" s="116" t="s">
        <v>2161</v>
      </c>
    </row>
    <row r="537" spans="1:6" ht="13.2">
      <c r="A537" s="116">
        <v>7700601</v>
      </c>
      <c r="B537" s="116">
        <v>200310</v>
      </c>
      <c r="C537" s="117" t="s">
        <v>3517</v>
      </c>
      <c r="D537" s="116">
        <v>1730</v>
      </c>
      <c r="E537" s="116">
        <v>1247</v>
      </c>
      <c r="F537" s="116" t="s">
        <v>2161</v>
      </c>
    </row>
    <row r="538" spans="1:6" ht="13.2">
      <c r="A538" s="116">
        <v>7700602</v>
      </c>
      <c r="B538" s="116">
        <v>200310</v>
      </c>
      <c r="C538" s="117" t="s">
        <v>3518</v>
      </c>
      <c r="D538" s="116">
        <v>808</v>
      </c>
      <c r="E538" s="116">
        <v>5129</v>
      </c>
      <c r="F538" s="116" t="s">
        <v>2025</v>
      </c>
    </row>
    <row r="539" spans="1:6" ht="13.2">
      <c r="A539" s="116">
        <v>7700701</v>
      </c>
      <c r="B539" s="116">
        <v>200190</v>
      </c>
      <c r="C539" s="117" t="s">
        <v>3519</v>
      </c>
      <c r="D539" s="116">
        <v>3328</v>
      </c>
      <c r="E539" s="116">
        <v>1247</v>
      </c>
      <c r="F539" s="116" t="s">
        <v>2502</v>
      </c>
    </row>
    <row r="540" spans="1:6" ht="13.2">
      <c r="A540" s="116">
        <v>7700901</v>
      </c>
      <c r="B540" s="116">
        <v>200190</v>
      </c>
      <c r="C540" s="117" t="s">
        <v>3520</v>
      </c>
      <c r="D540" s="116">
        <v>3328</v>
      </c>
      <c r="E540" s="116">
        <v>1247</v>
      </c>
      <c r="F540" s="116" t="s">
        <v>2502</v>
      </c>
    </row>
    <row r="541" spans="1:6" ht="13.2">
      <c r="A541" s="116">
        <v>7700902</v>
      </c>
      <c r="B541" s="116">
        <v>200190</v>
      </c>
      <c r="C541" s="117" t="s">
        <v>3521</v>
      </c>
      <c r="D541" s="116">
        <v>606</v>
      </c>
      <c r="E541" s="116">
        <v>2570</v>
      </c>
      <c r="F541" s="116" t="s">
        <v>2025</v>
      </c>
    </row>
    <row r="542" spans="1:6" ht="13.2">
      <c r="A542" s="116">
        <v>7701101</v>
      </c>
      <c r="B542" s="116">
        <v>200190</v>
      </c>
      <c r="C542" s="117" t="s">
        <v>3522</v>
      </c>
      <c r="D542" s="116">
        <v>808</v>
      </c>
      <c r="E542" s="116">
        <v>5129</v>
      </c>
      <c r="F542" s="116" t="s">
        <v>2025</v>
      </c>
    </row>
    <row r="543" spans="1:6" ht="13.2">
      <c r="A543" s="116">
        <v>7701404</v>
      </c>
      <c r="B543" s="116">
        <v>210410</v>
      </c>
      <c r="C543" s="117" t="s">
        <v>3523</v>
      </c>
      <c r="D543" s="116">
        <v>808</v>
      </c>
      <c r="E543" s="116">
        <v>5129</v>
      </c>
      <c r="F543" s="116" t="s">
        <v>2025</v>
      </c>
    </row>
    <row r="544" spans="1:6" ht="13.2">
      <c r="A544" s="116">
        <v>7701405</v>
      </c>
      <c r="B544" s="116">
        <v>210410</v>
      </c>
      <c r="C544" s="117" t="s">
        <v>3524</v>
      </c>
      <c r="D544" s="116">
        <v>1600</v>
      </c>
      <c r="E544" s="116">
        <v>5129</v>
      </c>
      <c r="F544" s="116" t="s">
        <v>2025</v>
      </c>
    </row>
    <row r="545" spans="1:6" ht="13.2">
      <c r="A545" s="116">
        <v>7701501</v>
      </c>
      <c r="B545" s="116">
        <v>200599</v>
      </c>
      <c r="C545" s="117" t="s">
        <v>3525</v>
      </c>
      <c r="D545" s="116">
        <v>3000</v>
      </c>
      <c r="E545" s="116">
        <v>6115</v>
      </c>
      <c r="F545" s="116" t="s">
        <v>2253</v>
      </c>
    </row>
    <row r="546" spans="1:6" ht="13.2">
      <c r="A546" s="116">
        <v>7702001</v>
      </c>
      <c r="B546" s="116">
        <v>160249</v>
      </c>
      <c r="C546" s="117" t="s">
        <v>3526</v>
      </c>
      <c r="D546" s="116">
        <v>2900</v>
      </c>
      <c r="E546" s="116">
        <v>6115</v>
      </c>
      <c r="F546" s="116" t="s">
        <v>2253</v>
      </c>
    </row>
    <row r="547" spans="1:6" ht="13.2">
      <c r="A547" s="116">
        <v>7702302</v>
      </c>
      <c r="B547" s="116">
        <v>160210</v>
      </c>
      <c r="C547" s="117" t="s">
        <v>3527</v>
      </c>
      <c r="D547" s="116">
        <v>1730</v>
      </c>
      <c r="E547" s="116">
        <v>1247</v>
      </c>
      <c r="F547" s="116" t="s">
        <v>2161</v>
      </c>
    </row>
    <row r="548" spans="1:6" ht="13.2">
      <c r="A548" s="116">
        <v>7702402</v>
      </c>
      <c r="B548" s="116">
        <v>160210</v>
      </c>
      <c r="C548" s="117" t="s">
        <v>3528</v>
      </c>
      <c r="D548" s="116">
        <v>5300</v>
      </c>
      <c r="E548" s="116">
        <v>12800</v>
      </c>
      <c r="F548" s="116" t="s">
        <v>2489</v>
      </c>
    </row>
    <row r="549" spans="1:6" ht="13.2">
      <c r="A549" s="116">
        <v>7702502</v>
      </c>
      <c r="B549" s="116">
        <v>160210</v>
      </c>
      <c r="C549" s="117" t="s">
        <v>3529</v>
      </c>
      <c r="D549" s="116">
        <v>5300</v>
      </c>
      <c r="E549" s="116">
        <v>12800</v>
      </c>
      <c r="F549" s="116" t="s">
        <v>2489</v>
      </c>
    </row>
    <row r="550" spans="1:6" ht="13.2">
      <c r="A550" s="116">
        <v>7702601</v>
      </c>
      <c r="B550" s="116">
        <v>160250</v>
      </c>
      <c r="C550" s="117" t="s">
        <v>3530</v>
      </c>
      <c r="D550" s="116">
        <v>5300</v>
      </c>
      <c r="E550" s="116">
        <v>12800</v>
      </c>
      <c r="F550" s="116" t="s">
        <v>2489</v>
      </c>
    </row>
    <row r="551" spans="1:6" ht="13.2">
      <c r="A551" s="116">
        <v>7702602</v>
      </c>
      <c r="B551" s="116">
        <v>20130</v>
      </c>
      <c r="C551" s="117" t="s">
        <v>3531</v>
      </c>
      <c r="D551" s="116">
        <v>5300</v>
      </c>
      <c r="E551" s="116">
        <v>12800</v>
      </c>
      <c r="F551" s="116" t="s">
        <v>2489</v>
      </c>
    </row>
    <row r="552" spans="1:6" ht="13.2">
      <c r="A552" s="116">
        <v>7702603</v>
      </c>
      <c r="B552" s="116">
        <v>160250</v>
      </c>
      <c r="C552" s="117" t="s">
        <v>3532</v>
      </c>
      <c r="D552" s="116">
        <v>14500</v>
      </c>
      <c r="E552" s="116">
        <v>12800</v>
      </c>
      <c r="F552" s="116" t="s">
        <v>2489</v>
      </c>
    </row>
    <row r="553" spans="1:6" ht="13.2">
      <c r="A553" s="116">
        <v>7702604</v>
      </c>
      <c r="B553" s="116">
        <v>160210</v>
      </c>
      <c r="C553" s="117" t="s">
        <v>3533</v>
      </c>
      <c r="D553" s="116">
        <v>26938</v>
      </c>
      <c r="E553" s="116">
        <v>18136</v>
      </c>
      <c r="F553" s="116" t="s">
        <v>2388</v>
      </c>
    </row>
    <row r="554" spans="1:6" ht="13.2">
      <c r="A554" s="116">
        <v>7702704</v>
      </c>
      <c r="B554" s="116">
        <v>160250</v>
      </c>
      <c r="C554" s="117" t="s">
        <v>3534</v>
      </c>
      <c r="D554" s="116">
        <v>14500</v>
      </c>
      <c r="E554" s="116">
        <v>12800</v>
      </c>
      <c r="F554" s="116" t="s">
        <v>2489</v>
      </c>
    </row>
    <row r="555" spans="1:6" ht="13.2">
      <c r="A555" s="116">
        <v>7702705</v>
      </c>
      <c r="B555" s="116">
        <v>160249</v>
      </c>
      <c r="C555" s="117" t="s">
        <v>3535</v>
      </c>
      <c r="D555" s="116">
        <v>5300</v>
      </c>
      <c r="E555" s="116">
        <v>12800</v>
      </c>
      <c r="F555" s="116" t="s">
        <v>2489</v>
      </c>
    </row>
    <row r="556" spans="1:6" ht="13.2">
      <c r="A556" s="116">
        <v>7702707</v>
      </c>
      <c r="B556" s="116">
        <v>160250</v>
      </c>
      <c r="C556" s="117" t="s">
        <v>3536</v>
      </c>
      <c r="D556" s="116">
        <v>14500</v>
      </c>
      <c r="E556" s="116">
        <v>12800</v>
      </c>
      <c r="F556" s="116" t="s">
        <v>2489</v>
      </c>
    </row>
    <row r="557" spans="1:6" ht="13.2">
      <c r="A557" s="116">
        <v>7702801</v>
      </c>
      <c r="B557" s="116">
        <v>160100</v>
      </c>
      <c r="C557" s="117" t="s">
        <v>3537</v>
      </c>
      <c r="D557" s="116">
        <v>5300</v>
      </c>
      <c r="E557" s="116">
        <v>12800</v>
      </c>
      <c r="F557" s="116" t="s">
        <v>2489</v>
      </c>
    </row>
    <row r="558" spans="1:6" ht="13.2">
      <c r="A558" s="116">
        <v>7703002</v>
      </c>
      <c r="B558" s="116">
        <v>160413</v>
      </c>
      <c r="C558" s="117" t="s">
        <v>3538</v>
      </c>
      <c r="D558" s="116">
        <v>14500</v>
      </c>
      <c r="E558" s="116">
        <v>12800</v>
      </c>
      <c r="F558" s="116" t="s">
        <v>2489</v>
      </c>
    </row>
    <row r="559" spans="1:6" ht="13.2">
      <c r="A559" s="116">
        <v>7703402</v>
      </c>
      <c r="B559" s="116">
        <v>160414</v>
      </c>
      <c r="C559" s="117" t="s">
        <v>3539</v>
      </c>
      <c r="D559" s="116">
        <v>14550</v>
      </c>
      <c r="E559" s="116">
        <v>12800</v>
      </c>
      <c r="F559" s="116" t="s">
        <v>2489</v>
      </c>
    </row>
    <row r="560" spans="1:6" ht="13.2">
      <c r="A560" s="116">
        <v>7703701</v>
      </c>
      <c r="B560" s="116">
        <v>200110</v>
      </c>
      <c r="C560" s="117" t="s">
        <v>3540</v>
      </c>
      <c r="D560" s="116">
        <v>3500</v>
      </c>
      <c r="E560" s="116">
        <v>12800</v>
      </c>
      <c r="F560" s="116" t="s">
        <v>2489</v>
      </c>
    </row>
    <row r="561" spans="1:6" ht="13.2">
      <c r="A561" s="116">
        <v>7703902</v>
      </c>
      <c r="B561" s="116">
        <v>160420</v>
      </c>
      <c r="C561" s="117" t="s">
        <v>3541</v>
      </c>
      <c r="D561" s="116">
        <v>3500</v>
      </c>
      <c r="E561" s="116">
        <v>12800</v>
      </c>
      <c r="F561" s="116" t="s">
        <v>2489</v>
      </c>
    </row>
    <row r="562" spans="1:6" ht="13.2">
      <c r="A562" s="116">
        <v>7704001</v>
      </c>
      <c r="B562" s="116">
        <v>200190</v>
      </c>
      <c r="C562" s="117" t="s">
        <v>3542</v>
      </c>
      <c r="D562" s="116">
        <v>808</v>
      </c>
      <c r="E562" s="116">
        <v>5129</v>
      </c>
      <c r="F562" s="116" t="s">
        <v>2025</v>
      </c>
    </row>
    <row r="563" spans="1:6" ht="13.2">
      <c r="A563" s="116">
        <v>7705201</v>
      </c>
      <c r="B563" s="116">
        <v>200190</v>
      </c>
      <c r="C563" s="117" t="s">
        <v>3543</v>
      </c>
      <c r="D563" s="116">
        <v>3500</v>
      </c>
      <c r="E563" s="116">
        <v>12800</v>
      </c>
      <c r="F563" s="116" t="s">
        <v>2489</v>
      </c>
    </row>
    <row r="564" spans="1:6" ht="13.2">
      <c r="A564" s="116">
        <v>7706001</v>
      </c>
      <c r="B564" s="116">
        <v>160414</v>
      </c>
      <c r="C564" s="117" t="s">
        <v>3544</v>
      </c>
      <c r="D564" s="116">
        <v>808</v>
      </c>
      <c r="E564" s="116">
        <v>5129</v>
      </c>
      <c r="F564" s="116" t="s">
        <v>2025</v>
      </c>
    </row>
    <row r="565" spans="1:6" ht="13.2">
      <c r="A565" s="116">
        <v>7706104</v>
      </c>
      <c r="B565" s="116">
        <v>210410</v>
      </c>
      <c r="C565" s="117" t="s">
        <v>3545</v>
      </c>
      <c r="D565" s="116">
        <v>808</v>
      </c>
      <c r="E565" s="116">
        <v>5129</v>
      </c>
      <c r="F565" s="116" t="s">
        <v>2025</v>
      </c>
    </row>
    <row r="566" spans="1:6" ht="13.2">
      <c r="A566" s="116">
        <v>7706105</v>
      </c>
      <c r="B566" s="116">
        <v>210410</v>
      </c>
      <c r="C566" s="117" t="s">
        <v>3546</v>
      </c>
      <c r="D566" s="116">
        <v>3500</v>
      </c>
      <c r="E566" s="116">
        <v>12800</v>
      </c>
      <c r="F566" s="116" t="s">
        <v>2489</v>
      </c>
    </row>
    <row r="567" spans="1:6" ht="13.2">
      <c r="A567" s="116">
        <v>7706106</v>
      </c>
      <c r="B567" s="116">
        <v>190230</v>
      </c>
      <c r="C567" s="117" t="s">
        <v>3547</v>
      </c>
      <c r="D567" s="116">
        <v>2900</v>
      </c>
      <c r="E567" s="116">
        <v>6115</v>
      </c>
      <c r="F567" s="116" t="s">
        <v>2253</v>
      </c>
    </row>
    <row r="568" spans="1:6" ht="13.2">
      <c r="A568" s="116">
        <v>7706302</v>
      </c>
      <c r="B568" s="116">
        <v>160414</v>
      </c>
      <c r="C568" s="117" t="s">
        <v>3548</v>
      </c>
      <c r="D568" s="116">
        <v>2900</v>
      </c>
      <c r="E568" s="116">
        <v>6115</v>
      </c>
      <c r="F568" s="116" t="s">
        <v>2253</v>
      </c>
    </row>
    <row r="569" spans="1:6" ht="13.2">
      <c r="A569" s="116">
        <v>7800103</v>
      </c>
      <c r="B569" s="116">
        <v>20711</v>
      </c>
      <c r="C569" s="117" t="s">
        <v>3549</v>
      </c>
      <c r="D569" s="116">
        <v>2421</v>
      </c>
      <c r="E569" s="116">
        <v>1730</v>
      </c>
      <c r="F569" s="116" t="s">
        <v>2030</v>
      </c>
    </row>
    <row r="570" spans="1:6" ht="13.2">
      <c r="A570" s="116">
        <v>7800301</v>
      </c>
      <c r="B570" s="116">
        <v>20711</v>
      </c>
      <c r="C570" s="117" t="s">
        <v>3550</v>
      </c>
      <c r="D570" s="116">
        <v>3500</v>
      </c>
      <c r="E570" s="116">
        <v>12800</v>
      </c>
      <c r="F570" s="116" t="s">
        <v>2489</v>
      </c>
    </row>
    <row r="571" spans="1:6" ht="13.2">
      <c r="A571" s="116">
        <v>7800302</v>
      </c>
      <c r="B571" s="116">
        <v>20711</v>
      </c>
      <c r="C571" s="117" t="s">
        <v>3551</v>
      </c>
      <c r="D571" s="116">
        <v>3321</v>
      </c>
      <c r="E571" s="116">
        <v>4474</v>
      </c>
      <c r="F571" s="116" t="s">
        <v>2535</v>
      </c>
    </row>
    <row r="572" spans="1:6" ht="13.2">
      <c r="A572" s="116">
        <v>7800303</v>
      </c>
      <c r="B572" s="116">
        <v>20711</v>
      </c>
      <c r="C572" s="117" t="s">
        <v>3552</v>
      </c>
      <c r="D572" s="116">
        <v>3321</v>
      </c>
      <c r="E572" s="116">
        <v>4474</v>
      </c>
      <c r="F572" s="116" t="s">
        <v>2535</v>
      </c>
    </row>
    <row r="573" spans="1:6" ht="13.2">
      <c r="A573" s="116">
        <v>7800304</v>
      </c>
      <c r="B573" s="116">
        <v>20711</v>
      </c>
      <c r="C573" s="117" t="s">
        <v>3553</v>
      </c>
      <c r="D573" s="116">
        <v>3321</v>
      </c>
      <c r="E573" s="116">
        <v>4474</v>
      </c>
      <c r="F573" s="116" t="s">
        <v>2535</v>
      </c>
    </row>
    <row r="574" spans="1:6" ht="13.2">
      <c r="A574" s="116">
        <v>7800401</v>
      </c>
      <c r="B574" s="116">
        <v>20711</v>
      </c>
      <c r="C574" s="117" t="s">
        <v>3554</v>
      </c>
      <c r="D574" s="116">
        <v>3321</v>
      </c>
      <c r="E574" s="116">
        <v>4474</v>
      </c>
      <c r="F574" s="116" t="s">
        <v>2535</v>
      </c>
    </row>
    <row r="575" spans="1:6" ht="13.2">
      <c r="A575" s="116">
        <v>7800402</v>
      </c>
      <c r="B575" s="116">
        <v>20711</v>
      </c>
      <c r="C575" s="117" t="s">
        <v>3555</v>
      </c>
      <c r="D575" s="116">
        <v>3321</v>
      </c>
      <c r="E575" s="116">
        <v>4474</v>
      </c>
      <c r="F575" s="116" t="s">
        <v>2535</v>
      </c>
    </row>
    <row r="576" spans="1:6" ht="13.2">
      <c r="A576" s="116">
        <v>7800602</v>
      </c>
      <c r="B576" s="116">
        <v>20711</v>
      </c>
      <c r="C576" s="117" t="s">
        <v>3556</v>
      </c>
      <c r="D576" s="116">
        <v>3321</v>
      </c>
      <c r="E576" s="116">
        <v>4474</v>
      </c>
      <c r="F576" s="116" t="s">
        <v>2535</v>
      </c>
    </row>
    <row r="577" spans="1:6" ht="13.2">
      <c r="A577" s="116">
        <v>7800701</v>
      </c>
      <c r="B577" s="116">
        <v>20711</v>
      </c>
      <c r="C577" s="117" t="s">
        <v>3557</v>
      </c>
      <c r="D577" s="116">
        <v>3321</v>
      </c>
      <c r="E577" s="116">
        <v>4474</v>
      </c>
      <c r="F577" s="116" t="s">
        <v>2535</v>
      </c>
    </row>
    <row r="578" spans="1:6" ht="13.2">
      <c r="A578" s="116">
        <v>7800702</v>
      </c>
      <c r="B578" s="116">
        <v>20711</v>
      </c>
      <c r="C578" s="117" t="s">
        <v>3558</v>
      </c>
      <c r="D578" s="116">
        <v>3321</v>
      </c>
      <c r="E578" s="116">
        <v>4474</v>
      </c>
      <c r="F578" s="116" t="s">
        <v>2535</v>
      </c>
    </row>
    <row r="579" spans="1:6" ht="13.2">
      <c r="A579" s="116">
        <v>7800801</v>
      </c>
      <c r="B579" s="116">
        <v>20711</v>
      </c>
      <c r="C579" s="117" t="s">
        <v>3559</v>
      </c>
      <c r="D579" s="116">
        <v>3321</v>
      </c>
      <c r="E579" s="116">
        <v>4474</v>
      </c>
      <c r="F579" s="116" t="s">
        <v>2535</v>
      </c>
    </row>
    <row r="580" spans="1:6" ht="13.2">
      <c r="A580" s="116">
        <v>7800901</v>
      </c>
      <c r="B580" s="116">
        <v>20711</v>
      </c>
      <c r="C580" s="117" t="s">
        <v>3560</v>
      </c>
      <c r="D580" s="116">
        <v>3321</v>
      </c>
      <c r="E580" s="116">
        <v>4474</v>
      </c>
      <c r="F580" s="116" t="s">
        <v>2535</v>
      </c>
    </row>
    <row r="581" spans="1:6" ht="13.2">
      <c r="A581" s="116">
        <v>7801001</v>
      </c>
      <c r="B581" s="116">
        <v>20711</v>
      </c>
      <c r="C581" s="117" t="s">
        <v>3561</v>
      </c>
      <c r="D581" s="116">
        <v>3321</v>
      </c>
      <c r="E581" s="116">
        <v>4474</v>
      </c>
      <c r="F581" s="116" t="s">
        <v>2535</v>
      </c>
    </row>
    <row r="582" spans="1:6" ht="13.2">
      <c r="A582" s="116">
        <v>7801101</v>
      </c>
      <c r="B582" s="116">
        <v>20711</v>
      </c>
      <c r="C582" s="117" t="s">
        <v>3562</v>
      </c>
      <c r="D582" s="116">
        <v>3321</v>
      </c>
      <c r="E582" s="116">
        <v>4474</v>
      </c>
      <c r="F582" s="116" t="s">
        <v>2535</v>
      </c>
    </row>
    <row r="583" spans="1:6" ht="13.2">
      <c r="A583" s="116">
        <v>7801202</v>
      </c>
      <c r="B583" s="116">
        <v>20711</v>
      </c>
      <c r="C583" s="117" t="s">
        <v>3563</v>
      </c>
      <c r="D583" s="116">
        <v>3321</v>
      </c>
      <c r="E583" s="116">
        <v>4474</v>
      </c>
      <c r="F583" s="116" t="s">
        <v>2535</v>
      </c>
    </row>
    <row r="584" spans="1:6" ht="13.2">
      <c r="A584" s="116">
        <v>7801301</v>
      </c>
      <c r="B584" s="116">
        <v>20711</v>
      </c>
      <c r="C584" s="117" t="s">
        <v>3564</v>
      </c>
      <c r="D584" s="116">
        <v>3321</v>
      </c>
      <c r="E584" s="116">
        <v>4474</v>
      </c>
      <c r="F584" s="116" t="s">
        <v>2535</v>
      </c>
    </row>
    <row r="585" spans="1:6" ht="13.2">
      <c r="A585" s="116">
        <v>7801407</v>
      </c>
      <c r="B585" s="116">
        <v>20711</v>
      </c>
      <c r="C585" s="117" t="s">
        <v>3565</v>
      </c>
      <c r="D585" s="116">
        <v>3321</v>
      </c>
      <c r="E585" s="116">
        <v>4474</v>
      </c>
      <c r="F585" s="116" t="s">
        <v>2535</v>
      </c>
    </row>
    <row r="586" spans="1:6" ht="13.2">
      <c r="A586" s="116">
        <v>7801702</v>
      </c>
      <c r="B586" s="116">
        <v>20725</v>
      </c>
      <c r="C586" s="117" t="s">
        <v>3566</v>
      </c>
      <c r="D586" s="116">
        <v>3321</v>
      </c>
      <c r="E586" s="116">
        <v>4474</v>
      </c>
      <c r="F586" s="116" t="s">
        <v>2535</v>
      </c>
    </row>
    <row r="587" spans="1:6" ht="13.2">
      <c r="A587" s="116">
        <v>7801801</v>
      </c>
      <c r="B587" s="116">
        <v>20725</v>
      </c>
      <c r="C587" s="117" t="s">
        <v>3567</v>
      </c>
      <c r="D587" s="116">
        <v>3321</v>
      </c>
      <c r="E587" s="116">
        <v>4474</v>
      </c>
      <c r="F587" s="116" t="s">
        <v>2535</v>
      </c>
    </row>
    <row r="588" spans="1:6" ht="13.2">
      <c r="A588" s="116">
        <v>7802101</v>
      </c>
      <c r="B588" s="116">
        <v>20725</v>
      </c>
      <c r="C588" s="117" t="s">
        <v>3568</v>
      </c>
      <c r="D588" s="116">
        <v>3760</v>
      </c>
      <c r="E588" s="116">
        <v>4474</v>
      </c>
      <c r="F588" s="116" t="s">
        <v>2535</v>
      </c>
    </row>
    <row r="589" spans="1:6" ht="13.2">
      <c r="A589" s="116">
        <v>7802701</v>
      </c>
      <c r="B589" s="116">
        <v>20711</v>
      </c>
      <c r="C589" s="117" t="s">
        <v>3569</v>
      </c>
      <c r="D589" s="116">
        <v>3760</v>
      </c>
      <c r="E589" s="116">
        <v>4474</v>
      </c>
      <c r="F589" s="116" t="s">
        <v>2535</v>
      </c>
    </row>
    <row r="590" spans="1:6" ht="13.2">
      <c r="A590" s="116">
        <v>7802702</v>
      </c>
      <c r="B590" s="116">
        <v>20711</v>
      </c>
      <c r="C590" s="117" t="s">
        <v>3570</v>
      </c>
      <c r="D590" s="116">
        <v>3760</v>
      </c>
      <c r="E590" s="116">
        <v>4474</v>
      </c>
      <c r="F590" s="116" t="s">
        <v>2535</v>
      </c>
    </row>
    <row r="591" spans="1:6" ht="13.2">
      <c r="A591" s="116">
        <v>7802801</v>
      </c>
      <c r="B591" s="116">
        <v>20711</v>
      </c>
      <c r="C591" s="117" t="s">
        <v>3571</v>
      </c>
      <c r="D591" s="116">
        <v>3321</v>
      </c>
      <c r="E591" s="116">
        <v>4474</v>
      </c>
      <c r="F591" s="116" t="s">
        <v>2535</v>
      </c>
    </row>
    <row r="592" spans="1:6" ht="13.2">
      <c r="A592" s="116">
        <v>7802901</v>
      </c>
      <c r="B592" s="116">
        <v>160230</v>
      </c>
      <c r="C592" s="117" t="s">
        <v>3572</v>
      </c>
      <c r="D592" s="116">
        <v>3321</v>
      </c>
      <c r="E592" s="116">
        <v>4474</v>
      </c>
      <c r="F592" s="116" t="s">
        <v>2535</v>
      </c>
    </row>
    <row r="593" spans="1:6" ht="13.2">
      <c r="A593" s="116">
        <v>7802902</v>
      </c>
      <c r="B593" s="116">
        <v>160230</v>
      </c>
      <c r="C593" s="117" t="s">
        <v>3573</v>
      </c>
      <c r="D593" s="116">
        <v>3321</v>
      </c>
      <c r="E593" s="116">
        <v>4474</v>
      </c>
      <c r="F593" s="116" t="s">
        <v>2535</v>
      </c>
    </row>
    <row r="594" spans="1:6" ht="13.2">
      <c r="A594" s="116">
        <v>7803001</v>
      </c>
      <c r="B594" s="116">
        <v>20711</v>
      </c>
      <c r="C594" s="117" t="s">
        <v>3574</v>
      </c>
      <c r="D594" s="116">
        <v>4225</v>
      </c>
      <c r="E594" s="116">
        <v>12800</v>
      </c>
      <c r="F594" s="116" t="s">
        <v>2489</v>
      </c>
    </row>
    <row r="595" spans="1:6" ht="13.2">
      <c r="A595" s="116">
        <v>7803201</v>
      </c>
      <c r="B595" s="116">
        <v>20711</v>
      </c>
      <c r="C595" s="117" t="s">
        <v>3575</v>
      </c>
      <c r="D595" s="116">
        <v>4225</v>
      </c>
      <c r="E595" s="116">
        <v>12800</v>
      </c>
      <c r="F595" s="116" t="s">
        <v>2489</v>
      </c>
    </row>
    <row r="596" spans="1:6" ht="13.2">
      <c r="A596" s="116">
        <v>7803301</v>
      </c>
      <c r="B596" s="116">
        <v>40721</v>
      </c>
      <c r="C596" s="117" t="s">
        <v>3576</v>
      </c>
      <c r="D596" s="116">
        <v>3321</v>
      </c>
      <c r="E596" s="116">
        <v>4474</v>
      </c>
      <c r="F596" s="116" t="s">
        <v>2535</v>
      </c>
    </row>
    <row r="597" spans="1:6" ht="13.2">
      <c r="A597" s="116">
        <v>7803501</v>
      </c>
      <c r="B597" s="116">
        <v>40729</v>
      </c>
      <c r="C597" s="117" t="s">
        <v>3577</v>
      </c>
      <c r="D597" s="116">
        <v>3321</v>
      </c>
      <c r="E597" s="116">
        <v>4474</v>
      </c>
      <c r="F597" s="116" t="s">
        <v>2535</v>
      </c>
    </row>
    <row r="598" spans="1:6" ht="13.2">
      <c r="A598" s="116">
        <v>7803702</v>
      </c>
      <c r="B598" s="116">
        <v>20711</v>
      </c>
      <c r="C598" s="117" t="s">
        <v>3578</v>
      </c>
      <c r="D598" s="116">
        <v>3363</v>
      </c>
      <c r="E598" s="116">
        <v>3072</v>
      </c>
      <c r="F598" s="116" t="s">
        <v>2562</v>
      </c>
    </row>
    <row r="599" spans="1:6" ht="13.2">
      <c r="A599" s="116">
        <v>7803703</v>
      </c>
      <c r="B599" s="116">
        <v>20711</v>
      </c>
      <c r="C599" s="117" t="s">
        <v>3579</v>
      </c>
      <c r="D599" s="116">
        <v>3363</v>
      </c>
      <c r="E599" s="116">
        <v>3072</v>
      </c>
      <c r="F599" s="116" t="s">
        <v>2562</v>
      </c>
    </row>
    <row r="600" spans="1:6" ht="13.2">
      <c r="A600" s="116">
        <v>7803707</v>
      </c>
      <c r="B600" s="116">
        <v>20711</v>
      </c>
      <c r="C600" s="117" t="s">
        <v>3580</v>
      </c>
      <c r="D600" s="116">
        <v>3321</v>
      </c>
      <c r="E600" s="116">
        <v>4474</v>
      </c>
      <c r="F600" s="116" t="s">
        <v>2535</v>
      </c>
    </row>
    <row r="601" spans="1:6" ht="13.2">
      <c r="A601" s="116">
        <v>7803907</v>
      </c>
      <c r="B601" s="116">
        <v>20711</v>
      </c>
      <c r="C601" s="117" t="s">
        <v>3581</v>
      </c>
      <c r="D601" s="116">
        <v>3321</v>
      </c>
      <c r="E601" s="116">
        <v>4474</v>
      </c>
      <c r="F601" s="116" t="s">
        <v>2535</v>
      </c>
    </row>
    <row r="602" spans="1:6" ht="13.2">
      <c r="A602" s="116">
        <v>7803908</v>
      </c>
      <c r="B602" s="116">
        <v>20711</v>
      </c>
      <c r="C602" s="117" t="s">
        <v>3582</v>
      </c>
      <c r="D602" s="116">
        <v>3321</v>
      </c>
      <c r="E602" s="116">
        <v>4474</v>
      </c>
      <c r="F602" s="116" t="s">
        <v>2535</v>
      </c>
    </row>
    <row r="603" spans="1:6" ht="13.2">
      <c r="A603" s="116">
        <v>7803913</v>
      </c>
      <c r="B603" s="116">
        <v>20711</v>
      </c>
      <c r="C603" s="117" t="s">
        <v>3583</v>
      </c>
      <c r="D603" s="116">
        <v>3321</v>
      </c>
      <c r="E603" s="116">
        <v>4474</v>
      </c>
      <c r="F603" s="116" t="s">
        <v>2535</v>
      </c>
    </row>
    <row r="604" spans="1:6" ht="13.2">
      <c r="A604" s="116">
        <v>7805401</v>
      </c>
      <c r="B604" s="116">
        <v>20725</v>
      </c>
      <c r="C604" s="117" t="s">
        <v>3584</v>
      </c>
      <c r="D604" s="116">
        <v>3321</v>
      </c>
      <c r="E604" s="116">
        <v>4474</v>
      </c>
      <c r="F604" s="116" t="s">
        <v>2535</v>
      </c>
    </row>
    <row r="605" spans="1:6" ht="13.2">
      <c r="A605" s="116">
        <v>7805501</v>
      </c>
      <c r="B605" s="116">
        <v>20711</v>
      </c>
      <c r="C605" s="117" t="s">
        <v>3585</v>
      </c>
      <c r="D605" s="116">
        <v>3321</v>
      </c>
      <c r="E605" s="116">
        <v>4474</v>
      </c>
      <c r="F605" s="116" t="s">
        <v>2535</v>
      </c>
    </row>
    <row r="606" spans="1:6" ht="13.2">
      <c r="A606" s="116">
        <v>7805702</v>
      </c>
      <c r="B606" s="116">
        <v>20711</v>
      </c>
      <c r="C606" s="117" t="s">
        <v>3586</v>
      </c>
      <c r="D606" s="116">
        <v>3760</v>
      </c>
      <c r="E606" s="116">
        <v>4474</v>
      </c>
      <c r="F606" s="116" t="s">
        <v>2535</v>
      </c>
    </row>
    <row r="607" spans="1:6" ht="13.2">
      <c r="A607" s="116">
        <v>7900101</v>
      </c>
      <c r="B607" s="116">
        <v>40120</v>
      </c>
      <c r="C607" s="117" t="s">
        <v>3587</v>
      </c>
      <c r="D607" s="116">
        <v>3321</v>
      </c>
      <c r="E607" s="116">
        <v>4474</v>
      </c>
      <c r="F607" s="116" t="s">
        <v>2535</v>
      </c>
    </row>
    <row r="608" spans="1:6" ht="13.2">
      <c r="A608" s="116">
        <v>7900201</v>
      </c>
      <c r="B608" s="116">
        <v>40110</v>
      </c>
      <c r="C608" s="117" t="s">
        <v>3588</v>
      </c>
      <c r="D608" s="116">
        <v>3321</v>
      </c>
      <c r="E608" s="116">
        <v>4474</v>
      </c>
      <c r="F608" s="116" t="s">
        <v>2535</v>
      </c>
    </row>
    <row r="609" spans="1:6" ht="13.2">
      <c r="A609" s="116">
        <v>7900301</v>
      </c>
      <c r="B609" s="116">
        <v>40110</v>
      </c>
      <c r="C609" s="117" t="s">
        <v>3589</v>
      </c>
      <c r="D609" s="116">
        <v>1265</v>
      </c>
      <c r="E609" s="116">
        <v>1347</v>
      </c>
      <c r="F609" s="116" t="s">
        <v>2574</v>
      </c>
    </row>
    <row r="610" spans="1:6" ht="13.2">
      <c r="A610" s="116">
        <v>7900601</v>
      </c>
      <c r="B610" s="116">
        <v>40210</v>
      </c>
      <c r="C610" s="117" t="s">
        <v>3590</v>
      </c>
      <c r="D610" s="116">
        <v>1266</v>
      </c>
      <c r="E610" s="116">
        <v>1321</v>
      </c>
      <c r="F610" s="116" t="s">
        <v>2574</v>
      </c>
    </row>
    <row r="611" spans="1:6" ht="13.2">
      <c r="A611" s="116">
        <v>7900710</v>
      </c>
      <c r="B611" s="116">
        <v>40221</v>
      </c>
      <c r="C611" s="117" t="s">
        <v>3591</v>
      </c>
      <c r="D611" s="116">
        <v>1322</v>
      </c>
      <c r="E611" s="116">
        <v>1204</v>
      </c>
      <c r="F611" s="116" t="s">
        <v>2574</v>
      </c>
    </row>
    <row r="612" spans="1:6" ht="13.2">
      <c r="A612" s="116">
        <v>7900801</v>
      </c>
      <c r="B612" s="116">
        <v>40110</v>
      </c>
      <c r="C612" s="117" t="s">
        <v>3592</v>
      </c>
      <c r="D612" s="116">
        <v>11000</v>
      </c>
      <c r="E612" s="116">
        <v>5597</v>
      </c>
      <c r="F612" s="116" t="s">
        <v>2291</v>
      </c>
    </row>
    <row r="613" spans="1:6" ht="13.2">
      <c r="A613" s="116">
        <v>7900901</v>
      </c>
      <c r="B613" s="116">
        <v>190190</v>
      </c>
      <c r="C613" s="117" t="s">
        <v>3593</v>
      </c>
      <c r="D613" s="116">
        <v>11000</v>
      </c>
      <c r="E613" s="116">
        <v>5597</v>
      </c>
      <c r="F613" s="116" t="s">
        <v>2291</v>
      </c>
    </row>
    <row r="614" spans="1:6" ht="13.2">
      <c r="A614" s="116">
        <v>7900903</v>
      </c>
      <c r="B614" s="116">
        <v>190190</v>
      </c>
      <c r="C614" s="117" t="s">
        <v>3594</v>
      </c>
      <c r="D614" s="116">
        <v>11000</v>
      </c>
      <c r="E614" s="116">
        <v>5597</v>
      </c>
      <c r="F614" s="116" t="s">
        <v>2291</v>
      </c>
    </row>
    <row r="615" spans="1:6" ht="13.2">
      <c r="A615" s="116">
        <v>7901001</v>
      </c>
      <c r="B615" s="116">
        <v>40150</v>
      </c>
      <c r="C615" s="117" t="s">
        <v>3595</v>
      </c>
      <c r="D615" s="116">
        <v>2004</v>
      </c>
      <c r="E615" s="116">
        <v>1647</v>
      </c>
      <c r="F615" s="116" t="s">
        <v>2027</v>
      </c>
    </row>
    <row r="616" spans="1:6" ht="13.2">
      <c r="A616" s="116">
        <v>7901101</v>
      </c>
      <c r="B616" s="116">
        <v>190520</v>
      </c>
      <c r="C616" s="117" t="s">
        <v>3596</v>
      </c>
      <c r="D616" s="116">
        <v>2004</v>
      </c>
      <c r="E616" s="116">
        <v>1647</v>
      </c>
      <c r="F616" s="116" t="s">
        <v>2027</v>
      </c>
    </row>
    <row r="617" spans="1:6" ht="13.2">
      <c r="A617" s="116">
        <v>7901201</v>
      </c>
      <c r="B617" s="116">
        <v>40310</v>
      </c>
      <c r="C617" s="117" t="s">
        <v>3597</v>
      </c>
      <c r="D617" s="116">
        <v>6272</v>
      </c>
      <c r="E617" s="116">
        <v>4954</v>
      </c>
      <c r="F617" s="116" t="s">
        <v>2582</v>
      </c>
    </row>
    <row r="618" spans="1:6" ht="13.2">
      <c r="A618" s="116">
        <v>7901203</v>
      </c>
      <c r="B618" s="116">
        <v>40310</v>
      </c>
      <c r="C618" s="117" t="s">
        <v>3598</v>
      </c>
      <c r="D618" s="116">
        <v>2572</v>
      </c>
      <c r="E618" s="116">
        <v>2039</v>
      </c>
      <c r="F618" s="116" t="s">
        <v>2036</v>
      </c>
    </row>
    <row r="619" spans="1:6" ht="13.2">
      <c r="A619" s="116">
        <v>7901204</v>
      </c>
      <c r="B619" s="116">
        <v>40310</v>
      </c>
      <c r="C619" s="117" t="s">
        <v>3599</v>
      </c>
      <c r="D619" s="116">
        <v>3433</v>
      </c>
      <c r="E619" s="116">
        <v>1502</v>
      </c>
      <c r="F619" s="116" t="s">
        <v>2585</v>
      </c>
    </row>
    <row r="620" spans="1:6" ht="13.2">
      <c r="A620" s="116">
        <v>7901301</v>
      </c>
      <c r="B620" s="116">
        <v>220290</v>
      </c>
      <c r="C620" s="117" t="s">
        <v>3600</v>
      </c>
      <c r="D620" s="116">
        <v>3331</v>
      </c>
      <c r="E620" s="116">
        <v>2653</v>
      </c>
      <c r="F620" s="116" t="s">
        <v>2310</v>
      </c>
    </row>
    <row r="621" spans="1:6" ht="13.2">
      <c r="A621" s="116">
        <v>7901303</v>
      </c>
      <c r="B621" s="116">
        <v>220290</v>
      </c>
      <c r="C621" s="117" t="s">
        <v>3601</v>
      </c>
      <c r="D621" s="116">
        <v>1605</v>
      </c>
      <c r="E621" s="116">
        <v>2653</v>
      </c>
      <c r="F621" s="116" t="s">
        <v>2310</v>
      </c>
    </row>
    <row r="622" spans="1:6" ht="13.2">
      <c r="A622" s="116">
        <v>7901304</v>
      </c>
      <c r="B622" s="116">
        <v>220290</v>
      </c>
      <c r="C622" s="117" t="s">
        <v>3602</v>
      </c>
      <c r="D622" s="116">
        <v>794</v>
      </c>
      <c r="E622" s="116">
        <v>1519</v>
      </c>
      <c r="F622" s="116" t="s">
        <v>2079</v>
      </c>
    </row>
    <row r="623" spans="1:6" ht="13.2">
      <c r="A623" s="116">
        <v>7901401</v>
      </c>
      <c r="B623" s="116">
        <v>40390</v>
      </c>
      <c r="C623" s="117" t="s">
        <v>3603</v>
      </c>
      <c r="D623" s="116">
        <v>794</v>
      </c>
      <c r="E623" s="116">
        <v>1399</v>
      </c>
      <c r="F623" s="116" t="s">
        <v>2079</v>
      </c>
    </row>
    <row r="624" spans="1:6" ht="13.2">
      <c r="A624" s="116">
        <v>7901501</v>
      </c>
      <c r="B624" s="116">
        <v>40510</v>
      </c>
      <c r="C624" s="117" t="s">
        <v>3604</v>
      </c>
      <c r="D624" s="116">
        <v>794</v>
      </c>
      <c r="E624" s="116">
        <v>1519</v>
      </c>
      <c r="F624" s="116" t="s">
        <v>2079</v>
      </c>
    </row>
    <row r="625" spans="1:6" ht="13.2">
      <c r="A625" s="116">
        <v>7901505</v>
      </c>
      <c r="B625" s="116">
        <v>40510</v>
      </c>
      <c r="C625" s="117" t="s">
        <v>3605</v>
      </c>
      <c r="D625" s="116">
        <v>3331</v>
      </c>
      <c r="E625" s="116">
        <v>2653</v>
      </c>
      <c r="F625" s="116" t="s">
        <v>2310</v>
      </c>
    </row>
    <row r="626" spans="1:6" ht="13.2">
      <c r="A626" s="116">
        <v>7901602</v>
      </c>
      <c r="B626" s="116">
        <v>151710</v>
      </c>
      <c r="C626" s="117" t="s">
        <v>3606</v>
      </c>
      <c r="D626" s="116">
        <v>6025</v>
      </c>
      <c r="E626" s="116">
        <v>4218</v>
      </c>
      <c r="F626" s="116" t="s">
        <v>2593</v>
      </c>
    </row>
    <row r="627" spans="1:6" ht="13.2">
      <c r="A627" s="116">
        <v>7901701</v>
      </c>
      <c r="B627" s="116">
        <v>40630</v>
      </c>
      <c r="C627" s="117" t="s">
        <v>3607</v>
      </c>
      <c r="D627" s="116">
        <v>9101</v>
      </c>
      <c r="E627" s="116">
        <v>4218</v>
      </c>
      <c r="F627" s="116" t="s">
        <v>2593</v>
      </c>
    </row>
    <row r="628" spans="1:6" ht="13.2">
      <c r="A628" s="116">
        <v>7901703</v>
      </c>
      <c r="B628" s="116">
        <v>40630</v>
      </c>
      <c r="C628" s="117" t="s">
        <v>3608</v>
      </c>
      <c r="D628" s="116">
        <v>1570</v>
      </c>
      <c r="E628" s="116">
        <v>1324</v>
      </c>
      <c r="F628" s="116" t="s">
        <v>2596</v>
      </c>
    </row>
    <row r="629" spans="1:6" ht="13.2">
      <c r="A629" s="116">
        <v>7901705</v>
      </c>
      <c r="B629" s="116">
        <v>40630</v>
      </c>
      <c r="C629" s="117" t="s">
        <v>3609</v>
      </c>
      <c r="D629" s="116">
        <v>8180</v>
      </c>
      <c r="E629" s="116">
        <v>6262</v>
      </c>
      <c r="F629" s="116" t="s">
        <v>2378</v>
      </c>
    </row>
    <row r="630" spans="1:6" ht="13.2">
      <c r="A630" s="116">
        <v>7901801</v>
      </c>
      <c r="B630" s="116">
        <v>40630</v>
      </c>
      <c r="C630" s="117" t="s">
        <v>3610</v>
      </c>
      <c r="D630" s="116">
        <v>8180</v>
      </c>
      <c r="E630" s="116">
        <v>6262</v>
      </c>
      <c r="F630" s="116" t="s">
        <v>2378</v>
      </c>
    </row>
    <row r="631" spans="1:6" ht="13.2">
      <c r="A631" s="116">
        <v>7901803</v>
      </c>
      <c r="B631" s="116">
        <v>40630</v>
      </c>
      <c r="C631" s="117" t="s">
        <v>3611</v>
      </c>
      <c r="D631" s="116">
        <v>8180</v>
      </c>
      <c r="E631" s="116">
        <v>6262</v>
      </c>
      <c r="F631" s="116" t="s">
        <v>2378</v>
      </c>
    </row>
    <row r="632" spans="1:6" ht="13.2">
      <c r="A632" s="116">
        <v>7901807</v>
      </c>
      <c r="B632" s="116">
        <v>40630</v>
      </c>
      <c r="C632" s="117" t="s">
        <v>3612</v>
      </c>
      <c r="D632" s="116">
        <v>9225</v>
      </c>
      <c r="E632" s="116">
        <v>6958</v>
      </c>
      <c r="F632" s="116" t="s">
        <v>2599</v>
      </c>
    </row>
    <row r="633" spans="1:6" ht="13.2">
      <c r="A633" s="116">
        <v>7901809</v>
      </c>
      <c r="B633" s="116">
        <v>40630</v>
      </c>
      <c r="C633" s="117" t="s">
        <v>3613</v>
      </c>
      <c r="D633" s="116">
        <v>8180</v>
      </c>
      <c r="E633" s="116">
        <v>7117</v>
      </c>
      <c r="F633" s="116" t="s">
        <v>2378</v>
      </c>
    </row>
    <row r="634" spans="1:6" ht="13.2">
      <c r="A634" s="116">
        <v>7901901</v>
      </c>
      <c r="B634" s="116">
        <v>40630</v>
      </c>
      <c r="C634" s="117" t="s">
        <v>3614</v>
      </c>
      <c r="D634" s="116">
        <v>8180</v>
      </c>
      <c r="E634" s="116">
        <v>6262</v>
      </c>
      <c r="F634" s="116" t="s">
        <v>2378</v>
      </c>
    </row>
    <row r="635" spans="1:6" ht="13.2">
      <c r="A635" s="116">
        <v>7902001</v>
      </c>
      <c r="B635" s="116">
        <v>40610</v>
      </c>
      <c r="C635" s="117" t="s">
        <v>3615</v>
      </c>
      <c r="D635" s="116">
        <v>8180</v>
      </c>
      <c r="E635" s="116">
        <v>6262</v>
      </c>
      <c r="F635" s="116" t="s">
        <v>2378</v>
      </c>
    </row>
    <row r="636" spans="1:6" ht="13.2">
      <c r="A636" s="116">
        <v>7902003</v>
      </c>
      <c r="B636" s="116">
        <v>40630</v>
      </c>
      <c r="C636" s="117" t="s">
        <v>3616</v>
      </c>
      <c r="D636" s="116">
        <v>8180</v>
      </c>
      <c r="E636" s="116">
        <v>6262</v>
      </c>
      <c r="F636" s="116" t="s">
        <v>2378</v>
      </c>
    </row>
    <row r="637" spans="1:6" ht="13.2">
      <c r="A637" s="116">
        <v>7902004</v>
      </c>
      <c r="B637" s="116">
        <v>200799</v>
      </c>
      <c r="C637" s="117" t="s">
        <v>3617</v>
      </c>
      <c r="D637" s="116">
        <v>8350</v>
      </c>
      <c r="E637" s="116">
        <v>3749</v>
      </c>
      <c r="F637" s="116" t="s">
        <v>2605</v>
      </c>
    </row>
    <row r="638" spans="1:6" ht="13.2">
      <c r="A638" s="116">
        <v>7902005</v>
      </c>
      <c r="B638" s="116">
        <v>40630</v>
      </c>
      <c r="C638" s="117" t="s">
        <v>3618</v>
      </c>
      <c r="D638" s="116">
        <v>8180</v>
      </c>
      <c r="E638" s="116">
        <v>6262</v>
      </c>
      <c r="F638" s="116" t="s">
        <v>2378</v>
      </c>
    </row>
    <row r="639" spans="1:6" ht="13.2">
      <c r="A639" s="116">
        <v>7902008</v>
      </c>
      <c r="B639" s="116">
        <v>40630</v>
      </c>
      <c r="C639" s="117" t="s">
        <v>3619</v>
      </c>
      <c r="D639" s="116">
        <v>2948</v>
      </c>
      <c r="E639" s="116">
        <v>1247</v>
      </c>
      <c r="F639" s="116" t="s">
        <v>2025</v>
      </c>
    </row>
    <row r="640" spans="1:6" ht="13.2">
      <c r="A640" s="116">
        <v>7902201</v>
      </c>
      <c r="B640" s="116">
        <v>40630</v>
      </c>
      <c r="C640" s="117" t="s">
        <v>3620</v>
      </c>
      <c r="D640" s="116">
        <v>8180</v>
      </c>
      <c r="E640" s="116">
        <v>6262</v>
      </c>
      <c r="F640" s="116" t="s">
        <v>2378</v>
      </c>
    </row>
    <row r="641" spans="1:6" ht="13.2">
      <c r="A641" s="116">
        <v>7902301</v>
      </c>
      <c r="B641" s="116">
        <v>220290</v>
      </c>
      <c r="C641" s="117" t="s">
        <v>3621</v>
      </c>
      <c r="D641" s="116">
        <v>8180</v>
      </c>
      <c r="E641" s="116">
        <v>6262</v>
      </c>
      <c r="F641" s="116" t="s">
        <v>2378</v>
      </c>
    </row>
    <row r="642" spans="1:6" ht="13.2">
      <c r="A642" s="116">
        <v>7902303</v>
      </c>
      <c r="B642" s="116">
        <v>220290</v>
      </c>
      <c r="C642" s="117" t="s">
        <v>3622</v>
      </c>
      <c r="D642" s="116">
        <v>4000</v>
      </c>
      <c r="E642" s="116">
        <v>2620</v>
      </c>
      <c r="F642" s="116" t="s">
        <v>2611</v>
      </c>
    </row>
    <row r="643" spans="1:6" ht="13.2">
      <c r="A643" s="116">
        <v>7902403</v>
      </c>
      <c r="B643" s="116">
        <v>40620</v>
      </c>
      <c r="C643" s="117" t="s">
        <v>3623</v>
      </c>
      <c r="D643" s="116">
        <v>794</v>
      </c>
      <c r="E643" s="116">
        <v>1519</v>
      </c>
      <c r="F643" s="116" t="s">
        <v>2079</v>
      </c>
    </row>
    <row r="644" spans="1:6" ht="13.2">
      <c r="A644" s="116">
        <v>7902501</v>
      </c>
      <c r="B644" s="116">
        <v>40630</v>
      </c>
      <c r="C644" s="117" t="s">
        <v>3624</v>
      </c>
      <c r="D644" s="116">
        <v>940</v>
      </c>
      <c r="E644" s="116">
        <v>411</v>
      </c>
      <c r="F644" s="116" t="s">
        <v>2079</v>
      </c>
    </row>
    <row r="645" spans="1:6" ht="13.2">
      <c r="A645" s="116">
        <v>7902801</v>
      </c>
      <c r="B645" s="116">
        <v>40630</v>
      </c>
      <c r="C645" s="117" t="s">
        <v>3625</v>
      </c>
      <c r="D645" s="116">
        <v>8762</v>
      </c>
      <c r="E645" s="116">
        <v>5966</v>
      </c>
      <c r="F645" s="116" t="s">
        <v>2605</v>
      </c>
    </row>
    <row r="646" spans="1:6" ht="13.2">
      <c r="A646" s="116">
        <v>7902901</v>
      </c>
      <c r="B646" s="116">
        <v>40630</v>
      </c>
      <c r="C646" s="117" t="s">
        <v>3626</v>
      </c>
      <c r="D646" s="116">
        <v>8180</v>
      </c>
      <c r="E646" s="116">
        <v>6262</v>
      </c>
      <c r="F646" s="116" t="s">
        <v>2378</v>
      </c>
    </row>
    <row r="647" spans="1:6" ht="13.2">
      <c r="A647" s="116">
        <v>7902902</v>
      </c>
      <c r="B647" s="116">
        <v>40630</v>
      </c>
      <c r="C647" s="117" t="s">
        <v>3627</v>
      </c>
      <c r="D647" s="116">
        <v>8180</v>
      </c>
      <c r="E647" s="116">
        <v>6262</v>
      </c>
      <c r="F647" s="116" t="s">
        <v>2378</v>
      </c>
    </row>
    <row r="648" spans="1:6" ht="13.2">
      <c r="A648" s="116">
        <v>7903001</v>
      </c>
      <c r="B648" s="116">
        <v>40690</v>
      </c>
      <c r="C648" s="117" t="s">
        <v>3628</v>
      </c>
      <c r="D648" s="116">
        <v>8180</v>
      </c>
      <c r="E648" s="116">
        <v>6262</v>
      </c>
      <c r="F648" s="116" t="s">
        <v>2378</v>
      </c>
    </row>
    <row r="649" spans="1:6" ht="13.2">
      <c r="A649" s="116">
        <v>7903101</v>
      </c>
      <c r="B649" s="116">
        <v>220290</v>
      </c>
      <c r="C649" s="117" t="s">
        <v>3629</v>
      </c>
      <c r="D649" s="116">
        <v>8180</v>
      </c>
      <c r="E649" s="116">
        <v>6262</v>
      </c>
      <c r="F649" s="116" t="s">
        <v>2378</v>
      </c>
    </row>
    <row r="650" spans="1:6" ht="13.2">
      <c r="A650" s="116">
        <v>7903102</v>
      </c>
      <c r="B650" s="116">
        <v>220290</v>
      </c>
      <c r="C650" s="117" t="s">
        <v>3630</v>
      </c>
      <c r="D650" s="116">
        <v>8970</v>
      </c>
      <c r="E650" s="116">
        <v>5966</v>
      </c>
      <c r="F650" s="116" t="s">
        <v>2619</v>
      </c>
    </row>
    <row r="651" spans="1:6" ht="13.2">
      <c r="A651" s="116">
        <v>7903109</v>
      </c>
      <c r="B651" s="116">
        <v>220290</v>
      </c>
      <c r="C651" s="117" t="s">
        <v>3631</v>
      </c>
      <c r="D651" s="116">
        <v>550</v>
      </c>
      <c r="E651" s="116">
        <v>1519</v>
      </c>
      <c r="F651" s="116" t="s">
        <v>2079</v>
      </c>
    </row>
    <row r="652" spans="1:6" ht="13.2">
      <c r="A652" s="116">
        <v>7903110</v>
      </c>
      <c r="B652" s="116">
        <v>220290</v>
      </c>
      <c r="C652" s="117" t="s">
        <v>3632</v>
      </c>
      <c r="D652" s="116">
        <v>794</v>
      </c>
      <c r="E652" s="116">
        <v>1519</v>
      </c>
      <c r="F652" s="116" t="s">
        <v>2079</v>
      </c>
    </row>
    <row r="653" spans="1:6" ht="13.2">
      <c r="A653" s="116">
        <v>7903201</v>
      </c>
      <c r="B653" s="116">
        <v>40150</v>
      </c>
      <c r="C653" s="117" t="s">
        <v>3633</v>
      </c>
      <c r="D653" s="116">
        <v>794</v>
      </c>
      <c r="E653" s="116">
        <v>1519</v>
      </c>
      <c r="F653" s="116" t="s">
        <v>2079</v>
      </c>
    </row>
    <row r="654" spans="1:6" ht="13.2">
      <c r="A654" s="116">
        <v>7903301</v>
      </c>
      <c r="B654" s="116">
        <v>40640</v>
      </c>
      <c r="C654" s="117" t="s">
        <v>3634</v>
      </c>
      <c r="D654" s="116">
        <v>794</v>
      </c>
      <c r="E654" s="116">
        <v>1519</v>
      </c>
      <c r="F654" s="116" t="s">
        <v>2079</v>
      </c>
    </row>
    <row r="655" spans="1:6" ht="13.2">
      <c r="A655" s="116">
        <v>7903402</v>
      </c>
      <c r="B655" s="116">
        <v>120810</v>
      </c>
      <c r="C655" s="117" t="s">
        <v>3635</v>
      </c>
      <c r="D655" s="116">
        <v>3331</v>
      </c>
      <c r="E655" s="116">
        <v>2653</v>
      </c>
      <c r="F655" s="116" t="s">
        <v>2310</v>
      </c>
    </row>
    <row r="656" spans="1:6" ht="13.2">
      <c r="A656" s="116">
        <v>7903501</v>
      </c>
      <c r="B656" s="116">
        <v>220290</v>
      </c>
      <c r="C656" s="117" t="s">
        <v>3636</v>
      </c>
      <c r="D656" s="116">
        <v>8762</v>
      </c>
      <c r="E656" s="116">
        <v>5966</v>
      </c>
      <c r="F656" s="116" t="s">
        <v>2605</v>
      </c>
    </row>
    <row r="657" spans="1:6" ht="13.2">
      <c r="A657" s="116">
        <v>7903601</v>
      </c>
      <c r="B657" s="116">
        <v>40110</v>
      </c>
      <c r="C657" s="117" t="s">
        <v>3637</v>
      </c>
      <c r="D657" s="116">
        <v>1560</v>
      </c>
      <c r="E657" s="116">
        <v>2585</v>
      </c>
      <c r="F657" s="116" t="s">
        <v>1979</v>
      </c>
    </row>
    <row r="658" spans="1:6" ht="13.2">
      <c r="A658" s="116">
        <v>7903702</v>
      </c>
      <c r="B658" s="116">
        <v>40120</v>
      </c>
      <c r="C658" s="117" t="s">
        <v>3638</v>
      </c>
      <c r="D658" s="116">
        <v>893</v>
      </c>
      <c r="E658" s="116">
        <v>3855</v>
      </c>
      <c r="F658" s="116" t="s">
        <v>2079</v>
      </c>
    </row>
    <row r="659" spans="1:6" ht="13.2">
      <c r="A659" s="116">
        <v>7903801</v>
      </c>
      <c r="B659" s="116">
        <v>40110</v>
      </c>
      <c r="C659" s="117" t="s">
        <v>3639</v>
      </c>
      <c r="D659" s="116">
        <v>1106</v>
      </c>
      <c r="E659" s="116">
        <v>1204</v>
      </c>
      <c r="F659" s="116" t="s">
        <v>2574</v>
      </c>
    </row>
    <row r="660" spans="1:6" ht="13.2">
      <c r="A660" s="116">
        <v>7903901</v>
      </c>
      <c r="B660" s="116">
        <v>40310</v>
      </c>
      <c r="C660" s="117" t="s">
        <v>3640</v>
      </c>
      <c r="D660" s="116">
        <v>1408</v>
      </c>
      <c r="E660" s="116">
        <v>1244</v>
      </c>
      <c r="F660" s="116" t="s">
        <v>2574</v>
      </c>
    </row>
    <row r="661" spans="1:6" ht="13.2">
      <c r="A661" s="116">
        <v>7904001</v>
      </c>
      <c r="B661" s="116">
        <v>40310</v>
      </c>
      <c r="C661" s="117" t="s">
        <v>3641</v>
      </c>
      <c r="D661" s="116">
        <v>1266</v>
      </c>
      <c r="E661" s="116">
        <v>1321</v>
      </c>
      <c r="F661" s="116" t="s">
        <v>2574</v>
      </c>
    </row>
    <row r="662" spans="1:6" ht="13.2">
      <c r="A662" s="116">
        <v>7904201</v>
      </c>
      <c r="B662" s="116">
        <v>151710</v>
      </c>
      <c r="C662" s="117" t="s">
        <v>3642</v>
      </c>
      <c r="D662" s="116">
        <v>3331</v>
      </c>
      <c r="E662" s="116">
        <v>2653</v>
      </c>
      <c r="F662" s="116" t="s">
        <v>2310</v>
      </c>
    </row>
    <row r="663" spans="1:6" ht="13.2">
      <c r="A663" s="116">
        <v>7904301</v>
      </c>
      <c r="B663" s="116">
        <v>40110</v>
      </c>
      <c r="C663" s="117" t="s">
        <v>3643</v>
      </c>
      <c r="D663" s="116">
        <v>3331</v>
      </c>
      <c r="E663" s="116">
        <v>2653</v>
      </c>
      <c r="F663" s="116" t="s">
        <v>2310</v>
      </c>
    </row>
    <row r="664" spans="1:6" ht="13.2">
      <c r="A664" s="116">
        <v>7904401</v>
      </c>
      <c r="B664" s="116">
        <v>40110</v>
      </c>
      <c r="C664" s="117" t="s">
        <v>3644</v>
      </c>
      <c r="D664" s="116">
        <v>1570</v>
      </c>
      <c r="E664" s="116">
        <v>1324</v>
      </c>
      <c r="F664" s="116" t="s">
        <v>2596</v>
      </c>
    </row>
    <row r="665" spans="1:6" ht="13.2">
      <c r="A665" s="116">
        <v>7904601</v>
      </c>
      <c r="B665" s="116">
        <v>40110</v>
      </c>
      <c r="C665" s="117" t="s">
        <v>3645</v>
      </c>
      <c r="D665" s="116">
        <v>1266</v>
      </c>
      <c r="E665" s="116">
        <v>1321</v>
      </c>
      <c r="F665" s="116" t="s">
        <v>2574</v>
      </c>
    </row>
    <row r="666" spans="1:6" ht="13.2">
      <c r="A666" s="116">
        <v>7904701</v>
      </c>
      <c r="B666" s="116">
        <v>40150</v>
      </c>
      <c r="C666" s="117" t="s">
        <v>3646</v>
      </c>
      <c r="D666" s="116">
        <v>1266</v>
      </c>
      <c r="E666" s="116">
        <v>1321</v>
      </c>
      <c r="F666" s="116" t="s">
        <v>2574</v>
      </c>
    </row>
    <row r="667" spans="1:6" ht="13.2">
      <c r="A667" s="116">
        <v>7904801</v>
      </c>
      <c r="B667" s="116">
        <v>40310</v>
      </c>
      <c r="C667" s="117" t="s">
        <v>3647</v>
      </c>
      <c r="D667" s="116">
        <v>1178</v>
      </c>
      <c r="E667" s="116">
        <v>1204</v>
      </c>
      <c r="F667" s="116" t="s">
        <v>2574</v>
      </c>
    </row>
    <row r="668" spans="1:6" ht="13.2">
      <c r="A668" s="116">
        <v>7904803</v>
      </c>
      <c r="B668" s="116">
        <v>40310</v>
      </c>
      <c r="C668" s="117" t="s">
        <v>3648</v>
      </c>
      <c r="D668" s="116">
        <v>3331</v>
      </c>
      <c r="E668" s="116">
        <v>2653</v>
      </c>
      <c r="F668" s="116" t="s">
        <v>2310</v>
      </c>
    </row>
    <row r="669" spans="1:6" ht="13.2">
      <c r="A669" s="116">
        <v>7904804</v>
      </c>
      <c r="B669" s="116">
        <v>40310</v>
      </c>
      <c r="C669" s="117" t="s">
        <v>3649</v>
      </c>
      <c r="D669" s="116">
        <v>3331</v>
      </c>
      <c r="E669" s="116">
        <v>2653</v>
      </c>
      <c r="F669" s="116" t="s">
        <v>2310</v>
      </c>
    </row>
    <row r="670" spans="1:6" ht="13.2">
      <c r="A670" s="116">
        <v>7905103</v>
      </c>
      <c r="B670" s="116">
        <v>40630</v>
      </c>
      <c r="C670" s="117" t="s">
        <v>3650</v>
      </c>
      <c r="D670" s="116">
        <v>3331</v>
      </c>
      <c r="E670" s="116">
        <v>2653</v>
      </c>
      <c r="F670" s="116" t="s">
        <v>2310</v>
      </c>
    </row>
    <row r="671" spans="1:6" ht="13.2">
      <c r="A671" s="116">
        <v>7905104</v>
      </c>
      <c r="B671" s="116">
        <v>40630</v>
      </c>
      <c r="C671" s="117" t="s">
        <v>3651</v>
      </c>
      <c r="D671" s="116">
        <v>3331</v>
      </c>
      <c r="E671" s="116">
        <v>2653</v>
      </c>
      <c r="F671" s="116" t="s">
        <v>2310</v>
      </c>
    </row>
    <row r="672" spans="1:6" ht="13.2">
      <c r="A672" s="116">
        <v>7905201</v>
      </c>
      <c r="B672" s="116">
        <v>220290</v>
      </c>
      <c r="C672" s="117" t="s">
        <v>3652</v>
      </c>
      <c r="D672" s="116">
        <v>8180</v>
      </c>
      <c r="E672" s="116">
        <v>6262</v>
      </c>
      <c r="F672" s="116" t="s">
        <v>2378</v>
      </c>
    </row>
    <row r="673" spans="1:6" ht="13.2">
      <c r="A673" s="116">
        <v>7905203</v>
      </c>
      <c r="B673" s="116">
        <v>220290</v>
      </c>
      <c r="C673" s="117" t="s">
        <v>3653</v>
      </c>
      <c r="D673" s="116">
        <v>8180</v>
      </c>
      <c r="E673" s="116">
        <v>6262</v>
      </c>
      <c r="F673" s="116" t="s">
        <v>2378</v>
      </c>
    </row>
    <row r="674" spans="1:6" ht="13.2">
      <c r="A674" s="116">
        <v>7905601</v>
      </c>
      <c r="B674" s="116">
        <v>40150</v>
      </c>
      <c r="C674" s="117" t="s">
        <v>3654</v>
      </c>
      <c r="D674" s="116">
        <v>794</v>
      </c>
      <c r="E674" s="116">
        <v>1519</v>
      </c>
      <c r="F674" s="116" t="s">
        <v>2079</v>
      </c>
    </row>
    <row r="675" spans="1:6" ht="13.2">
      <c r="A675" s="116">
        <v>7905901</v>
      </c>
      <c r="B675" s="116">
        <v>40630</v>
      </c>
      <c r="C675" s="117" t="s">
        <v>3655</v>
      </c>
      <c r="D675" s="116">
        <v>794</v>
      </c>
      <c r="E675" s="116">
        <v>1519</v>
      </c>
      <c r="F675" s="116" t="s">
        <v>2079</v>
      </c>
    </row>
    <row r="676" spans="1:6" ht="13.2">
      <c r="A676" s="116">
        <v>7906001</v>
      </c>
      <c r="B676" s="116">
        <v>40630</v>
      </c>
      <c r="C676" s="117" t="s">
        <v>3656</v>
      </c>
      <c r="D676" s="116">
        <v>3331</v>
      </c>
      <c r="E676" s="116">
        <v>2653</v>
      </c>
      <c r="F676" s="116" t="s">
        <v>2310</v>
      </c>
    </row>
    <row r="677" spans="1:6" ht="13.2">
      <c r="A677" s="116">
        <v>7906005</v>
      </c>
      <c r="B677" s="116">
        <v>40630</v>
      </c>
      <c r="C677" s="117" t="s">
        <v>3657</v>
      </c>
      <c r="D677" s="116">
        <v>8180</v>
      </c>
      <c r="E677" s="116">
        <v>6262</v>
      </c>
      <c r="F677" s="116" t="s">
        <v>2378</v>
      </c>
    </row>
    <row r="678" spans="1:6" ht="13.2">
      <c r="A678" s="116">
        <v>7906201</v>
      </c>
      <c r="B678" s="116">
        <v>40630</v>
      </c>
      <c r="C678" s="117" t="s">
        <v>3658</v>
      </c>
      <c r="D678" s="116">
        <v>8180</v>
      </c>
      <c r="E678" s="116">
        <v>6262</v>
      </c>
      <c r="F678" s="116" t="s">
        <v>2378</v>
      </c>
    </row>
    <row r="679" spans="1:6" ht="13.2">
      <c r="A679" s="116">
        <v>7906303</v>
      </c>
      <c r="B679" s="116">
        <v>40620</v>
      </c>
      <c r="C679" s="117" t="s">
        <v>3659</v>
      </c>
      <c r="D679" s="116">
        <v>8180</v>
      </c>
      <c r="E679" s="116">
        <v>6262</v>
      </c>
      <c r="F679" s="116" t="s">
        <v>2378</v>
      </c>
    </row>
    <row r="680" spans="1:6" ht="13.2">
      <c r="A680" s="116">
        <v>7906401</v>
      </c>
      <c r="B680" s="116">
        <v>40630</v>
      </c>
      <c r="C680" s="117" t="s">
        <v>3660</v>
      </c>
      <c r="D680" s="116">
        <v>8180</v>
      </c>
      <c r="E680" s="116">
        <v>6262</v>
      </c>
      <c r="F680" s="116" t="s">
        <v>2378</v>
      </c>
    </row>
    <row r="681" spans="1:6" ht="13.2">
      <c r="A681" s="116">
        <v>7906501</v>
      </c>
      <c r="B681" s="116">
        <v>40630</v>
      </c>
      <c r="C681" s="117" t="s">
        <v>3661</v>
      </c>
      <c r="D681" s="116">
        <v>8762</v>
      </c>
      <c r="E681" s="116">
        <v>5966</v>
      </c>
      <c r="F681" s="116" t="s">
        <v>2605</v>
      </c>
    </row>
    <row r="682" spans="1:6" ht="13.2">
      <c r="A682" s="116">
        <v>7906601</v>
      </c>
      <c r="B682" s="116">
        <v>40630</v>
      </c>
      <c r="C682" s="117" t="s">
        <v>3662</v>
      </c>
      <c r="D682" s="116">
        <v>8180</v>
      </c>
      <c r="E682" s="116">
        <v>6262</v>
      </c>
      <c r="F682" s="116" t="s">
        <v>2378</v>
      </c>
    </row>
    <row r="683" spans="1:6" ht="13.2">
      <c r="A683" s="116">
        <v>7906702</v>
      </c>
      <c r="B683" s="116">
        <v>220290</v>
      </c>
      <c r="C683" s="117" t="s">
        <v>3663</v>
      </c>
      <c r="D683" s="116">
        <v>8180</v>
      </c>
      <c r="E683" s="116">
        <v>6262</v>
      </c>
      <c r="F683" s="116" t="s">
        <v>2378</v>
      </c>
    </row>
    <row r="684" spans="1:6" ht="13.2">
      <c r="A684" s="116">
        <v>7906710</v>
      </c>
      <c r="B684" s="116">
        <v>220290</v>
      </c>
      <c r="C684" s="117" t="s">
        <v>3664</v>
      </c>
      <c r="D684" s="116">
        <v>8180</v>
      </c>
      <c r="E684" s="116">
        <v>6262</v>
      </c>
      <c r="F684" s="116" t="s">
        <v>2378</v>
      </c>
    </row>
    <row r="685" spans="1:6" ht="13.2">
      <c r="A685" s="116">
        <v>7906801</v>
      </c>
      <c r="B685" s="116">
        <v>220290</v>
      </c>
      <c r="C685" s="117" t="s">
        <v>3665</v>
      </c>
      <c r="D685" s="116">
        <v>794</v>
      </c>
      <c r="E685" s="116">
        <v>1519</v>
      </c>
      <c r="F685" s="116" t="s">
        <v>2079</v>
      </c>
    </row>
    <row r="686" spans="1:6" ht="13.2">
      <c r="A686" s="116">
        <v>7906802</v>
      </c>
      <c r="B686" s="116">
        <v>220290</v>
      </c>
      <c r="C686" s="117" t="s">
        <v>3666</v>
      </c>
      <c r="D686" s="116">
        <v>794</v>
      </c>
      <c r="E686" s="116">
        <v>1519</v>
      </c>
      <c r="F686" s="116" t="s">
        <v>2079</v>
      </c>
    </row>
    <row r="687" spans="1:6" ht="13.2">
      <c r="A687" s="116">
        <v>7906810</v>
      </c>
      <c r="B687" s="116">
        <v>220290</v>
      </c>
      <c r="C687" s="117" t="s">
        <v>3667</v>
      </c>
      <c r="D687" s="116">
        <v>794</v>
      </c>
      <c r="E687" s="116">
        <v>1519</v>
      </c>
      <c r="F687" s="116" t="s">
        <v>2079</v>
      </c>
    </row>
    <row r="688" spans="1:6" ht="13.2">
      <c r="A688" s="116">
        <v>7906901</v>
      </c>
      <c r="B688" s="116">
        <v>220290</v>
      </c>
      <c r="C688" s="117" t="s">
        <v>3668</v>
      </c>
      <c r="D688" s="116">
        <v>794</v>
      </c>
      <c r="E688" s="116">
        <v>1519</v>
      </c>
      <c r="F688" s="116" t="s">
        <v>2079</v>
      </c>
    </row>
    <row r="689" spans="1:6" ht="13.2">
      <c r="A689" s="116">
        <v>7907001</v>
      </c>
      <c r="B689" s="116">
        <v>220290</v>
      </c>
      <c r="C689" s="117" t="s">
        <v>3669</v>
      </c>
      <c r="D689" s="116">
        <v>794</v>
      </c>
      <c r="E689" s="116">
        <v>1519</v>
      </c>
      <c r="F689" s="116" t="s">
        <v>2079</v>
      </c>
    </row>
    <row r="690" spans="1:6" ht="13.2">
      <c r="A690" s="116">
        <v>7907101</v>
      </c>
      <c r="B690" s="116">
        <v>40510</v>
      </c>
      <c r="C690" s="117" t="s">
        <v>3670</v>
      </c>
      <c r="D690" s="116">
        <v>794</v>
      </c>
      <c r="E690" s="116">
        <v>1519</v>
      </c>
      <c r="F690" s="116" t="s">
        <v>2079</v>
      </c>
    </row>
    <row r="691" spans="1:6" ht="13.2">
      <c r="A691" s="116">
        <v>7907301</v>
      </c>
      <c r="B691" s="116">
        <v>40630</v>
      </c>
      <c r="C691" s="117" t="s">
        <v>3671</v>
      </c>
      <c r="D691" s="116">
        <v>794</v>
      </c>
      <c r="E691" s="116">
        <v>1519</v>
      </c>
      <c r="F691" s="116" t="s">
        <v>2079</v>
      </c>
    </row>
    <row r="692" spans="1:6" ht="13.2">
      <c r="A692" s="116">
        <v>7907305</v>
      </c>
      <c r="B692" s="116">
        <v>40630</v>
      </c>
      <c r="C692" s="117" t="s">
        <v>3672</v>
      </c>
      <c r="D692" s="116">
        <v>9870</v>
      </c>
      <c r="E692" s="116">
        <v>4218</v>
      </c>
      <c r="F692" s="116" t="s">
        <v>2593</v>
      </c>
    </row>
    <row r="693" spans="1:6" ht="13.2">
      <c r="A693" s="116">
        <v>8000103</v>
      </c>
      <c r="B693" s="116">
        <v>190590</v>
      </c>
      <c r="C693" s="117" t="s">
        <v>3673</v>
      </c>
      <c r="D693" s="116">
        <v>8180</v>
      </c>
      <c r="E693" s="116">
        <v>6262</v>
      </c>
      <c r="F693" s="116" t="s">
        <v>2378</v>
      </c>
    </row>
    <row r="694" spans="1:6" ht="13.2">
      <c r="A694" s="116">
        <v>8000105</v>
      </c>
      <c r="B694" s="116">
        <v>190590</v>
      </c>
      <c r="C694" s="117" t="s">
        <v>3674</v>
      </c>
      <c r="D694" s="116">
        <v>8180</v>
      </c>
      <c r="E694" s="116">
        <v>6262</v>
      </c>
      <c r="F694" s="116" t="s">
        <v>2378</v>
      </c>
    </row>
    <row r="695" spans="1:6" ht="13.2">
      <c r="A695" s="116">
        <v>8000201</v>
      </c>
      <c r="B695" s="116">
        <v>190590</v>
      </c>
      <c r="C695" s="117" t="s">
        <v>3675</v>
      </c>
      <c r="D695" s="116">
        <v>1796</v>
      </c>
      <c r="E695" s="116">
        <v>1270</v>
      </c>
      <c r="F695" s="116" t="s">
        <v>2062</v>
      </c>
    </row>
    <row r="696" spans="1:6" ht="13.2">
      <c r="A696" s="116">
        <v>8000203</v>
      </c>
      <c r="B696" s="116">
        <v>190520</v>
      </c>
      <c r="C696" s="117" t="s">
        <v>3676</v>
      </c>
      <c r="D696" s="116">
        <v>547</v>
      </c>
      <c r="E696" s="116">
        <v>1870</v>
      </c>
      <c r="F696" s="116" t="s">
        <v>2161</v>
      </c>
    </row>
    <row r="697" spans="1:6" ht="13.2">
      <c r="A697" s="116">
        <v>8000218</v>
      </c>
      <c r="B697" s="116">
        <v>190520</v>
      </c>
      <c r="C697" s="117" t="s">
        <v>3677</v>
      </c>
      <c r="D697" s="116">
        <v>1796</v>
      </c>
      <c r="E697" s="116">
        <v>1270</v>
      </c>
      <c r="F697" s="116" t="s">
        <v>2062</v>
      </c>
    </row>
    <row r="698" spans="1:6" ht="13.2">
      <c r="A698" s="116">
        <v>8000229</v>
      </c>
      <c r="B698" s="116">
        <v>190520</v>
      </c>
      <c r="C698" s="117" t="s">
        <v>3678</v>
      </c>
      <c r="D698" s="116">
        <v>2572</v>
      </c>
      <c r="E698" s="116">
        <v>2039</v>
      </c>
      <c r="F698" s="116" t="s">
        <v>2036</v>
      </c>
    </row>
    <row r="699" spans="1:6" ht="13.2">
      <c r="A699" s="116">
        <v>8000234</v>
      </c>
      <c r="B699" s="116">
        <v>190520</v>
      </c>
      <c r="C699" s="117" t="s">
        <v>3679</v>
      </c>
      <c r="D699" s="116">
        <v>2572</v>
      </c>
      <c r="E699" s="116">
        <v>2039</v>
      </c>
      <c r="F699" s="116" t="s">
        <v>2036</v>
      </c>
    </row>
    <row r="700" spans="1:6" ht="13.2">
      <c r="A700" s="116">
        <v>8000237</v>
      </c>
      <c r="B700" s="116">
        <v>190590</v>
      </c>
      <c r="C700" s="117" t="s">
        <v>3680</v>
      </c>
      <c r="D700" s="116">
        <v>2572</v>
      </c>
      <c r="E700" s="116">
        <v>2039</v>
      </c>
      <c r="F700" s="116" t="s">
        <v>2036</v>
      </c>
    </row>
    <row r="701" spans="1:6" ht="13.2">
      <c r="A701" s="116">
        <v>8000240</v>
      </c>
      <c r="B701" s="116">
        <v>190590</v>
      </c>
      <c r="C701" s="117" t="s">
        <v>3681</v>
      </c>
      <c r="D701" s="116">
        <v>2572</v>
      </c>
      <c r="E701" s="116">
        <v>2039</v>
      </c>
      <c r="F701" s="116" t="s">
        <v>2036</v>
      </c>
    </row>
    <row r="702" spans="1:6" ht="13.2">
      <c r="A702" s="116">
        <v>8000501</v>
      </c>
      <c r="B702" s="116">
        <v>190590</v>
      </c>
      <c r="C702" s="117" t="s">
        <v>3682</v>
      </c>
      <c r="D702" s="116">
        <v>930</v>
      </c>
      <c r="E702" s="116">
        <v>1270</v>
      </c>
      <c r="F702" s="116" t="s">
        <v>2062</v>
      </c>
    </row>
    <row r="703" spans="1:6" ht="13.2">
      <c r="A703" s="116">
        <v>8000801</v>
      </c>
      <c r="B703" s="116">
        <v>190120</v>
      </c>
      <c r="C703" s="117" t="s">
        <v>462</v>
      </c>
      <c r="D703" s="116">
        <v>1796</v>
      </c>
      <c r="E703" s="116">
        <v>1270</v>
      </c>
      <c r="F703" s="116" t="s">
        <v>2062</v>
      </c>
    </row>
    <row r="704" spans="1:6" ht="13.2">
      <c r="A704" s="116">
        <v>8001101</v>
      </c>
      <c r="B704" s="116">
        <v>190590</v>
      </c>
      <c r="C704" s="117" t="s">
        <v>3683</v>
      </c>
      <c r="D704" s="116">
        <v>1076</v>
      </c>
      <c r="E704" s="116">
        <v>876</v>
      </c>
      <c r="F704" s="116" t="s">
        <v>2025</v>
      </c>
    </row>
    <row r="705" spans="1:6" ht="13.2">
      <c r="A705" s="116">
        <v>8001401</v>
      </c>
      <c r="B705" s="116">
        <v>190590</v>
      </c>
      <c r="C705" s="117" t="s">
        <v>3684</v>
      </c>
      <c r="D705" s="116">
        <v>2004</v>
      </c>
      <c r="E705" s="116">
        <v>1647</v>
      </c>
      <c r="F705" s="116" t="s">
        <v>2027</v>
      </c>
    </row>
    <row r="706" spans="1:6" ht="13.2">
      <c r="A706" s="116">
        <v>8001501</v>
      </c>
      <c r="B706" s="116">
        <v>190590</v>
      </c>
      <c r="C706" s="117" t="s">
        <v>3685</v>
      </c>
      <c r="D706" s="116">
        <v>1796</v>
      </c>
      <c r="E706" s="116">
        <v>1270</v>
      </c>
      <c r="F706" s="116" t="s">
        <v>2062</v>
      </c>
    </row>
    <row r="707" spans="1:6" ht="13.2">
      <c r="A707" s="116">
        <v>8001901</v>
      </c>
      <c r="B707" s="116">
        <v>190590</v>
      </c>
      <c r="C707" s="117" t="s">
        <v>3686</v>
      </c>
      <c r="D707" s="116">
        <v>1796</v>
      </c>
      <c r="E707" s="116">
        <v>1270</v>
      </c>
      <c r="F707" s="116" t="s">
        <v>2062</v>
      </c>
    </row>
    <row r="708" spans="1:6" ht="13.2">
      <c r="A708" s="116">
        <v>8002001</v>
      </c>
      <c r="B708" s="116">
        <v>190520</v>
      </c>
      <c r="C708" s="117" t="s">
        <v>3687</v>
      </c>
      <c r="D708" s="116">
        <v>1796</v>
      </c>
      <c r="E708" s="116">
        <v>1270</v>
      </c>
      <c r="F708" s="116" t="s">
        <v>2062</v>
      </c>
    </row>
    <row r="709" spans="1:6" ht="13.2">
      <c r="A709" s="116">
        <v>8002002</v>
      </c>
      <c r="B709" s="116">
        <v>190530</v>
      </c>
      <c r="C709" s="117" t="s">
        <v>3688</v>
      </c>
      <c r="D709" s="116">
        <v>1545</v>
      </c>
      <c r="E709" s="116">
        <v>1324</v>
      </c>
      <c r="F709" s="116" t="s">
        <v>2678</v>
      </c>
    </row>
    <row r="710" spans="1:6" ht="13.2">
      <c r="A710" s="116">
        <v>8002101</v>
      </c>
      <c r="B710" s="116">
        <v>190530</v>
      </c>
      <c r="C710" s="117" t="s">
        <v>3689</v>
      </c>
      <c r="D710" s="116">
        <v>2572</v>
      </c>
      <c r="E710" s="116">
        <v>2039</v>
      </c>
      <c r="F710" s="116" t="s">
        <v>2036</v>
      </c>
    </row>
    <row r="711" spans="1:6" ht="13.2">
      <c r="A711" s="116">
        <v>8002106</v>
      </c>
      <c r="B711" s="116">
        <v>190590</v>
      </c>
      <c r="C711" s="117" t="s">
        <v>3690</v>
      </c>
      <c r="D711" s="116">
        <v>1942</v>
      </c>
      <c r="E711" s="116">
        <v>2730</v>
      </c>
      <c r="F711" s="116" t="s">
        <v>2681</v>
      </c>
    </row>
    <row r="712" spans="1:6" ht="13.2">
      <c r="A712" s="116">
        <v>8002201</v>
      </c>
      <c r="B712" s="116">
        <v>190590</v>
      </c>
      <c r="C712" s="117" t="s">
        <v>3691</v>
      </c>
      <c r="D712" s="116">
        <v>1642</v>
      </c>
      <c r="E712" s="116">
        <v>2233</v>
      </c>
      <c r="F712" s="116" t="s">
        <v>2318</v>
      </c>
    </row>
    <row r="713" spans="1:6" ht="13.2">
      <c r="A713" s="116">
        <v>8002205</v>
      </c>
      <c r="B713" s="116">
        <v>190590</v>
      </c>
      <c r="C713" s="117" t="s">
        <v>3692</v>
      </c>
      <c r="D713" s="116">
        <v>1796</v>
      </c>
      <c r="E713" s="116">
        <v>1270</v>
      </c>
      <c r="F713" s="116" t="s">
        <v>2062</v>
      </c>
    </row>
    <row r="714" spans="1:6" ht="13.2">
      <c r="A714" s="116">
        <v>8002212</v>
      </c>
      <c r="B714" s="116">
        <v>190530</v>
      </c>
      <c r="C714" s="117" t="s">
        <v>1242</v>
      </c>
      <c r="D714" s="116">
        <v>1552</v>
      </c>
      <c r="E714" s="116">
        <v>1511</v>
      </c>
      <c r="F714" s="116" t="s">
        <v>2030</v>
      </c>
    </row>
    <row r="715" spans="1:6" ht="13.2">
      <c r="A715" s="116">
        <v>8002225</v>
      </c>
      <c r="B715" s="116">
        <v>190590</v>
      </c>
      <c r="C715" s="117" t="s">
        <v>3693</v>
      </c>
      <c r="D715" s="116">
        <v>1796</v>
      </c>
      <c r="E715" s="116">
        <v>1270</v>
      </c>
      <c r="F715" s="116" t="s">
        <v>2062</v>
      </c>
    </row>
    <row r="716" spans="1:6" ht="13.2">
      <c r="A716" s="116">
        <v>8002227</v>
      </c>
      <c r="B716" s="116">
        <v>190590</v>
      </c>
      <c r="C716" s="117" t="s">
        <v>3694</v>
      </c>
      <c r="D716" s="116">
        <v>1642</v>
      </c>
      <c r="E716" s="116">
        <v>2233</v>
      </c>
      <c r="F716" s="116" t="s">
        <v>2318</v>
      </c>
    </row>
    <row r="717" spans="1:6" ht="13.2">
      <c r="A717" s="116">
        <v>8002230</v>
      </c>
      <c r="B717" s="116">
        <v>190590</v>
      </c>
      <c r="C717" s="117" t="s">
        <v>3695</v>
      </c>
      <c r="D717" s="116">
        <v>1449</v>
      </c>
      <c r="E717" s="116">
        <v>975</v>
      </c>
      <c r="F717" s="116" t="s">
        <v>2688</v>
      </c>
    </row>
    <row r="718" spans="1:6" ht="13.2">
      <c r="A718" s="116">
        <v>8002236</v>
      </c>
      <c r="B718" s="116">
        <v>190590</v>
      </c>
      <c r="C718" s="117" t="s">
        <v>3696</v>
      </c>
      <c r="D718" s="116">
        <v>3900</v>
      </c>
      <c r="E718" s="116">
        <v>1270</v>
      </c>
      <c r="F718" s="116" t="s">
        <v>2062</v>
      </c>
    </row>
    <row r="719" spans="1:6" ht="13.2">
      <c r="A719" s="116">
        <v>8002301</v>
      </c>
      <c r="B719" s="116">
        <v>190530</v>
      </c>
      <c r="C719" s="117" t="s">
        <v>3697</v>
      </c>
      <c r="D719" s="116">
        <v>1796</v>
      </c>
      <c r="E719" s="116">
        <v>1270</v>
      </c>
      <c r="F719" s="116" t="s">
        <v>2062</v>
      </c>
    </row>
    <row r="720" spans="1:6" ht="13.2">
      <c r="A720" s="116">
        <v>8002302</v>
      </c>
      <c r="B720" s="116">
        <v>190530</v>
      </c>
      <c r="C720" s="117" t="s">
        <v>3698</v>
      </c>
      <c r="D720" s="116">
        <v>1001</v>
      </c>
      <c r="E720" s="116">
        <v>624</v>
      </c>
      <c r="F720" s="116" t="s">
        <v>2574</v>
      </c>
    </row>
    <row r="721" spans="1:6" ht="13.2">
      <c r="A721" s="116">
        <v>8002305</v>
      </c>
      <c r="B721" s="116">
        <v>190530</v>
      </c>
      <c r="C721" s="117" t="s">
        <v>3699</v>
      </c>
      <c r="D721" s="116">
        <v>1691</v>
      </c>
      <c r="E721" s="116">
        <v>3051</v>
      </c>
      <c r="F721" s="116" t="s">
        <v>2693</v>
      </c>
    </row>
    <row r="722" spans="1:6" ht="13.2">
      <c r="A722" s="116">
        <v>8002306</v>
      </c>
      <c r="B722" s="116">
        <v>190530</v>
      </c>
      <c r="C722" s="117" t="s">
        <v>3700</v>
      </c>
      <c r="D722" s="116">
        <v>1642</v>
      </c>
      <c r="E722" s="116">
        <v>2233</v>
      </c>
      <c r="F722" s="116" t="s">
        <v>2318</v>
      </c>
    </row>
    <row r="723" spans="1:6" ht="13.2">
      <c r="A723" s="116">
        <v>8002309</v>
      </c>
      <c r="B723" s="116">
        <v>190590</v>
      </c>
      <c r="C723" s="117" t="s">
        <v>3701</v>
      </c>
      <c r="D723" s="116">
        <v>1642</v>
      </c>
      <c r="E723" s="116">
        <v>2233</v>
      </c>
      <c r="F723" s="116" t="s">
        <v>2318</v>
      </c>
    </row>
    <row r="724" spans="1:6" ht="13.2">
      <c r="A724" s="116">
        <v>8002315</v>
      </c>
      <c r="B724" s="116">
        <v>190530</v>
      </c>
      <c r="C724" s="117" t="s">
        <v>3702</v>
      </c>
      <c r="D724" s="116">
        <v>1642</v>
      </c>
      <c r="E724" s="116">
        <v>2233</v>
      </c>
      <c r="F724" s="116" t="s">
        <v>2318</v>
      </c>
    </row>
    <row r="725" spans="1:6" ht="13.2">
      <c r="A725" s="116">
        <v>8002334</v>
      </c>
      <c r="B725" s="116">
        <v>190530</v>
      </c>
      <c r="C725" s="117" t="s">
        <v>3703</v>
      </c>
      <c r="D725" s="116">
        <v>1796</v>
      </c>
      <c r="E725" s="116">
        <v>1270</v>
      </c>
      <c r="F725" s="116" t="s">
        <v>2062</v>
      </c>
    </row>
    <row r="726" spans="1:6" ht="13.2">
      <c r="A726" s="116">
        <v>8002335</v>
      </c>
      <c r="B726" s="116">
        <v>190530</v>
      </c>
      <c r="C726" s="117" t="s">
        <v>3704</v>
      </c>
      <c r="D726" s="116">
        <v>1642</v>
      </c>
      <c r="E726" s="116">
        <v>2233</v>
      </c>
      <c r="F726" s="116" t="s">
        <v>2318</v>
      </c>
    </row>
    <row r="727" spans="1:6" ht="13.2">
      <c r="A727" s="116">
        <v>8002405</v>
      </c>
      <c r="B727" s="116">
        <v>190530</v>
      </c>
      <c r="C727" s="117" t="s">
        <v>3705</v>
      </c>
      <c r="D727" s="116">
        <v>1465</v>
      </c>
      <c r="E727" s="116">
        <v>1682</v>
      </c>
      <c r="F727" s="116" t="s">
        <v>2700</v>
      </c>
    </row>
    <row r="728" spans="1:6" ht="13.2">
      <c r="A728" s="116">
        <v>8002502</v>
      </c>
      <c r="B728" s="116">
        <v>190590</v>
      </c>
      <c r="C728" s="117" t="s">
        <v>3706</v>
      </c>
      <c r="D728" s="116">
        <v>1642</v>
      </c>
      <c r="E728" s="116">
        <v>2233</v>
      </c>
      <c r="F728" s="116" t="s">
        <v>2318</v>
      </c>
    </row>
    <row r="729" spans="1:6" ht="13.2">
      <c r="A729" s="116">
        <v>8002503</v>
      </c>
      <c r="B729" s="116">
        <v>190520</v>
      </c>
      <c r="C729" s="117" t="s">
        <v>3707</v>
      </c>
      <c r="D729" s="116">
        <v>1642</v>
      </c>
      <c r="E729" s="116">
        <v>2233</v>
      </c>
      <c r="F729" s="116" t="s">
        <v>2318</v>
      </c>
    </row>
    <row r="730" spans="1:6" ht="13.2">
      <c r="A730" s="116">
        <v>8002604</v>
      </c>
      <c r="B730" s="116">
        <v>190520</v>
      </c>
      <c r="C730" s="117" t="s">
        <v>3708</v>
      </c>
      <c r="D730" s="116">
        <v>2060</v>
      </c>
      <c r="E730" s="116">
        <v>2033</v>
      </c>
      <c r="F730" s="116" t="s">
        <v>2704</v>
      </c>
    </row>
    <row r="731" spans="1:6" ht="13.2">
      <c r="A731" s="116">
        <v>8002605</v>
      </c>
      <c r="B731" s="116">
        <v>190520</v>
      </c>
      <c r="C731" s="117" t="s">
        <v>3709</v>
      </c>
      <c r="D731" s="116">
        <v>2572</v>
      </c>
      <c r="E731" s="116">
        <v>2039</v>
      </c>
      <c r="F731" s="116" t="s">
        <v>2036</v>
      </c>
    </row>
    <row r="732" spans="1:6" ht="13.2">
      <c r="A732" s="116">
        <v>8002609</v>
      </c>
      <c r="B732" s="116">
        <v>190520</v>
      </c>
      <c r="C732" s="117" t="s">
        <v>3710</v>
      </c>
      <c r="D732" s="116">
        <v>2572</v>
      </c>
      <c r="E732" s="116">
        <v>2039</v>
      </c>
      <c r="F732" s="116" t="s">
        <v>2036</v>
      </c>
    </row>
    <row r="733" spans="1:6" ht="13.2">
      <c r="A733" s="116">
        <v>8003501</v>
      </c>
      <c r="B733" s="116">
        <v>190590</v>
      </c>
      <c r="C733" s="117" t="s">
        <v>3711</v>
      </c>
      <c r="D733" s="116">
        <v>2572</v>
      </c>
      <c r="E733" s="116">
        <v>2039</v>
      </c>
      <c r="F733" s="116" t="s">
        <v>2036</v>
      </c>
    </row>
    <row r="734" spans="1:6" ht="13.2">
      <c r="A734" s="116">
        <v>8003601</v>
      </c>
      <c r="B734" s="116">
        <v>190220</v>
      </c>
      <c r="C734" s="117" t="s">
        <v>3712</v>
      </c>
      <c r="D734" s="116">
        <v>2572</v>
      </c>
      <c r="E734" s="116">
        <v>2039</v>
      </c>
      <c r="F734" s="116" t="s">
        <v>2036</v>
      </c>
    </row>
    <row r="735" spans="1:6" ht="13.2">
      <c r="A735" s="116">
        <v>8003701</v>
      </c>
      <c r="B735" s="116">
        <v>190590</v>
      </c>
      <c r="C735" s="117" t="s">
        <v>3713</v>
      </c>
      <c r="D735" s="116">
        <v>3000</v>
      </c>
      <c r="E735" s="116">
        <v>1270</v>
      </c>
      <c r="F735" s="116" t="s">
        <v>2062</v>
      </c>
    </row>
    <row r="736" spans="1:6" ht="13.2">
      <c r="A736" s="116">
        <v>8003702</v>
      </c>
      <c r="B736" s="116">
        <v>190590</v>
      </c>
      <c r="C736" s="117" t="s">
        <v>3714</v>
      </c>
      <c r="D736" s="116">
        <v>9525</v>
      </c>
      <c r="E736" s="116">
        <v>1730</v>
      </c>
      <c r="F736" s="116" t="s">
        <v>2030</v>
      </c>
    </row>
    <row r="737" spans="1:6" ht="13.2">
      <c r="A737" s="116">
        <v>8003902</v>
      </c>
      <c r="B737" s="116">
        <v>190590</v>
      </c>
      <c r="C737" s="117" t="s">
        <v>3715</v>
      </c>
      <c r="D737" s="116">
        <v>1796</v>
      </c>
      <c r="E737" s="116">
        <v>1270</v>
      </c>
      <c r="F737" s="116" t="s">
        <v>2062</v>
      </c>
    </row>
    <row r="738" spans="1:6" ht="13.2">
      <c r="A738" s="116">
        <v>8004701</v>
      </c>
      <c r="B738" s="116">
        <v>190590</v>
      </c>
      <c r="C738" s="117" t="s">
        <v>3716</v>
      </c>
      <c r="D738" s="116">
        <v>1796</v>
      </c>
      <c r="E738" s="116">
        <v>1270</v>
      </c>
      <c r="F738" s="116" t="s">
        <v>2062</v>
      </c>
    </row>
    <row r="739" spans="1:6" ht="13.2">
      <c r="A739" s="116">
        <v>8004801</v>
      </c>
      <c r="B739" s="116">
        <v>190530</v>
      </c>
      <c r="C739" s="117" t="s">
        <v>3717</v>
      </c>
      <c r="D739" s="116">
        <v>1644</v>
      </c>
      <c r="E739" s="116">
        <v>1917</v>
      </c>
      <c r="F739" s="116" t="s">
        <v>2714</v>
      </c>
    </row>
    <row r="740" spans="1:6" ht="13.2">
      <c r="A740" s="116">
        <v>8004807</v>
      </c>
      <c r="B740" s="116">
        <v>190530</v>
      </c>
      <c r="C740" s="117" t="s">
        <v>3718</v>
      </c>
      <c r="D740" s="116">
        <v>1796</v>
      </c>
      <c r="E740" s="116">
        <v>1270</v>
      </c>
      <c r="F740" s="116" t="s">
        <v>2062</v>
      </c>
    </row>
    <row r="741" spans="1:6" ht="13.2">
      <c r="A741" s="116">
        <v>8004809</v>
      </c>
      <c r="B741" s="116">
        <v>190530</v>
      </c>
      <c r="C741" s="117" t="s">
        <v>3719</v>
      </c>
      <c r="D741" s="116">
        <v>1817</v>
      </c>
      <c r="E741" s="116">
        <v>1720</v>
      </c>
      <c r="F741" s="116" t="s">
        <v>2717</v>
      </c>
    </row>
    <row r="742" spans="1:6" ht="13.2">
      <c r="A742" s="116">
        <v>8004810</v>
      </c>
      <c r="B742" s="116">
        <v>190530</v>
      </c>
      <c r="C742" s="117" t="s">
        <v>3720</v>
      </c>
      <c r="D742" s="116">
        <v>1642</v>
      </c>
      <c r="E742" s="116">
        <v>2233</v>
      </c>
      <c r="F742" s="116" t="s">
        <v>2318</v>
      </c>
    </row>
    <row r="743" spans="1:6" ht="13.2">
      <c r="A743" s="116">
        <v>8004813</v>
      </c>
      <c r="B743" s="116">
        <v>190590</v>
      </c>
      <c r="C743" s="117" t="s">
        <v>3721</v>
      </c>
      <c r="D743" s="116">
        <v>1642</v>
      </c>
      <c r="E743" s="116">
        <v>2233</v>
      </c>
      <c r="F743" s="116" t="s">
        <v>2318</v>
      </c>
    </row>
    <row r="744" spans="1:6" ht="13.2">
      <c r="A744" s="116">
        <v>8004814</v>
      </c>
      <c r="B744" s="116">
        <v>190530</v>
      </c>
      <c r="C744" s="117" t="s">
        <v>3722</v>
      </c>
      <c r="D744" s="116">
        <v>1547</v>
      </c>
      <c r="E744" s="116">
        <v>2462</v>
      </c>
      <c r="F744" s="116" t="s">
        <v>2721</v>
      </c>
    </row>
    <row r="745" spans="1:6" ht="13.2">
      <c r="A745" s="116">
        <v>8005201</v>
      </c>
      <c r="B745" s="116">
        <v>190590</v>
      </c>
      <c r="C745" s="117" t="s">
        <v>3723</v>
      </c>
      <c r="D745" s="116">
        <v>2379</v>
      </c>
      <c r="E745" s="116">
        <v>1897</v>
      </c>
      <c r="F745" s="116" t="s">
        <v>2723</v>
      </c>
    </row>
    <row r="746" spans="1:6" ht="13.2">
      <c r="A746" s="116">
        <v>8006501</v>
      </c>
      <c r="B746" s="116">
        <v>190590</v>
      </c>
      <c r="C746" s="117" t="s">
        <v>3724</v>
      </c>
      <c r="D746" s="116">
        <v>1642</v>
      </c>
      <c r="E746" s="116">
        <v>2233</v>
      </c>
      <c r="F746" s="116" t="s">
        <v>2318</v>
      </c>
    </row>
    <row r="747" spans="1:6" ht="13.2">
      <c r="A747" s="116">
        <v>8006601</v>
      </c>
      <c r="B747" s="116">
        <v>190590</v>
      </c>
      <c r="C747" s="117" t="s">
        <v>3725</v>
      </c>
      <c r="D747" s="116">
        <v>2250</v>
      </c>
      <c r="E747" s="116">
        <v>1270</v>
      </c>
      <c r="F747" s="116" t="s">
        <v>2036</v>
      </c>
    </row>
    <row r="748" spans="1:6" ht="13.2">
      <c r="A748" s="116">
        <v>8006701</v>
      </c>
      <c r="B748" s="116">
        <v>190590</v>
      </c>
      <c r="C748" s="117" t="s">
        <v>3726</v>
      </c>
      <c r="D748" s="116">
        <v>1796</v>
      </c>
      <c r="E748" s="116">
        <v>1270</v>
      </c>
      <c r="F748" s="116" t="s">
        <v>2062</v>
      </c>
    </row>
    <row r="749" spans="1:6" ht="13.2">
      <c r="A749" s="116">
        <v>8006801</v>
      </c>
      <c r="B749" s="116">
        <v>190590</v>
      </c>
      <c r="C749" s="117" t="s">
        <v>3727</v>
      </c>
      <c r="D749" s="116">
        <v>1796</v>
      </c>
      <c r="E749" s="116">
        <v>1270</v>
      </c>
      <c r="F749" s="116" t="s">
        <v>2062</v>
      </c>
    </row>
    <row r="750" spans="1:6" ht="13.2">
      <c r="A750" s="116">
        <v>8007001</v>
      </c>
      <c r="B750" s="116">
        <v>190590</v>
      </c>
      <c r="C750" s="117" t="s">
        <v>3728</v>
      </c>
      <c r="D750" s="116">
        <v>1796</v>
      </c>
      <c r="E750" s="116">
        <v>1270</v>
      </c>
      <c r="F750" s="116" t="s">
        <v>2062</v>
      </c>
    </row>
    <row r="751" spans="1:6" ht="13.2">
      <c r="A751" s="116">
        <v>8007101</v>
      </c>
      <c r="B751" s="116">
        <v>190590</v>
      </c>
      <c r="C751" s="117" t="s">
        <v>3729</v>
      </c>
      <c r="D751" s="116">
        <v>1796</v>
      </c>
      <c r="E751" s="116">
        <v>1270</v>
      </c>
      <c r="F751" s="116" t="s">
        <v>2062</v>
      </c>
    </row>
    <row r="752" spans="1:6" ht="13.2">
      <c r="A752" s="116">
        <v>8007302</v>
      </c>
      <c r="B752" s="116">
        <v>190220</v>
      </c>
      <c r="C752" s="117" t="s">
        <v>3730</v>
      </c>
      <c r="D752" s="116">
        <v>1796</v>
      </c>
      <c r="E752" s="116">
        <v>1270</v>
      </c>
      <c r="F752" s="116" t="s">
        <v>2062</v>
      </c>
    </row>
    <row r="753" spans="1:6" ht="13.2">
      <c r="A753" s="116">
        <v>8007402</v>
      </c>
      <c r="B753" s="116">
        <v>190220</v>
      </c>
      <c r="C753" s="117" t="s">
        <v>3731</v>
      </c>
      <c r="D753" s="116">
        <v>1796</v>
      </c>
      <c r="E753" s="116">
        <v>1270</v>
      </c>
      <c r="F753" s="116" t="s">
        <v>2062</v>
      </c>
    </row>
    <row r="754" spans="1:6" ht="13.2">
      <c r="A754" s="116">
        <v>8007501</v>
      </c>
      <c r="B754" s="116">
        <v>190520</v>
      </c>
      <c r="C754" s="117" t="s">
        <v>3732</v>
      </c>
      <c r="D754" s="116">
        <v>9525</v>
      </c>
      <c r="E754" s="116">
        <v>1730</v>
      </c>
      <c r="F754" s="116" t="s">
        <v>2030</v>
      </c>
    </row>
    <row r="755" spans="1:6" ht="13.2">
      <c r="A755" s="116">
        <v>8007601</v>
      </c>
      <c r="B755" s="116">
        <v>190520</v>
      </c>
      <c r="C755" s="117" t="s">
        <v>3733</v>
      </c>
      <c r="D755" s="116">
        <v>9525</v>
      </c>
      <c r="E755" s="116">
        <v>1730</v>
      </c>
      <c r="F755" s="116" t="s">
        <v>2030</v>
      </c>
    </row>
    <row r="756" spans="1:6" ht="13.2">
      <c r="A756" s="116">
        <v>8007701</v>
      </c>
      <c r="B756" s="116">
        <v>190520</v>
      </c>
      <c r="C756" s="117" t="s">
        <v>3734</v>
      </c>
      <c r="D756" s="116">
        <v>2572</v>
      </c>
      <c r="E756" s="116">
        <v>2039</v>
      </c>
      <c r="F756" s="116" t="s">
        <v>2036</v>
      </c>
    </row>
    <row r="757" spans="1:6" ht="13.2">
      <c r="A757" s="116">
        <v>8008001</v>
      </c>
      <c r="B757" s="116">
        <v>190520</v>
      </c>
      <c r="C757" s="117" t="s">
        <v>3735</v>
      </c>
      <c r="D757" s="116">
        <v>2572</v>
      </c>
      <c r="E757" s="116">
        <v>2039</v>
      </c>
      <c r="F757" s="116" t="s">
        <v>2036</v>
      </c>
    </row>
    <row r="758" spans="1:6" ht="13.2">
      <c r="A758" s="116">
        <v>8008201</v>
      </c>
      <c r="B758" s="116">
        <v>190520</v>
      </c>
      <c r="C758" s="117" t="s">
        <v>3736</v>
      </c>
      <c r="D758" s="116">
        <v>2559</v>
      </c>
      <c r="E758" s="116">
        <v>2039</v>
      </c>
      <c r="F758" s="116" t="s">
        <v>2736</v>
      </c>
    </row>
    <row r="759" spans="1:6" ht="13.2">
      <c r="A759" s="116">
        <v>8008301</v>
      </c>
      <c r="B759" s="116">
        <v>190530</v>
      </c>
      <c r="C759" s="117" t="s">
        <v>3737</v>
      </c>
      <c r="D759" s="116">
        <v>2572</v>
      </c>
      <c r="E759" s="116">
        <v>2039</v>
      </c>
      <c r="F759" s="116" t="s">
        <v>2036</v>
      </c>
    </row>
    <row r="760" spans="1:6" ht="13.2">
      <c r="A760" s="116">
        <v>8008305</v>
      </c>
      <c r="B760" s="116">
        <v>190530</v>
      </c>
      <c r="C760" s="117" t="s">
        <v>3738</v>
      </c>
      <c r="D760" s="116">
        <v>2572</v>
      </c>
      <c r="E760" s="116">
        <v>2039</v>
      </c>
      <c r="F760" s="116" t="s">
        <v>2036</v>
      </c>
    </row>
    <row r="761" spans="1:6" ht="13.2">
      <c r="A761" s="116">
        <v>8008307</v>
      </c>
      <c r="B761" s="116">
        <v>190530</v>
      </c>
      <c r="C761" s="117" t="s">
        <v>3739</v>
      </c>
      <c r="D761" s="116">
        <v>1642</v>
      </c>
      <c r="E761" s="116">
        <v>2233</v>
      </c>
      <c r="F761" s="116" t="s">
        <v>2318</v>
      </c>
    </row>
    <row r="762" spans="1:6" ht="13.2">
      <c r="A762" s="116">
        <v>8008309</v>
      </c>
      <c r="B762" s="116">
        <v>190530</v>
      </c>
      <c r="C762" s="117" t="s">
        <v>3740</v>
      </c>
      <c r="D762" s="116">
        <v>1642</v>
      </c>
      <c r="E762" s="116">
        <v>2233</v>
      </c>
      <c r="F762" s="116" t="s">
        <v>2318</v>
      </c>
    </row>
    <row r="763" spans="1:6" ht="13.2">
      <c r="A763" s="116">
        <v>8008310</v>
      </c>
      <c r="B763" s="116">
        <v>190530</v>
      </c>
      <c r="C763" s="117" t="s">
        <v>3741</v>
      </c>
      <c r="D763" s="116">
        <v>1642</v>
      </c>
      <c r="E763" s="116">
        <v>2233</v>
      </c>
      <c r="F763" s="116" t="s">
        <v>2318</v>
      </c>
    </row>
    <row r="764" spans="1:6" ht="13.2">
      <c r="A764" s="116">
        <v>8008401</v>
      </c>
      <c r="B764" s="116">
        <v>190530</v>
      </c>
      <c r="C764" s="117" t="s">
        <v>3742</v>
      </c>
      <c r="D764" s="116">
        <v>1642</v>
      </c>
      <c r="E764" s="116">
        <v>2233</v>
      </c>
      <c r="F764" s="116" t="s">
        <v>2318</v>
      </c>
    </row>
    <row r="765" spans="1:6" ht="13.2">
      <c r="A765" s="116">
        <v>8008408</v>
      </c>
      <c r="B765" s="116">
        <v>190530</v>
      </c>
      <c r="C765" s="117" t="s">
        <v>3743</v>
      </c>
      <c r="D765" s="116">
        <v>2943</v>
      </c>
      <c r="E765" s="116">
        <v>5466</v>
      </c>
      <c r="F765" s="116" t="s">
        <v>2744</v>
      </c>
    </row>
    <row r="766" spans="1:6" ht="13.2">
      <c r="A766" s="116">
        <v>8008410</v>
      </c>
      <c r="B766" s="116">
        <v>190530</v>
      </c>
      <c r="C766" s="117" t="s">
        <v>3744</v>
      </c>
      <c r="D766" s="116">
        <v>1642</v>
      </c>
      <c r="E766" s="116">
        <v>2233</v>
      </c>
      <c r="F766" s="116" t="s">
        <v>2318</v>
      </c>
    </row>
    <row r="767" spans="1:6" ht="13.2">
      <c r="A767" s="116">
        <v>8010001</v>
      </c>
      <c r="B767" s="116">
        <v>190520</v>
      </c>
      <c r="C767" s="117" t="s">
        <v>3745</v>
      </c>
      <c r="D767" s="116">
        <v>1642</v>
      </c>
      <c r="E767" s="116">
        <v>2233</v>
      </c>
      <c r="F767" s="116" t="s">
        <v>2318</v>
      </c>
    </row>
    <row r="768" spans="1:6" ht="13.2">
      <c r="A768" s="116">
        <v>8010029</v>
      </c>
      <c r="B768" s="116">
        <v>190520</v>
      </c>
      <c r="C768" s="117" t="s">
        <v>3746</v>
      </c>
      <c r="D768" s="116">
        <v>1642</v>
      </c>
      <c r="E768" s="116">
        <v>2233</v>
      </c>
      <c r="F768" s="116" t="s">
        <v>2318</v>
      </c>
    </row>
    <row r="769" spans="1:6" ht="13.2">
      <c r="A769" s="116">
        <v>8010034</v>
      </c>
      <c r="B769" s="116">
        <v>190520</v>
      </c>
      <c r="C769" s="117" t="s">
        <v>3747</v>
      </c>
      <c r="D769" s="116">
        <v>2572</v>
      </c>
      <c r="E769" s="116">
        <v>2039</v>
      </c>
      <c r="F769" s="116" t="s">
        <v>2036</v>
      </c>
    </row>
    <row r="770" spans="1:6" ht="13.2">
      <c r="A770" s="116">
        <v>8010101</v>
      </c>
      <c r="B770" s="116">
        <v>190590</v>
      </c>
      <c r="C770" s="117" t="s">
        <v>3748</v>
      </c>
      <c r="D770" s="116">
        <v>2572</v>
      </c>
      <c r="E770" s="116">
        <v>2039</v>
      </c>
      <c r="F770" s="116" t="s">
        <v>2036</v>
      </c>
    </row>
    <row r="771" spans="1:6" ht="13.2">
      <c r="A771" s="116">
        <v>8010125</v>
      </c>
      <c r="B771" s="116">
        <v>190590</v>
      </c>
      <c r="C771" s="117" t="s">
        <v>3749</v>
      </c>
      <c r="D771" s="116">
        <v>2572</v>
      </c>
      <c r="E771" s="116">
        <v>2039</v>
      </c>
      <c r="F771" s="116" t="s">
        <v>2036</v>
      </c>
    </row>
    <row r="772" spans="1:6" ht="13.2">
      <c r="A772" s="116">
        <v>8010127</v>
      </c>
      <c r="B772" s="116">
        <v>190590</v>
      </c>
      <c r="C772" s="117" t="s">
        <v>3750</v>
      </c>
      <c r="D772" s="116">
        <v>1796</v>
      </c>
      <c r="E772" s="116">
        <v>1270</v>
      </c>
      <c r="F772" s="116" t="s">
        <v>2062</v>
      </c>
    </row>
    <row r="773" spans="1:6" ht="13.2">
      <c r="A773" s="116">
        <v>8010401</v>
      </c>
      <c r="B773" s="116">
        <v>190530</v>
      </c>
      <c r="C773" s="117" t="s">
        <v>3751</v>
      </c>
      <c r="D773" s="116">
        <v>1796</v>
      </c>
      <c r="E773" s="116">
        <v>1270</v>
      </c>
      <c r="F773" s="116" t="s">
        <v>2062</v>
      </c>
    </row>
    <row r="774" spans="1:6" ht="13.2">
      <c r="A774" s="116">
        <v>8010434</v>
      </c>
      <c r="B774" s="116">
        <v>190530</v>
      </c>
      <c r="C774" s="117" t="s">
        <v>3752</v>
      </c>
      <c r="D774" s="116">
        <v>1796</v>
      </c>
      <c r="E774" s="116">
        <v>1270</v>
      </c>
      <c r="F774" s="116" t="s">
        <v>2062</v>
      </c>
    </row>
    <row r="775" spans="1:6" ht="13.2">
      <c r="A775" s="116">
        <v>8010501</v>
      </c>
      <c r="B775" s="116">
        <v>190530</v>
      </c>
      <c r="C775" s="117" t="s">
        <v>3753</v>
      </c>
      <c r="D775" s="116">
        <v>1642</v>
      </c>
      <c r="E775" s="116">
        <v>2233</v>
      </c>
      <c r="F775" s="116" t="s">
        <v>2318</v>
      </c>
    </row>
    <row r="776" spans="1:6" ht="13.2">
      <c r="A776" s="116">
        <v>8010534</v>
      </c>
      <c r="B776" s="116">
        <v>190530</v>
      </c>
      <c r="C776" s="117" t="s">
        <v>3754</v>
      </c>
      <c r="D776" s="116">
        <v>1642</v>
      </c>
      <c r="E776" s="116">
        <v>2233</v>
      </c>
      <c r="F776" s="116" t="s">
        <v>2318</v>
      </c>
    </row>
    <row r="777" spans="1:6" ht="13.2">
      <c r="A777" s="116">
        <v>8100101</v>
      </c>
      <c r="B777" s="116">
        <v>21020</v>
      </c>
      <c r="C777" s="117" t="s">
        <v>3755</v>
      </c>
      <c r="D777" s="116">
        <v>1642</v>
      </c>
      <c r="E777" s="116">
        <v>2233</v>
      </c>
      <c r="F777" s="116" t="s">
        <v>2318</v>
      </c>
    </row>
    <row r="778" spans="1:6" ht="13.2">
      <c r="A778" s="116">
        <v>8100102</v>
      </c>
      <c r="B778" s="116">
        <v>21020</v>
      </c>
      <c r="C778" s="117" t="s">
        <v>3756</v>
      </c>
      <c r="D778" s="116">
        <v>1642</v>
      </c>
      <c r="E778" s="116">
        <v>2233</v>
      </c>
      <c r="F778" s="116" t="s">
        <v>2318</v>
      </c>
    </row>
    <row r="779" spans="1:6" ht="13.2">
      <c r="A779" s="116">
        <v>8100103</v>
      </c>
      <c r="B779" s="116">
        <v>21020</v>
      </c>
      <c r="C779" s="117" t="s">
        <v>3757</v>
      </c>
      <c r="D779" s="116">
        <v>26938</v>
      </c>
      <c r="E779" s="116">
        <v>25255</v>
      </c>
      <c r="F779" s="116" t="s">
        <v>2436</v>
      </c>
    </row>
    <row r="780" spans="1:6" ht="13.2">
      <c r="A780" s="116">
        <v>8100201</v>
      </c>
      <c r="B780" s="116">
        <v>21020</v>
      </c>
      <c r="C780" s="117" t="s">
        <v>3758</v>
      </c>
      <c r="D780" s="116">
        <v>26938</v>
      </c>
      <c r="E780" s="116">
        <v>25255</v>
      </c>
      <c r="F780" s="116" t="s">
        <v>2436</v>
      </c>
    </row>
    <row r="781" spans="1:6" ht="13.2">
      <c r="A781" s="116">
        <v>8100202</v>
      </c>
      <c r="B781" s="116">
        <v>21020</v>
      </c>
      <c r="C781" s="117" t="s">
        <v>3759</v>
      </c>
      <c r="D781" s="116">
        <v>26938</v>
      </c>
      <c r="E781" s="116">
        <v>25255</v>
      </c>
      <c r="F781" s="116" t="s">
        <v>2436</v>
      </c>
    </row>
    <row r="782" spans="1:6" ht="13.2">
      <c r="A782" s="116">
        <v>8100502</v>
      </c>
      <c r="B782" s="116">
        <v>160250</v>
      </c>
      <c r="C782" s="117" t="s">
        <v>3760</v>
      </c>
      <c r="D782" s="116">
        <v>26938</v>
      </c>
      <c r="E782" s="116">
        <v>25255</v>
      </c>
      <c r="F782" s="116" t="s">
        <v>2436</v>
      </c>
    </row>
    <row r="783" spans="1:6" ht="13.2">
      <c r="A783" s="116">
        <v>8100802</v>
      </c>
      <c r="B783" s="116">
        <v>21019</v>
      </c>
      <c r="C783" s="117" t="s">
        <v>3761</v>
      </c>
      <c r="D783" s="116">
        <v>26938</v>
      </c>
      <c r="E783" s="116">
        <v>25255</v>
      </c>
      <c r="F783" s="116" t="s">
        <v>2436</v>
      </c>
    </row>
    <row r="784" spans="1:6" ht="13.2">
      <c r="A784" s="116">
        <v>8101005</v>
      </c>
      <c r="B784" s="116">
        <v>21012</v>
      </c>
      <c r="C784" s="117" t="s">
        <v>3762</v>
      </c>
      <c r="D784" s="116">
        <v>14500</v>
      </c>
      <c r="E784" s="116">
        <v>12800</v>
      </c>
      <c r="F784" s="116" t="s">
        <v>2489</v>
      </c>
    </row>
    <row r="785" spans="1:6" ht="13.2">
      <c r="A785" s="116">
        <v>8101101</v>
      </c>
      <c r="B785" s="116">
        <v>160250</v>
      </c>
      <c r="C785" s="117" t="s">
        <v>3763</v>
      </c>
      <c r="D785" s="116">
        <v>7875</v>
      </c>
      <c r="E785" s="116">
        <v>7240</v>
      </c>
      <c r="F785" s="116" t="s">
        <v>2436</v>
      </c>
    </row>
    <row r="786" spans="1:6" ht="13.2">
      <c r="A786" s="116">
        <v>8102101</v>
      </c>
      <c r="B786" s="116">
        <v>160100</v>
      </c>
      <c r="C786" s="117" t="s">
        <v>3764</v>
      </c>
      <c r="D786" s="116">
        <v>10200</v>
      </c>
      <c r="E786" s="116">
        <v>7360</v>
      </c>
      <c r="F786" s="116" t="s">
        <v>2436</v>
      </c>
    </row>
    <row r="787" spans="1:6" ht="13.2">
      <c r="A787" s="116">
        <v>8102204</v>
      </c>
      <c r="B787" s="116">
        <v>160100</v>
      </c>
      <c r="C787" s="117" t="s">
        <v>3765</v>
      </c>
      <c r="D787" s="116">
        <v>14500</v>
      </c>
      <c r="E787" s="116">
        <v>12800</v>
      </c>
      <c r="F787" s="116" t="s">
        <v>2489</v>
      </c>
    </row>
    <row r="788" spans="1:6" ht="13.2">
      <c r="A788" s="116">
        <v>8102207</v>
      </c>
      <c r="B788" s="116">
        <v>160100</v>
      </c>
      <c r="C788" s="117" t="s">
        <v>3766</v>
      </c>
      <c r="D788" s="116">
        <v>3533</v>
      </c>
      <c r="E788" s="116">
        <v>12800</v>
      </c>
      <c r="F788" s="116" t="s">
        <v>2489</v>
      </c>
    </row>
    <row r="789" spans="1:6" ht="13.2">
      <c r="A789" s="116">
        <v>8102401</v>
      </c>
      <c r="B789" s="116">
        <v>160100</v>
      </c>
      <c r="C789" s="117" t="s">
        <v>3767</v>
      </c>
      <c r="D789" s="116">
        <v>17800</v>
      </c>
      <c r="E789" s="116">
        <v>15600</v>
      </c>
      <c r="F789" s="116" t="s">
        <v>2489</v>
      </c>
    </row>
    <row r="790" spans="1:6" ht="13.2">
      <c r="A790" s="116">
        <v>8102402</v>
      </c>
      <c r="B790" s="116">
        <v>160100</v>
      </c>
      <c r="C790" s="117" t="s">
        <v>3768</v>
      </c>
      <c r="D790" s="116">
        <v>14550</v>
      </c>
      <c r="E790" s="116">
        <v>12800</v>
      </c>
      <c r="F790" s="116" t="s">
        <v>2489</v>
      </c>
    </row>
    <row r="791" spans="1:6" ht="13.2">
      <c r="A791" s="116">
        <v>8102403</v>
      </c>
      <c r="B791" s="116">
        <v>160100</v>
      </c>
      <c r="C791" s="117" t="s">
        <v>3769</v>
      </c>
      <c r="D791" s="116">
        <v>14550</v>
      </c>
      <c r="E791" s="116">
        <v>12800</v>
      </c>
      <c r="F791" s="116" t="s">
        <v>2489</v>
      </c>
    </row>
    <row r="792" spans="1:6" ht="13.2">
      <c r="A792" s="116">
        <v>8102501</v>
      </c>
      <c r="B792" s="116">
        <v>160100</v>
      </c>
      <c r="C792" s="117" t="s">
        <v>3770</v>
      </c>
      <c r="D792" s="116">
        <v>14550</v>
      </c>
      <c r="E792" s="116">
        <v>12800</v>
      </c>
      <c r="F792" s="116" t="s">
        <v>2489</v>
      </c>
    </row>
    <row r="793" spans="1:6" ht="13.2">
      <c r="A793" s="116">
        <v>8102601</v>
      </c>
      <c r="B793" s="116">
        <v>160100</v>
      </c>
      <c r="C793" s="117" t="s">
        <v>3771</v>
      </c>
      <c r="D793" s="116">
        <v>14550</v>
      </c>
      <c r="E793" s="116">
        <v>12800</v>
      </c>
      <c r="F793" s="116" t="s">
        <v>2489</v>
      </c>
    </row>
    <row r="794" spans="1:6" ht="13.2">
      <c r="A794" s="116">
        <v>8102701</v>
      </c>
      <c r="B794" s="116">
        <v>160100</v>
      </c>
      <c r="C794" s="117" t="s">
        <v>3772</v>
      </c>
      <c r="D794" s="116">
        <v>14550</v>
      </c>
      <c r="E794" s="116">
        <v>12800</v>
      </c>
      <c r="F794" s="116" t="s">
        <v>2489</v>
      </c>
    </row>
    <row r="795" spans="1:6" ht="13.2">
      <c r="A795" s="116">
        <v>8102702</v>
      </c>
      <c r="B795" s="116">
        <v>160100</v>
      </c>
      <c r="C795" s="117" t="s">
        <v>3773</v>
      </c>
      <c r="D795" s="116">
        <v>14550</v>
      </c>
      <c r="E795" s="116">
        <v>12800</v>
      </c>
      <c r="F795" s="116" t="s">
        <v>2489</v>
      </c>
    </row>
    <row r="796" spans="1:6" ht="13.2">
      <c r="A796" s="116">
        <v>8102801</v>
      </c>
      <c r="B796" s="116">
        <v>160231</v>
      </c>
      <c r="C796" s="117" t="s">
        <v>3774</v>
      </c>
      <c r="D796" s="116">
        <v>14550</v>
      </c>
      <c r="E796" s="116">
        <v>12800</v>
      </c>
      <c r="F796" s="116" t="s">
        <v>2489</v>
      </c>
    </row>
    <row r="797" spans="1:6" ht="13.2">
      <c r="A797" s="116">
        <v>8102901</v>
      </c>
      <c r="B797" s="116">
        <v>21019</v>
      </c>
      <c r="C797" s="117" t="s">
        <v>3775</v>
      </c>
      <c r="D797" s="116">
        <v>11300</v>
      </c>
      <c r="E797" s="116">
        <v>10000</v>
      </c>
      <c r="F797" s="116" t="s">
        <v>2489</v>
      </c>
    </row>
    <row r="798" spans="1:6" ht="13.2">
      <c r="A798" s="116">
        <v>8103001</v>
      </c>
      <c r="B798" s="116">
        <v>160232</v>
      </c>
      <c r="C798" s="117" t="s">
        <v>3776</v>
      </c>
      <c r="D798" s="116">
        <v>4225</v>
      </c>
      <c r="E798" s="116">
        <v>12800</v>
      </c>
      <c r="F798" s="116" t="s">
        <v>2489</v>
      </c>
    </row>
    <row r="799" spans="1:6" ht="13.2">
      <c r="A799" s="116">
        <v>8103101</v>
      </c>
      <c r="B799" s="116">
        <v>160250</v>
      </c>
      <c r="C799" s="117" t="s">
        <v>3777</v>
      </c>
      <c r="D799" s="116">
        <v>7875</v>
      </c>
      <c r="E799" s="116">
        <v>7240</v>
      </c>
      <c r="F799" s="116" t="s">
        <v>2436</v>
      </c>
    </row>
    <row r="800" spans="1:6" ht="13.2">
      <c r="A800" s="116">
        <v>8103601</v>
      </c>
      <c r="B800" s="116">
        <v>160249</v>
      </c>
      <c r="C800" s="117" t="s">
        <v>3778</v>
      </c>
      <c r="D800" s="116">
        <v>4225</v>
      </c>
      <c r="E800" s="116">
        <v>12800</v>
      </c>
      <c r="F800" s="116" t="s">
        <v>2489</v>
      </c>
    </row>
    <row r="801" spans="1:6" ht="13.2">
      <c r="A801" s="116">
        <v>8103901</v>
      </c>
      <c r="B801" s="116">
        <v>21019</v>
      </c>
      <c r="C801" s="117" t="s">
        <v>3779</v>
      </c>
      <c r="D801" s="116">
        <v>14500</v>
      </c>
      <c r="E801" s="116">
        <v>12800</v>
      </c>
      <c r="F801" s="116" t="s">
        <v>2489</v>
      </c>
    </row>
    <row r="802" spans="1:6" ht="13.2">
      <c r="A802" s="116">
        <v>8103902</v>
      </c>
      <c r="B802" s="116">
        <v>21019</v>
      </c>
      <c r="C802" s="117" t="s">
        <v>3780</v>
      </c>
      <c r="D802" s="116">
        <v>5300</v>
      </c>
      <c r="E802" s="116">
        <v>12800</v>
      </c>
      <c r="F802" s="116" t="s">
        <v>2489</v>
      </c>
    </row>
    <row r="803" spans="1:6" ht="13.2">
      <c r="A803" s="116">
        <v>8104001</v>
      </c>
      <c r="B803" s="116">
        <v>160220</v>
      </c>
      <c r="C803" s="117" t="s">
        <v>3781</v>
      </c>
      <c r="D803" s="116">
        <v>7875</v>
      </c>
      <c r="E803" s="116">
        <v>7240</v>
      </c>
      <c r="F803" s="116" t="s">
        <v>2436</v>
      </c>
    </row>
    <row r="804" spans="1:6" ht="13.2">
      <c r="A804" s="116">
        <v>8104101</v>
      </c>
      <c r="B804" s="116">
        <v>21019</v>
      </c>
      <c r="C804" s="117" t="s">
        <v>3782</v>
      </c>
      <c r="D804" s="116">
        <v>7875</v>
      </c>
      <c r="E804" s="116">
        <v>7240</v>
      </c>
      <c r="F804" s="116" t="s">
        <v>2436</v>
      </c>
    </row>
    <row r="805" spans="1:6" ht="13.2">
      <c r="A805" s="116">
        <v>8104601</v>
      </c>
      <c r="B805" s="116">
        <v>21020</v>
      </c>
      <c r="C805" s="117" t="s">
        <v>3783</v>
      </c>
      <c r="D805" s="116">
        <v>5300</v>
      </c>
      <c r="E805" s="116">
        <v>12800</v>
      </c>
      <c r="F805" s="116" t="s">
        <v>2489</v>
      </c>
    </row>
    <row r="806" spans="1:6" ht="13.2">
      <c r="A806" s="116">
        <v>8104904</v>
      </c>
      <c r="B806" s="116">
        <v>160230</v>
      </c>
      <c r="C806" s="117" t="s">
        <v>3784</v>
      </c>
      <c r="D806" s="116">
        <v>7875</v>
      </c>
      <c r="E806" s="116">
        <v>7240</v>
      </c>
      <c r="F806" s="116" t="s">
        <v>2436</v>
      </c>
    </row>
    <row r="807" spans="1:6" ht="13.2">
      <c r="A807" s="116">
        <v>8105001</v>
      </c>
      <c r="B807" s="116">
        <v>160100</v>
      </c>
      <c r="C807" s="117" t="s">
        <v>3785</v>
      </c>
      <c r="D807" s="116">
        <v>26938</v>
      </c>
      <c r="E807" s="116">
        <v>25255</v>
      </c>
      <c r="F807" s="116" t="s">
        <v>2436</v>
      </c>
    </row>
    <row r="808" spans="1:6" ht="13.2">
      <c r="A808" s="116">
        <v>8105201</v>
      </c>
      <c r="B808" s="116">
        <v>160100</v>
      </c>
      <c r="C808" s="117" t="s">
        <v>3786</v>
      </c>
      <c r="D808" s="116">
        <v>4225</v>
      </c>
      <c r="E808" s="116">
        <v>12800</v>
      </c>
      <c r="F808" s="116" t="s">
        <v>2489</v>
      </c>
    </row>
    <row r="809" spans="1:6" ht="13.2">
      <c r="A809" s="116">
        <v>8105401</v>
      </c>
      <c r="B809" s="116">
        <v>160100</v>
      </c>
      <c r="C809" s="117" t="s">
        <v>3787</v>
      </c>
      <c r="D809" s="116">
        <v>3533</v>
      </c>
      <c r="E809" s="116">
        <v>12800</v>
      </c>
      <c r="F809" s="116" t="s">
        <v>2489</v>
      </c>
    </row>
    <row r="810" spans="1:6" ht="13.2">
      <c r="A810" s="116">
        <v>8105501</v>
      </c>
      <c r="B810" s="116">
        <v>160231</v>
      </c>
      <c r="C810" s="117" t="s">
        <v>3788</v>
      </c>
      <c r="D810" s="116">
        <v>3533</v>
      </c>
      <c r="E810" s="116">
        <v>12800</v>
      </c>
      <c r="F810" s="116" t="s">
        <v>2489</v>
      </c>
    </row>
    <row r="811" spans="1:6" ht="13.2">
      <c r="A811" s="116">
        <v>8105701</v>
      </c>
      <c r="B811" s="116">
        <v>160250</v>
      </c>
      <c r="C811" s="117" t="s">
        <v>3789</v>
      </c>
      <c r="D811" s="116">
        <v>3533</v>
      </c>
      <c r="E811" s="116">
        <v>12800</v>
      </c>
      <c r="F811" s="116" t="s">
        <v>2489</v>
      </c>
    </row>
    <row r="812" spans="1:6" ht="13.2">
      <c r="A812" s="116">
        <v>8200101</v>
      </c>
      <c r="B812" s="116">
        <v>220210</v>
      </c>
      <c r="C812" s="117" t="s">
        <v>3790</v>
      </c>
      <c r="D812" s="116">
        <v>4225</v>
      </c>
      <c r="E812" s="116">
        <v>12800</v>
      </c>
      <c r="F812" s="116" t="s">
        <v>2489</v>
      </c>
    </row>
    <row r="813" spans="1:6" ht="13.2">
      <c r="A813" s="116">
        <v>8200102</v>
      </c>
      <c r="B813" s="116">
        <v>220210</v>
      </c>
      <c r="C813" s="117" t="s">
        <v>3791</v>
      </c>
      <c r="D813" s="116">
        <v>14500</v>
      </c>
      <c r="E813" s="116">
        <v>12800</v>
      </c>
      <c r="F813" s="116" t="s">
        <v>2489</v>
      </c>
    </row>
    <row r="814" spans="1:6" ht="13.2">
      <c r="A814" s="116">
        <v>8200202</v>
      </c>
      <c r="B814" s="116">
        <v>220210</v>
      </c>
      <c r="C814" s="117" t="s">
        <v>3792</v>
      </c>
      <c r="D814" s="116">
        <v>688</v>
      </c>
      <c r="E814" s="116">
        <v>450</v>
      </c>
      <c r="F814" s="116" t="s">
        <v>2792</v>
      </c>
    </row>
    <row r="815" spans="1:6" ht="13.2">
      <c r="A815" s="116">
        <v>8200208</v>
      </c>
      <c r="B815" s="116">
        <v>220210</v>
      </c>
      <c r="C815" s="117" t="s">
        <v>3793</v>
      </c>
      <c r="D815" s="116">
        <v>375</v>
      </c>
      <c r="E815" s="116">
        <v>450</v>
      </c>
      <c r="F815" s="116" t="s">
        <v>2792</v>
      </c>
    </row>
    <row r="816" spans="1:6" ht="13.2">
      <c r="A816" s="116">
        <v>8200301</v>
      </c>
      <c r="B816" s="116">
        <v>220210</v>
      </c>
      <c r="C816" s="117" t="s">
        <v>3794</v>
      </c>
      <c r="D816" s="116">
        <v>451</v>
      </c>
      <c r="E816" s="116">
        <v>450</v>
      </c>
      <c r="F816" s="116" t="s">
        <v>2792</v>
      </c>
    </row>
    <row r="817" spans="1:6" ht="13.2">
      <c r="A817" s="116">
        <v>8200302</v>
      </c>
      <c r="B817" s="116">
        <v>220210</v>
      </c>
      <c r="C817" s="117" t="s">
        <v>3795</v>
      </c>
      <c r="D817" s="116">
        <v>451</v>
      </c>
      <c r="E817" s="116">
        <v>450</v>
      </c>
      <c r="F817" s="116" t="s">
        <v>2792</v>
      </c>
    </row>
    <row r="818" spans="1:6" ht="13.2">
      <c r="A818" s="116">
        <v>8200407</v>
      </c>
      <c r="B818" s="116">
        <v>220210</v>
      </c>
      <c r="C818" s="117" t="s">
        <v>3796</v>
      </c>
      <c r="D818" s="116">
        <v>451</v>
      </c>
      <c r="E818" s="116">
        <v>450</v>
      </c>
      <c r="F818" s="116" t="s">
        <v>2792</v>
      </c>
    </row>
    <row r="819" spans="1:6" ht="13.2">
      <c r="A819" s="116">
        <v>8200505</v>
      </c>
      <c r="B819" s="116">
        <v>220210</v>
      </c>
      <c r="C819" s="117" t="s">
        <v>3797</v>
      </c>
      <c r="D819" s="116">
        <v>451</v>
      </c>
      <c r="E819" s="116">
        <v>450</v>
      </c>
      <c r="F819" s="116" t="s">
        <v>2792</v>
      </c>
    </row>
    <row r="820" spans="1:6" ht="13.2">
      <c r="A820" s="116">
        <v>8200701</v>
      </c>
      <c r="B820" s="116">
        <v>220210</v>
      </c>
      <c r="C820" s="117" t="s">
        <v>3798</v>
      </c>
      <c r="D820" s="116">
        <v>327</v>
      </c>
      <c r="E820" s="116">
        <v>450</v>
      </c>
      <c r="F820" s="116" t="s">
        <v>2792</v>
      </c>
    </row>
    <row r="821" spans="1:6" ht="13.2">
      <c r="A821" s="116">
        <v>8200702</v>
      </c>
      <c r="B821" s="116">
        <v>220210</v>
      </c>
      <c r="C821" s="117" t="s">
        <v>3799</v>
      </c>
      <c r="D821" s="116">
        <v>451</v>
      </c>
      <c r="E821" s="116">
        <v>450</v>
      </c>
      <c r="F821" s="116" t="s">
        <v>2792</v>
      </c>
    </row>
    <row r="822" spans="1:6" ht="13.2">
      <c r="A822" s="116">
        <v>8200801</v>
      </c>
      <c r="B822" s="116">
        <v>220210</v>
      </c>
      <c r="C822" s="117" t="s">
        <v>3800</v>
      </c>
      <c r="D822" s="116">
        <v>274</v>
      </c>
      <c r="E822" s="116">
        <v>450</v>
      </c>
      <c r="F822" s="116" t="s">
        <v>2792</v>
      </c>
    </row>
    <row r="823" spans="1:6" ht="13.2">
      <c r="A823" s="116">
        <v>8200902</v>
      </c>
      <c r="B823" s="116">
        <v>220210</v>
      </c>
      <c r="C823" s="117" t="s">
        <v>3801</v>
      </c>
      <c r="D823" s="116">
        <v>274</v>
      </c>
      <c r="E823" s="116">
        <v>450</v>
      </c>
      <c r="F823" s="116" t="s">
        <v>2792</v>
      </c>
    </row>
    <row r="824" spans="1:6" ht="13.2">
      <c r="A824" s="116">
        <v>8201104</v>
      </c>
      <c r="B824" s="116">
        <v>90210</v>
      </c>
      <c r="C824" s="117" t="s">
        <v>3802</v>
      </c>
      <c r="D824" s="116">
        <v>274</v>
      </c>
      <c r="E824" s="116">
        <v>450</v>
      </c>
      <c r="F824" s="116" t="s">
        <v>2792</v>
      </c>
    </row>
    <row r="825" spans="1:6" ht="13.2">
      <c r="A825" s="116">
        <v>8201202</v>
      </c>
      <c r="B825" s="116">
        <v>220210</v>
      </c>
      <c r="C825" s="117" t="s">
        <v>3803</v>
      </c>
      <c r="D825" s="116">
        <v>451</v>
      </c>
      <c r="E825" s="116">
        <v>450</v>
      </c>
      <c r="F825" s="116" t="s">
        <v>2792</v>
      </c>
    </row>
    <row r="826" spans="1:6" ht="13.2">
      <c r="A826" s="116">
        <v>8201502</v>
      </c>
      <c r="B826" s="116">
        <v>220210</v>
      </c>
      <c r="C826" s="117" t="s">
        <v>3804</v>
      </c>
      <c r="D826" s="116">
        <v>330</v>
      </c>
      <c r="E826" s="116">
        <v>7404</v>
      </c>
      <c r="F826" s="116" t="s">
        <v>2805</v>
      </c>
    </row>
    <row r="827" spans="1:6" ht="13.2">
      <c r="A827" s="116">
        <v>8201601</v>
      </c>
      <c r="B827" s="116">
        <v>220210</v>
      </c>
      <c r="C827" s="117" t="s">
        <v>3805</v>
      </c>
      <c r="D827" s="116">
        <v>451</v>
      </c>
      <c r="E827" s="116">
        <v>450</v>
      </c>
      <c r="F827" s="116" t="s">
        <v>2792</v>
      </c>
    </row>
    <row r="828" spans="1:6" ht="13.2">
      <c r="A828" s="116">
        <v>8201602</v>
      </c>
      <c r="B828" s="116">
        <v>220210</v>
      </c>
      <c r="C828" s="117" t="s">
        <v>3806</v>
      </c>
      <c r="D828" s="116">
        <v>451</v>
      </c>
      <c r="E828" s="116">
        <v>450</v>
      </c>
      <c r="F828" s="116" t="s">
        <v>2792</v>
      </c>
    </row>
    <row r="829" spans="1:6" ht="13.2">
      <c r="A829" s="116">
        <v>8201802</v>
      </c>
      <c r="B829" s="116">
        <v>220210</v>
      </c>
      <c r="C829" s="117" t="s">
        <v>3807</v>
      </c>
      <c r="D829" s="116">
        <v>451</v>
      </c>
      <c r="E829" s="116">
        <v>450</v>
      </c>
      <c r="F829" s="116" t="s">
        <v>2792</v>
      </c>
    </row>
    <row r="830" spans="1:6" ht="13.2">
      <c r="A830" s="116">
        <v>8201902</v>
      </c>
      <c r="B830" s="116">
        <v>220210</v>
      </c>
      <c r="C830" s="117" t="s">
        <v>3808</v>
      </c>
      <c r="D830" s="116">
        <v>451</v>
      </c>
      <c r="E830" s="116">
        <v>450</v>
      </c>
      <c r="F830" s="116" t="s">
        <v>2792</v>
      </c>
    </row>
    <row r="831" spans="1:6" ht="13.2">
      <c r="A831" s="116">
        <v>8202001</v>
      </c>
      <c r="B831" s="116">
        <v>200990</v>
      </c>
      <c r="C831" s="117" t="s">
        <v>3809</v>
      </c>
      <c r="D831" s="116">
        <v>451</v>
      </c>
      <c r="E831" s="116">
        <v>450</v>
      </c>
      <c r="F831" s="116" t="s">
        <v>2792</v>
      </c>
    </row>
    <row r="832" spans="1:6" ht="13.2">
      <c r="A832" s="116">
        <v>8202002</v>
      </c>
      <c r="B832" s="116">
        <v>200990</v>
      </c>
      <c r="C832" s="117" t="s">
        <v>3810</v>
      </c>
      <c r="D832" s="116">
        <v>451</v>
      </c>
      <c r="E832" s="116">
        <v>450</v>
      </c>
      <c r="F832" s="116" t="s">
        <v>2792</v>
      </c>
    </row>
    <row r="833" spans="1:6" ht="13.2">
      <c r="A833" s="116">
        <v>8202101</v>
      </c>
      <c r="B833" s="116">
        <v>200989</v>
      </c>
      <c r="C833" s="117" t="s">
        <v>3811</v>
      </c>
      <c r="D833" s="116">
        <v>943</v>
      </c>
      <c r="E833" s="116">
        <v>681</v>
      </c>
      <c r="F833" s="116" t="s">
        <v>2373</v>
      </c>
    </row>
    <row r="834" spans="1:6" ht="13.2">
      <c r="A834" s="116">
        <v>8202402</v>
      </c>
      <c r="B834" s="116">
        <v>220290</v>
      </c>
      <c r="C834" s="117" t="s">
        <v>3812</v>
      </c>
      <c r="D834" s="116">
        <v>943</v>
      </c>
      <c r="E834" s="116">
        <v>681</v>
      </c>
      <c r="F834" s="116" t="s">
        <v>2373</v>
      </c>
    </row>
    <row r="835" spans="1:6" ht="13.2">
      <c r="A835" s="116">
        <v>8202403</v>
      </c>
      <c r="B835" s="116">
        <v>220290</v>
      </c>
      <c r="C835" s="117" t="s">
        <v>3813</v>
      </c>
      <c r="D835" s="116">
        <v>943</v>
      </c>
      <c r="E835" s="116">
        <v>2072</v>
      </c>
      <c r="F835" s="116" t="s">
        <v>2373</v>
      </c>
    </row>
    <row r="836" spans="1:6" ht="13.2">
      <c r="A836" s="116">
        <v>8202602</v>
      </c>
      <c r="B836" s="116">
        <v>210111</v>
      </c>
      <c r="C836" s="117" t="s">
        <v>3814</v>
      </c>
      <c r="D836" s="116">
        <v>478</v>
      </c>
      <c r="E836" s="116">
        <v>1519</v>
      </c>
      <c r="F836" s="116" t="s">
        <v>2079</v>
      </c>
    </row>
    <row r="837" spans="1:6" ht="13.2">
      <c r="A837" s="116">
        <v>8202803</v>
      </c>
      <c r="B837" s="116">
        <v>90210</v>
      </c>
      <c r="C837" s="117" t="s">
        <v>3815</v>
      </c>
      <c r="D837" s="116">
        <v>478</v>
      </c>
      <c r="E837" s="116">
        <v>1519</v>
      </c>
      <c r="F837" s="116" t="s">
        <v>2079</v>
      </c>
    </row>
    <row r="838" spans="1:6" ht="13.2">
      <c r="A838" s="116">
        <v>8202804</v>
      </c>
      <c r="B838" s="116">
        <v>90210</v>
      </c>
      <c r="C838" s="117" t="s">
        <v>3816</v>
      </c>
      <c r="D838" s="116">
        <v>935</v>
      </c>
      <c r="E838" s="116">
        <v>6115</v>
      </c>
      <c r="F838" s="116" t="s">
        <v>2253</v>
      </c>
    </row>
    <row r="839" spans="1:6" ht="13.2">
      <c r="A839" s="116">
        <v>8202805</v>
      </c>
      <c r="B839" s="116">
        <v>90210</v>
      </c>
      <c r="C839" s="117" t="s">
        <v>3817</v>
      </c>
      <c r="D839" s="116">
        <v>330</v>
      </c>
      <c r="E839" s="116">
        <v>7404</v>
      </c>
      <c r="F839" s="116" t="s">
        <v>2805</v>
      </c>
    </row>
    <row r="840" spans="1:6" ht="13.2">
      <c r="A840" s="116">
        <v>8203401</v>
      </c>
      <c r="B840" s="116">
        <v>90210</v>
      </c>
      <c r="C840" s="117" t="s">
        <v>3818</v>
      </c>
      <c r="D840" s="116">
        <v>330</v>
      </c>
      <c r="E840" s="116">
        <v>7404</v>
      </c>
      <c r="F840" s="116" t="s">
        <v>2805</v>
      </c>
    </row>
    <row r="841" spans="1:6" ht="13.2">
      <c r="A841" s="116">
        <v>8203501</v>
      </c>
      <c r="B841" s="116">
        <v>220210</v>
      </c>
      <c r="C841" s="117" t="s">
        <v>3819</v>
      </c>
      <c r="D841" s="116">
        <v>330</v>
      </c>
      <c r="E841" s="116">
        <v>7404</v>
      </c>
      <c r="F841" s="116" t="s">
        <v>2805</v>
      </c>
    </row>
    <row r="842" spans="1:6" ht="13.2">
      <c r="A842" s="116">
        <v>8203603</v>
      </c>
      <c r="B842" s="116">
        <v>100390</v>
      </c>
      <c r="C842" s="117" t="s">
        <v>3820</v>
      </c>
      <c r="D842" s="116">
        <v>330</v>
      </c>
      <c r="E842" s="116">
        <v>7404</v>
      </c>
      <c r="F842" s="116" t="s">
        <v>2805</v>
      </c>
    </row>
    <row r="843" spans="1:6" ht="13.2">
      <c r="A843" s="116">
        <v>8204503</v>
      </c>
      <c r="B843" s="116">
        <v>220290</v>
      </c>
      <c r="C843" s="117" t="s">
        <v>3821</v>
      </c>
      <c r="D843" s="116">
        <v>900</v>
      </c>
      <c r="E843" s="116">
        <v>450</v>
      </c>
      <c r="F843" s="116" t="s">
        <v>2792</v>
      </c>
    </row>
    <row r="844" spans="1:6" ht="13.2">
      <c r="A844" s="116">
        <v>8204902</v>
      </c>
      <c r="B844" s="116">
        <v>220210</v>
      </c>
      <c r="C844" s="117" t="s">
        <v>3822</v>
      </c>
      <c r="D844" s="116">
        <v>462</v>
      </c>
      <c r="E844" s="116">
        <v>1270</v>
      </c>
      <c r="F844" s="116" t="s">
        <v>2824</v>
      </c>
    </row>
    <row r="845" spans="1:6" ht="13.2">
      <c r="A845" s="116">
        <v>8205201</v>
      </c>
      <c r="B845" s="116">
        <v>90210</v>
      </c>
      <c r="C845" s="117" t="s">
        <v>3823</v>
      </c>
      <c r="D845" s="116">
        <v>794</v>
      </c>
      <c r="E845" s="116">
        <v>1519</v>
      </c>
      <c r="F845" s="116" t="s">
        <v>2079</v>
      </c>
    </row>
    <row r="846" spans="1:6" ht="13.2">
      <c r="A846" s="116">
        <v>8205402</v>
      </c>
      <c r="B846" s="116">
        <v>220210</v>
      </c>
      <c r="C846" s="117" t="s">
        <v>3824</v>
      </c>
      <c r="D846" s="116">
        <v>451</v>
      </c>
      <c r="E846" s="116">
        <v>450</v>
      </c>
      <c r="F846" s="116" t="s">
        <v>2792</v>
      </c>
    </row>
    <row r="847" spans="1:6" ht="13.2">
      <c r="A847" s="116">
        <v>8205803</v>
      </c>
      <c r="B847" s="116">
        <v>220290</v>
      </c>
      <c r="C847" s="117" t="s">
        <v>3825</v>
      </c>
      <c r="D847" s="116">
        <v>330</v>
      </c>
      <c r="E847" s="116">
        <v>7404</v>
      </c>
      <c r="F847" s="116" t="s">
        <v>2805</v>
      </c>
    </row>
    <row r="848" spans="1:6" ht="13.2">
      <c r="A848" s="116">
        <v>8205901</v>
      </c>
      <c r="B848" s="116">
        <v>220290</v>
      </c>
      <c r="C848" s="117" t="s">
        <v>3826</v>
      </c>
      <c r="D848" s="116">
        <v>451</v>
      </c>
      <c r="E848" s="116">
        <v>450</v>
      </c>
      <c r="F848" s="116" t="s">
        <v>2792</v>
      </c>
    </row>
    <row r="849" spans="1:6" ht="13.2">
      <c r="A849" s="116">
        <v>8206301</v>
      </c>
      <c r="B849" s="116">
        <v>90210</v>
      </c>
      <c r="C849" s="117" t="s">
        <v>3827</v>
      </c>
      <c r="D849" s="116">
        <v>478</v>
      </c>
      <c r="E849" s="116">
        <v>1519</v>
      </c>
      <c r="F849" s="116" t="s">
        <v>2079</v>
      </c>
    </row>
    <row r="850" spans="1:6" ht="13.2">
      <c r="A850" s="116">
        <v>8206402</v>
      </c>
      <c r="B850" s="116">
        <v>210111</v>
      </c>
      <c r="C850" s="117" t="s">
        <v>3828</v>
      </c>
      <c r="D850" s="116">
        <v>478</v>
      </c>
      <c r="E850" s="116">
        <v>1519</v>
      </c>
      <c r="F850" s="116" t="s">
        <v>2079</v>
      </c>
    </row>
    <row r="851" spans="1:6" ht="13.2">
      <c r="A851" s="116">
        <v>8207401</v>
      </c>
      <c r="B851" s="116">
        <v>220210</v>
      </c>
      <c r="C851" s="117" t="s">
        <v>3829</v>
      </c>
      <c r="D851" s="116">
        <v>330</v>
      </c>
      <c r="E851" s="116">
        <v>7404</v>
      </c>
      <c r="F851" s="116" t="s">
        <v>2805</v>
      </c>
    </row>
    <row r="852" spans="1:6" ht="13.2">
      <c r="A852" s="116">
        <v>8207402</v>
      </c>
      <c r="B852" s="116">
        <v>220210</v>
      </c>
      <c r="C852" s="117" t="s">
        <v>3830</v>
      </c>
      <c r="D852" s="116">
        <v>935</v>
      </c>
      <c r="E852" s="116">
        <v>6115</v>
      </c>
      <c r="F852" s="116" t="s">
        <v>2253</v>
      </c>
    </row>
    <row r="853" spans="1:6" ht="13.2">
      <c r="A853" s="116">
        <v>8207601</v>
      </c>
      <c r="B853" s="116">
        <v>220210</v>
      </c>
      <c r="C853" s="117" t="s">
        <v>3831</v>
      </c>
      <c r="D853" s="116">
        <v>451</v>
      </c>
      <c r="E853" s="116">
        <v>450</v>
      </c>
      <c r="F853" s="116" t="s">
        <v>2792</v>
      </c>
    </row>
    <row r="854" spans="1:6" ht="13.2">
      <c r="A854" s="116">
        <v>8207705</v>
      </c>
      <c r="B854" s="116">
        <v>220210</v>
      </c>
      <c r="C854" s="117" t="s">
        <v>3832</v>
      </c>
      <c r="D854" s="116">
        <v>451</v>
      </c>
      <c r="E854" s="116">
        <v>450</v>
      </c>
      <c r="F854" s="116" t="s">
        <v>2792</v>
      </c>
    </row>
    <row r="855" spans="1:6" ht="13.2">
      <c r="A855" s="116">
        <v>82080</v>
      </c>
      <c r="B855" s="116">
        <v>220210</v>
      </c>
      <c r="C855" s="117" t="s">
        <v>3833</v>
      </c>
      <c r="D855" s="116">
        <v>260</v>
      </c>
      <c r="E855" s="116">
        <v>450</v>
      </c>
      <c r="F855" s="116" t="s">
        <v>2792</v>
      </c>
    </row>
    <row r="856" spans="1:6" ht="13.2">
      <c r="A856" s="116">
        <v>8208104</v>
      </c>
      <c r="B856" s="116">
        <v>220210</v>
      </c>
      <c r="C856" s="117" t="s">
        <v>3834</v>
      </c>
      <c r="D856" s="116">
        <v>451</v>
      </c>
      <c r="E856" s="116">
        <v>450</v>
      </c>
      <c r="F856" s="116" t="s">
        <v>2792</v>
      </c>
    </row>
    <row r="857" spans="1:6" ht="13.2">
      <c r="A857" s="116">
        <v>8209002</v>
      </c>
      <c r="B857" s="116">
        <v>220210</v>
      </c>
      <c r="C857" s="117" t="s">
        <v>3835</v>
      </c>
      <c r="D857" s="116">
        <v>451</v>
      </c>
      <c r="E857" s="116">
        <v>450</v>
      </c>
      <c r="F857" s="116" t="s">
        <v>2792</v>
      </c>
    </row>
    <row r="858" spans="1:6" ht="13.2">
      <c r="A858" s="116">
        <v>8209102</v>
      </c>
      <c r="B858" s="116">
        <v>220210</v>
      </c>
      <c r="C858" s="117" t="s">
        <v>3836</v>
      </c>
      <c r="D858" s="116">
        <v>451</v>
      </c>
      <c r="E858" s="116">
        <v>450</v>
      </c>
      <c r="F858" s="116" t="s">
        <v>2792</v>
      </c>
    </row>
    <row r="859" spans="1:6" ht="13.2">
      <c r="A859" s="116">
        <v>8211002</v>
      </c>
      <c r="B859" s="116">
        <v>220290</v>
      </c>
      <c r="C859" s="117" t="s">
        <v>3837</v>
      </c>
      <c r="D859" s="116">
        <v>451</v>
      </c>
      <c r="E859" s="116">
        <v>450</v>
      </c>
      <c r="F859" s="116" t="s">
        <v>2792</v>
      </c>
    </row>
    <row r="860" spans="1:6" ht="13.2">
      <c r="A860" s="116">
        <v>8211003</v>
      </c>
      <c r="B860" s="116">
        <v>220290</v>
      </c>
      <c r="C860" s="117" t="s">
        <v>3838</v>
      </c>
      <c r="D860" s="116">
        <v>451</v>
      </c>
      <c r="E860" s="116">
        <v>450</v>
      </c>
      <c r="F860" s="116" t="s">
        <v>2792</v>
      </c>
    </row>
    <row r="861" spans="1:6" ht="13.2">
      <c r="A861" s="116">
        <v>8211102</v>
      </c>
      <c r="B861" s="116">
        <v>220290</v>
      </c>
      <c r="C861" s="117" t="s">
        <v>3839</v>
      </c>
      <c r="D861" s="116">
        <v>478</v>
      </c>
      <c r="E861" s="116">
        <v>1519</v>
      </c>
      <c r="F861" s="116" t="s">
        <v>2079</v>
      </c>
    </row>
    <row r="862" spans="1:6" ht="13.2">
      <c r="A862" s="116">
        <v>8212401</v>
      </c>
      <c r="B862" s="116">
        <v>210111</v>
      </c>
      <c r="C862" s="117" t="s">
        <v>3840</v>
      </c>
      <c r="D862" s="116">
        <v>478</v>
      </c>
      <c r="E862" s="116">
        <v>1519</v>
      </c>
      <c r="F862" s="116" t="s">
        <v>2079</v>
      </c>
    </row>
    <row r="863" spans="1:6" ht="13.2">
      <c r="A863" s="116">
        <v>8212501</v>
      </c>
      <c r="B863" s="116">
        <v>210111</v>
      </c>
      <c r="C863" s="117" t="s">
        <v>3841</v>
      </c>
      <c r="D863" s="116">
        <v>478</v>
      </c>
      <c r="E863" s="116">
        <v>1519</v>
      </c>
      <c r="F863" s="116" t="s">
        <v>2079</v>
      </c>
    </row>
    <row r="864" spans="1:6" ht="13.2">
      <c r="A864" s="116">
        <v>8212902</v>
      </c>
      <c r="B864" s="116">
        <v>220210</v>
      </c>
      <c r="C864" s="117" t="s">
        <v>3842</v>
      </c>
      <c r="D864" s="116">
        <v>935</v>
      </c>
      <c r="E864" s="116">
        <v>6115</v>
      </c>
      <c r="F864" s="116" t="s">
        <v>2253</v>
      </c>
    </row>
    <row r="865" spans="1:6" ht="13.2">
      <c r="A865" s="116">
        <v>8212906</v>
      </c>
      <c r="B865" s="116">
        <v>220210</v>
      </c>
      <c r="C865" s="117" t="s">
        <v>3843</v>
      </c>
      <c r="D865" s="116">
        <v>935</v>
      </c>
      <c r="E865" s="116">
        <v>6115</v>
      </c>
      <c r="F865" s="116" t="s">
        <v>2253</v>
      </c>
    </row>
    <row r="866" spans="1:6" ht="13.2">
      <c r="A866" s="116">
        <v>8213003</v>
      </c>
      <c r="B866" s="116">
        <v>90210</v>
      </c>
      <c r="C866" s="117" t="s">
        <v>3844</v>
      </c>
      <c r="D866" s="116">
        <v>451</v>
      </c>
      <c r="E866" s="116">
        <v>450</v>
      </c>
      <c r="F866" s="116" t="s">
        <v>2792</v>
      </c>
    </row>
    <row r="867" spans="1:6" ht="13.2">
      <c r="A867" s="116">
        <v>8213004</v>
      </c>
      <c r="B867" s="116">
        <v>90210</v>
      </c>
      <c r="C867" s="117" t="s">
        <v>3845</v>
      </c>
      <c r="D867" s="116">
        <v>451</v>
      </c>
      <c r="E867" s="116">
        <v>450</v>
      </c>
      <c r="F867" s="116" t="s">
        <v>2792</v>
      </c>
    </row>
    <row r="868" spans="1:6" ht="13.2">
      <c r="A868" s="116">
        <v>8213601</v>
      </c>
      <c r="B868" s="116">
        <v>200990</v>
      </c>
      <c r="C868" s="117" t="s">
        <v>3846</v>
      </c>
      <c r="D868" s="116">
        <v>330</v>
      </c>
      <c r="E868" s="116">
        <v>7404</v>
      </c>
      <c r="F868" s="116" t="s">
        <v>2805</v>
      </c>
    </row>
    <row r="869" spans="1:6" ht="13.2">
      <c r="A869" s="116">
        <v>8300101</v>
      </c>
      <c r="B869" s="116">
        <v>220300</v>
      </c>
      <c r="C869" s="117" t="s">
        <v>3847</v>
      </c>
      <c r="D869" s="116">
        <v>330</v>
      </c>
      <c r="E869" s="116">
        <v>7404</v>
      </c>
      <c r="F869" s="116" t="s">
        <v>2805</v>
      </c>
    </row>
    <row r="870" spans="1:6" ht="13.2">
      <c r="A870" s="116">
        <v>8300201</v>
      </c>
      <c r="B870" s="116">
        <v>220300</v>
      </c>
      <c r="C870" s="117" t="s">
        <v>3848</v>
      </c>
      <c r="D870" s="116">
        <v>943</v>
      </c>
      <c r="E870" s="116">
        <v>681</v>
      </c>
      <c r="F870" s="116" t="s">
        <v>2373</v>
      </c>
    </row>
    <row r="871" spans="1:6" ht="13.2">
      <c r="A871" s="116">
        <v>8300301</v>
      </c>
      <c r="B871" s="116">
        <v>220840</v>
      </c>
      <c r="C871" s="117" t="s">
        <v>3849</v>
      </c>
      <c r="D871" s="116">
        <v>1245</v>
      </c>
      <c r="E871" s="116">
        <v>453</v>
      </c>
      <c r="F871" s="116" t="s">
        <v>2851</v>
      </c>
    </row>
    <row r="872" spans="1:6" ht="13.2">
      <c r="A872" s="116">
        <v>8300302</v>
      </c>
      <c r="B872" s="116">
        <v>220840</v>
      </c>
      <c r="C872" s="117" t="s">
        <v>3850</v>
      </c>
      <c r="D872" s="116">
        <v>1245</v>
      </c>
      <c r="E872" s="116">
        <v>453</v>
      </c>
      <c r="F872" s="116" t="s">
        <v>2851</v>
      </c>
    </row>
    <row r="873" spans="1:6" ht="13.2">
      <c r="A873" s="116">
        <v>8300501</v>
      </c>
      <c r="B873" s="116">
        <v>220840</v>
      </c>
      <c r="C873" s="117" t="s">
        <v>3851</v>
      </c>
      <c r="D873" s="116">
        <v>5295</v>
      </c>
      <c r="E873" s="116">
        <v>503</v>
      </c>
      <c r="F873" s="116" t="s">
        <v>2854</v>
      </c>
    </row>
    <row r="874" spans="1:6" ht="13.2">
      <c r="A874" s="116">
        <v>8300701</v>
      </c>
      <c r="B874" s="116">
        <v>220840</v>
      </c>
      <c r="C874" s="117" t="s">
        <v>3852</v>
      </c>
      <c r="D874" s="116">
        <v>5295</v>
      </c>
      <c r="E874" s="116">
        <v>503</v>
      </c>
      <c r="F874" s="116" t="s">
        <v>2854</v>
      </c>
    </row>
    <row r="875" spans="1:6" ht="13.2">
      <c r="A875" s="116">
        <v>8300801</v>
      </c>
      <c r="B875" s="116">
        <v>220840</v>
      </c>
      <c r="C875" s="117" t="s">
        <v>3853</v>
      </c>
      <c r="D875" s="116">
        <v>5295</v>
      </c>
      <c r="E875" s="116">
        <v>503</v>
      </c>
      <c r="F875" s="116" t="s">
        <v>2854</v>
      </c>
    </row>
    <row r="876" spans="1:6" ht="13.2">
      <c r="A876" s="116">
        <v>8301001</v>
      </c>
      <c r="B876" s="116">
        <v>220830</v>
      </c>
      <c r="C876" s="117" t="s">
        <v>3854</v>
      </c>
      <c r="D876" s="116">
        <v>5295</v>
      </c>
      <c r="E876" s="116">
        <v>503</v>
      </c>
      <c r="F876" s="116" t="s">
        <v>2854</v>
      </c>
    </row>
    <row r="877" spans="1:6" ht="13.2">
      <c r="A877" s="116">
        <v>8301002</v>
      </c>
      <c r="B877" s="116">
        <v>220830</v>
      </c>
      <c r="C877" s="117" t="s">
        <v>3855</v>
      </c>
      <c r="D877" s="116">
        <v>5295</v>
      </c>
      <c r="E877" s="116">
        <v>503</v>
      </c>
      <c r="F877" s="116" t="s">
        <v>2854</v>
      </c>
    </row>
    <row r="878" spans="1:6" ht="13.2">
      <c r="A878" s="116">
        <v>8301201</v>
      </c>
      <c r="B878" s="116">
        <v>220410</v>
      </c>
      <c r="C878" s="117" t="s">
        <v>3856</v>
      </c>
      <c r="D878" s="116">
        <v>3000</v>
      </c>
      <c r="E878" s="116">
        <v>503</v>
      </c>
      <c r="F878" s="116" t="s">
        <v>2854</v>
      </c>
    </row>
    <row r="879" spans="1:6" ht="13.2">
      <c r="A879" s="116">
        <v>8301202</v>
      </c>
      <c r="B879" s="116">
        <v>220600</v>
      </c>
      <c r="C879" s="117" t="s">
        <v>3857</v>
      </c>
      <c r="D879" s="116">
        <v>3000</v>
      </c>
      <c r="E879" s="116">
        <v>503</v>
      </c>
      <c r="F879" s="116" t="s">
        <v>2854</v>
      </c>
    </row>
    <row r="880" spans="1:6" ht="13.2">
      <c r="A880" s="116">
        <v>8301501</v>
      </c>
      <c r="B880" s="116">
        <v>220840</v>
      </c>
      <c r="C880" s="117" t="s">
        <v>3858</v>
      </c>
      <c r="D880" s="116">
        <v>2200</v>
      </c>
      <c r="E880" s="116">
        <v>503</v>
      </c>
      <c r="F880" s="116" t="s">
        <v>2861</v>
      </c>
    </row>
    <row r="881" spans="1:6" ht="13.2">
      <c r="A881" s="116">
        <v>8301601</v>
      </c>
      <c r="B881" s="116">
        <v>220820</v>
      </c>
      <c r="C881" s="117" t="s">
        <v>3859</v>
      </c>
      <c r="D881" s="116">
        <v>1400</v>
      </c>
      <c r="E881" s="116">
        <v>503</v>
      </c>
      <c r="F881" s="116" t="s">
        <v>2381</v>
      </c>
    </row>
    <row r="882" spans="1:6" ht="13.2">
      <c r="A882" s="116">
        <v>8301701</v>
      </c>
      <c r="B882" s="116">
        <v>220840</v>
      </c>
      <c r="C882" s="117" t="s">
        <v>3860</v>
      </c>
      <c r="D882" s="116">
        <v>5295</v>
      </c>
      <c r="E882" s="116">
        <v>503</v>
      </c>
      <c r="F882" s="116" t="s">
        <v>2854</v>
      </c>
    </row>
    <row r="883" spans="1:6" ht="13.2">
      <c r="A883" s="116">
        <v>8301901</v>
      </c>
      <c r="B883" s="116">
        <v>220840</v>
      </c>
      <c r="C883" s="117" t="s">
        <v>3861</v>
      </c>
      <c r="D883" s="116">
        <v>7590</v>
      </c>
      <c r="E883" s="116">
        <v>503</v>
      </c>
      <c r="F883" s="116" t="s">
        <v>2854</v>
      </c>
    </row>
    <row r="884" spans="1:6" ht="13.2">
      <c r="A884" s="116">
        <v>8302409</v>
      </c>
      <c r="B884" s="116">
        <v>220840</v>
      </c>
      <c r="C884" s="117" t="s">
        <v>3862</v>
      </c>
      <c r="D884" s="116">
        <v>5295</v>
      </c>
      <c r="E884" s="116">
        <v>503</v>
      </c>
      <c r="F884" s="116" t="s">
        <v>2854</v>
      </c>
    </row>
    <row r="885" spans="1:6" ht="13.2">
      <c r="A885" s="116">
        <v>8302415</v>
      </c>
      <c r="B885" s="116">
        <v>220429</v>
      </c>
      <c r="C885" s="117" t="s">
        <v>3863</v>
      </c>
      <c r="D885" s="116">
        <v>5295</v>
      </c>
      <c r="E885" s="116">
        <v>503</v>
      </c>
      <c r="F885" s="116" t="s">
        <v>2854</v>
      </c>
    </row>
    <row r="886" spans="1:6" ht="13.2">
      <c r="A886" s="116">
        <v>8302416</v>
      </c>
      <c r="B886" s="116">
        <v>220840</v>
      </c>
      <c r="C886" s="117" t="s">
        <v>3864</v>
      </c>
      <c r="D886" s="116">
        <v>5295</v>
      </c>
      <c r="E886" s="116">
        <v>503</v>
      </c>
      <c r="F886" s="116" t="s">
        <v>2854</v>
      </c>
    </row>
    <row r="887" spans="1:6" ht="13.2">
      <c r="A887" s="116">
        <v>8302901</v>
      </c>
      <c r="B887" s="116">
        <v>220840</v>
      </c>
      <c r="C887" s="117" t="s">
        <v>3865</v>
      </c>
      <c r="D887" s="116">
        <v>2200</v>
      </c>
      <c r="E887" s="116">
        <v>410</v>
      </c>
      <c r="F887" s="116" t="s">
        <v>2861</v>
      </c>
    </row>
    <row r="888" spans="1:6" ht="13.2">
      <c r="A888" s="116">
        <v>8303101</v>
      </c>
      <c r="B888" s="116">
        <v>220840</v>
      </c>
      <c r="C888" s="117" t="s">
        <v>837</v>
      </c>
      <c r="D888" s="116">
        <v>5295</v>
      </c>
      <c r="E888" s="116">
        <v>503</v>
      </c>
      <c r="F888" s="116" t="s">
        <v>2854</v>
      </c>
    </row>
    <row r="889" spans="1:6" ht="13.2">
      <c r="A889" s="116">
        <v>8303501</v>
      </c>
      <c r="B889" s="116">
        <v>220510</v>
      </c>
      <c r="C889" s="117" t="s">
        <v>3866</v>
      </c>
      <c r="D889" s="116">
        <v>5295</v>
      </c>
      <c r="E889" s="116">
        <v>503</v>
      </c>
      <c r="F889" s="116" t="s">
        <v>2854</v>
      </c>
    </row>
    <row r="890" spans="1:6" ht="13.2">
      <c r="A890" s="116">
        <v>8303615</v>
      </c>
      <c r="B890" s="116">
        <v>220429</v>
      </c>
      <c r="C890" s="117" t="s">
        <v>3867</v>
      </c>
      <c r="D890" s="116">
        <v>5295</v>
      </c>
      <c r="E890" s="116">
        <v>503</v>
      </c>
      <c r="F890" s="116" t="s">
        <v>2854</v>
      </c>
    </row>
    <row r="891" spans="1:6" ht="13.2">
      <c r="A891" s="116">
        <v>8304301</v>
      </c>
      <c r="B891" s="116">
        <v>220300</v>
      </c>
      <c r="C891" s="117" t="s">
        <v>3868</v>
      </c>
      <c r="D891" s="116">
        <v>3000</v>
      </c>
      <c r="E891" s="116">
        <v>793</v>
      </c>
      <c r="F891" s="116" t="s">
        <v>2381</v>
      </c>
    </row>
    <row r="892" spans="1:6" ht="13.2">
      <c r="A892" s="116">
        <v>8304502</v>
      </c>
      <c r="B892" s="116">
        <v>220840</v>
      </c>
      <c r="C892" s="117" t="s">
        <v>3869</v>
      </c>
      <c r="D892" s="116">
        <v>2200</v>
      </c>
      <c r="E892" s="116">
        <v>410</v>
      </c>
      <c r="F892" s="116" t="s">
        <v>2861</v>
      </c>
    </row>
    <row r="893" spans="1:6" ht="13.2">
      <c r="A893" s="116">
        <v>8400101</v>
      </c>
      <c r="B893" s="116">
        <v>150990</v>
      </c>
      <c r="C893" s="117" t="s">
        <v>3870</v>
      </c>
      <c r="D893" s="116">
        <v>1245</v>
      </c>
      <c r="E893" s="116">
        <v>453</v>
      </c>
      <c r="F893" s="116" t="s">
        <v>2851</v>
      </c>
    </row>
    <row r="894" spans="1:6" ht="13.2">
      <c r="A894" s="116">
        <v>8400301</v>
      </c>
      <c r="B894" s="116">
        <v>150790</v>
      </c>
      <c r="C894" s="117" t="s">
        <v>3871</v>
      </c>
      <c r="D894" s="116">
        <v>5295</v>
      </c>
      <c r="E894" s="116">
        <v>503</v>
      </c>
      <c r="F894" s="116" t="s">
        <v>2854</v>
      </c>
    </row>
    <row r="895" spans="1:6" ht="13.2">
      <c r="A895" s="116">
        <v>8401801</v>
      </c>
      <c r="B895" s="116">
        <v>150110</v>
      </c>
      <c r="C895" s="117" t="s">
        <v>3872</v>
      </c>
      <c r="D895" s="116">
        <v>2941</v>
      </c>
      <c r="E895" s="116">
        <v>7360</v>
      </c>
      <c r="F895" s="116" t="s">
        <v>2875</v>
      </c>
    </row>
    <row r="896" spans="1:6" ht="13.2">
      <c r="A896" s="116">
        <v>8403001</v>
      </c>
      <c r="B896" s="116">
        <v>150210</v>
      </c>
      <c r="C896" s="117" t="s">
        <v>3873</v>
      </c>
      <c r="D896" s="116">
        <v>1692</v>
      </c>
      <c r="E896" s="116">
        <v>4293</v>
      </c>
      <c r="F896" s="116" t="s">
        <v>2877</v>
      </c>
    </row>
    <row r="897" spans="1:6" ht="13.2">
      <c r="A897" s="116">
        <v>8403201</v>
      </c>
      <c r="B897" s="116">
        <v>150790</v>
      </c>
      <c r="C897" s="117" t="s">
        <v>3874</v>
      </c>
      <c r="D897" s="116">
        <v>2571</v>
      </c>
      <c r="E897" s="116">
        <v>4400</v>
      </c>
      <c r="F897" s="116" t="s">
        <v>2879</v>
      </c>
    </row>
    <row r="898" spans="1:6" ht="13.2">
      <c r="A898" s="116">
        <v>8403501</v>
      </c>
      <c r="B898" s="116">
        <v>151190</v>
      </c>
      <c r="C898" s="117" t="s">
        <v>3875</v>
      </c>
      <c r="D898" s="116">
        <v>2571</v>
      </c>
      <c r="E898" s="116">
        <v>7058</v>
      </c>
      <c r="F898" s="116" t="s">
        <v>2879</v>
      </c>
    </row>
    <row r="899" spans="1:6" ht="13.2">
      <c r="A899" s="116">
        <v>8500201</v>
      </c>
      <c r="B899" s="116">
        <v>190590</v>
      </c>
      <c r="C899" s="117" t="s">
        <v>3876</v>
      </c>
      <c r="D899" s="116">
        <v>1870</v>
      </c>
      <c r="E899" s="116">
        <v>7822</v>
      </c>
      <c r="F899" s="116" t="s">
        <v>2877</v>
      </c>
    </row>
    <row r="900" spans="1:6" ht="13.2">
      <c r="A900" s="116">
        <v>8500202</v>
      </c>
      <c r="B900" s="116">
        <v>190220</v>
      </c>
      <c r="C900" s="117" t="s">
        <v>3877</v>
      </c>
      <c r="D900" s="116">
        <v>2525</v>
      </c>
      <c r="E900" s="116">
        <v>5523</v>
      </c>
      <c r="F900" s="116" t="s">
        <v>2879</v>
      </c>
    </row>
    <row r="901" spans="1:6" ht="13.2">
      <c r="A901" s="116">
        <v>8500203</v>
      </c>
      <c r="B901" s="116">
        <v>190220</v>
      </c>
      <c r="C901" s="117" t="s">
        <v>3878</v>
      </c>
      <c r="D901" s="116">
        <v>1796</v>
      </c>
      <c r="E901" s="116">
        <v>1270</v>
      </c>
      <c r="F901" s="116" t="s">
        <v>2062</v>
      </c>
    </row>
    <row r="902" spans="1:6" ht="13.2">
      <c r="A902" s="116">
        <v>8500205</v>
      </c>
      <c r="B902" s="116">
        <v>190220</v>
      </c>
      <c r="C902" s="117" t="s">
        <v>486</v>
      </c>
      <c r="D902" s="116">
        <v>9525</v>
      </c>
      <c r="E902" s="116">
        <v>1730</v>
      </c>
      <c r="F902" s="116" t="s">
        <v>2030</v>
      </c>
    </row>
    <row r="903" spans="1:6" ht="13.2">
      <c r="A903" s="116">
        <v>8500206</v>
      </c>
      <c r="B903" s="116">
        <v>190220</v>
      </c>
      <c r="C903" s="117" t="s">
        <v>3879</v>
      </c>
      <c r="D903" s="116">
        <v>9525</v>
      </c>
      <c r="E903" s="116">
        <v>1730</v>
      </c>
      <c r="F903" s="116" t="s">
        <v>2030</v>
      </c>
    </row>
    <row r="904" spans="1:6" ht="13.2">
      <c r="A904" s="116">
        <v>8500207</v>
      </c>
      <c r="B904" s="116">
        <v>190220</v>
      </c>
      <c r="C904" s="117" t="s">
        <v>3880</v>
      </c>
      <c r="D904" s="116">
        <v>3600</v>
      </c>
      <c r="E904" s="116">
        <v>1730</v>
      </c>
      <c r="F904" s="116" t="s">
        <v>2030</v>
      </c>
    </row>
    <row r="905" spans="1:6" ht="13.2">
      <c r="A905" s="116">
        <v>8500209</v>
      </c>
      <c r="B905" s="116">
        <v>190590</v>
      </c>
      <c r="C905" s="117" t="s">
        <v>805</v>
      </c>
      <c r="D905" s="116">
        <v>9525</v>
      </c>
      <c r="E905" s="116">
        <v>1730</v>
      </c>
      <c r="F905" s="116" t="s">
        <v>2030</v>
      </c>
    </row>
    <row r="906" spans="1:6" ht="13.2">
      <c r="A906" s="116">
        <v>8500210</v>
      </c>
      <c r="B906" s="116">
        <v>21012</v>
      </c>
      <c r="C906" s="117" t="s">
        <v>1246</v>
      </c>
      <c r="D906" s="116">
        <v>9525</v>
      </c>
      <c r="E906" s="116">
        <v>1730</v>
      </c>
      <c r="F906" s="116" t="s">
        <v>2030</v>
      </c>
    </row>
    <row r="907" spans="1:6" ht="13.2">
      <c r="A907" s="116">
        <v>8500211</v>
      </c>
      <c r="B907" s="116">
        <v>160250</v>
      </c>
      <c r="C907" s="117" t="s">
        <v>3881</v>
      </c>
      <c r="D907" s="116">
        <v>1796</v>
      </c>
      <c r="E907" s="116">
        <v>1270</v>
      </c>
      <c r="F907" s="116" t="s">
        <v>2062</v>
      </c>
    </row>
    <row r="908" spans="1:6" ht="13.2">
      <c r="A908" s="116">
        <v>8500213</v>
      </c>
      <c r="B908" s="116">
        <v>21019</v>
      </c>
      <c r="C908" s="117" t="s">
        <v>3882</v>
      </c>
      <c r="D908" s="116">
        <v>10200</v>
      </c>
      <c r="E908" s="116">
        <v>7360</v>
      </c>
      <c r="F908" s="116" t="s">
        <v>2436</v>
      </c>
    </row>
    <row r="909" spans="1:6" ht="13.2">
      <c r="A909" s="116">
        <v>8500215</v>
      </c>
      <c r="B909" s="116">
        <v>110220</v>
      </c>
      <c r="C909" s="117" t="s">
        <v>3883</v>
      </c>
      <c r="D909" s="116">
        <v>14500</v>
      </c>
      <c r="E909" s="116">
        <v>12800</v>
      </c>
      <c r="F909" s="116" t="s">
        <v>2489</v>
      </c>
    </row>
    <row r="910" spans="1:6" ht="13.2">
      <c r="A910" s="116">
        <v>8500217</v>
      </c>
      <c r="B910" s="116">
        <v>190520</v>
      </c>
      <c r="C910" s="117" t="s">
        <v>1176</v>
      </c>
      <c r="D910" s="116">
        <v>7875</v>
      </c>
      <c r="E910" s="116">
        <v>7240</v>
      </c>
      <c r="F910" s="116" t="s">
        <v>2436</v>
      </c>
    </row>
    <row r="911" spans="1:6" ht="13.2">
      <c r="A911" s="116">
        <v>8500218</v>
      </c>
      <c r="B911" s="116">
        <v>110220</v>
      </c>
      <c r="C911" s="117" t="s">
        <v>3884</v>
      </c>
      <c r="D911" s="116">
        <v>578</v>
      </c>
      <c r="E911" s="116">
        <v>1790</v>
      </c>
      <c r="F911" s="116" t="s">
        <v>1976</v>
      </c>
    </row>
    <row r="912" spans="1:6" ht="13.2">
      <c r="A912" s="116">
        <v>8500222</v>
      </c>
      <c r="B912" s="116">
        <v>190220</v>
      </c>
      <c r="C912" s="117" t="s">
        <v>3885</v>
      </c>
      <c r="D912" s="116">
        <v>2572</v>
      </c>
      <c r="E912" s="116">
        <v>2039</v>
      </c>
      <c r="F912" s="116" t="s">
        <v>2036</v>
      </c>
    </row>
    <row r="913" spans="1:6" ht="13.2">
      <c r="A913" s="116">
        <v>8500223</v>
      </c>
      <c r="B913" s="116">
        <v>190220</v>
      </c>
      <c r="C913" s="117" t="s">
        <v>3886</v>
      </c>
      <c r="D913" s="116">
        <v>578</v>
      </c>
      <c r="E913" s="116">
        <v>1790</v>
      </c>
      <c r="F913" s="116" t="s">
        <v>1976</v>
      </c>
    </row>
    <row r="914" spans="1:6" ht="13.2">
      <c r="A914" s="116">
        <v>8500224</v>
      </c>
      <c r="B914" s="116">
        <v>190220</v>
      </c>
      <c r="C914" s="117" t="s">
        <v>3887</v>
      </c>
      <c r="D914" s="116">
        <v>9525</v>
      </c>
      <c r="E914" s="116">
        <v>1730</v>
      </c>
      <c r="F914" s="116" t="s">
        <v>2030</v>
      </c>
    </row>
    <row r="915" spans="1:6" ht="13.2">
      <c r="A915" s="116">
        <v>8500225</v>
      </c>
      <c r="B915" s="116">
        <v>190220</v>
      </c>
      <c r="C915" s="117" t="s">
        <v>3888</v>
      </c>
      <c r="D915" s="116">
        <v>9525</v>
      </c>
      <c r="E915" s="116">
        <v>1730</v>
      </c>
      <c r="F915" s="116" t="s">
        <v>2030</v>
      </c>
    </row>
    <row r="916" spans="1:6" ht="13.2">
      <c r="A916" s="116">
        <v>8500226</v>
      </c>
      <c r="B916" s="116">
        <v>190220</v>
      </c>
      <c r="C916" s="117" t="s">
        <v>3889</v>
      </c>
      <c r="D916" s="116">
        <v>9525</v>
      </c>
      <c r="E916" s="116">
        <v>1730</v>
      </c>
      <c r="F916" s="116" t="s">
        <v>2030</v>
      </c>
    </row>
    <row r="917" spans="1:6" ht="13.2">
      <c r="A917" s="116">
        <v>8500227</v>
      </c>
      <c r="B917" s="116">
        <v>190220</v>
      </c>
      <c r="C917" s="117" t="s">
        <v>3890</v>
      </c>
      <c r="D917" s="116">
        <v>9525</v>
      </c>
      <c r="E917" s="116">
        <v>1730</v>
      </c>
      <c r="F917" s="116" t="s">
        <v>2030</v>
      </c>
    </row>
    <row r="918" spans="1:6" ht="13.2">
      <c r="A918" s="116">
        <v>8500302</v>
      </c>
      <c r="B918" s="116">
        <v>160290</v>
      </c>
      <c r="C918" s="117" t="s">
        <v>3891</v>
      </c>
      <c r="D918" s="116">
        <v>9525</v>
      </c>
      <c r="E918" s="116">
        <v>1730</v>
      </c>
      <c r="F918" s="116" t="s">
        <v>2030</v>
      </c>
    </row>
    <row r="919" spans="1:6" ht="13.2">
      <c r="A919" s="116">
        <v>8500303</v>
      </c>
      <c r="B919" s="116">
        <v>160290</v>
      </c>
      <c r="C919" s="117" t="s">
        <v>3892</v>
      </c>
      <c r="D919" s="116">
        <v>9525</v>
      </c>
      <c r="E919" s="116">
        <v>1730</v>
      </c>
      <c r="F919" s="116" t="s">
        <v>2030</v>
      </c>
    </row>
    <row r="920" spans="1:6" ht="13.2">
      <c r="A920" s="116">
        <v>8500304</v>
      </c>
      <c r="B920" s="116">
        <v>160290</v>
      </c>
      <c r="C920" s="117" t="s">
        <v>3893</v>
      </c>
      <c r="D920" s="116">
        <v>9000</v>
      </c>
      <c r="E920" s="116">
        <v>12800</v>
      </c>
      <c r="F920" s="116" t="s">
        <v>2489</v>
      </c>
    </row>
    <row r="921" spans="1:6" ht="13.2">
      <c r="A921" s="116">
        <v>8500305</v>
      </c>
      <c r="B921" s="116">
        <v>160290</v>
      </c>
      <c r="C921" s="117" t="s">
        <v>3894</v>
      </c>
      <c r="D921" s="116">
        <v>9000</v>
      </c>
      <c r="E921" s="116">
        <v>12800</v>
      </c>
      <c r="F921" s="116" t="s">
        <v>2489</v>
      </c>
    </row>
    <row r="922" spans="1:6" ht="13.2">
      <c r="A922" s="116">
        <v>8500307</v>
      </c>
      <c r="B922" s="116">
        <v>160290</v>
      </c>
      <c r="C922" s="117" t="s">
        <v>3895</v>
      </c>
      <c r="D922" s="116">
        <v>9000</v>
      </c>
      <c r="E922" s="116">
        <v>12800</v>
      </c>
      <c r="F922" s="116" t="s">
        <v>2489</v>
      </c>
    </row>
    <row r="923" spans="1:6" ht="13.2">
      <c r="A923" s="116">
        <v>8500308</v>
      </c>
      <c r="B923" s="116">
        <v>160290</v>
      </c>
      <c r="C923" s="117" t="s">
        <v>3896</v>
      </c>
      <c r="D923" s="116">
        <v>9000</v>
      </c>
      <c r="E923" s="116">
        <v>12800</v>
      </c>
      <c r="F923" s="116" t="s">
        <v>2489</v>
      </c>
    </row>
    <row r="924" spans="1:6" ht="13.2">
      <c r="A924" s="116">
        <v>8500313</v>
      </c>
      <c r="B924" s="116">
        <v>190590</v>
      </c>
      <c r="C924" s="117" t="s">
        <v>3897</v>
      </c>
      <c r="D924" s="116">
        <v>9000</v>
      </c>
      <c r="E924" s="116">
        <v>12800</v>
      </c>
      <c r="F924" s="116" t="s">
        <v>2489</v>
      </c>
    </row>
    <row r="925" spans="1:6" ht="13.2">
      <c r="A925" s="116">
        <v>8500315</v>
      </c>
      <c r="B925" s="116">
        <v>190590</v>
      </c>
      <c r="C925" s="117" t="s">
        <v>3898</v>
      </c>
      <c r="D925" s="116">
        <v>9000</v>
      </c>
      <c r="E925" s="116">
        <v>12800</v>
      </c>
      <c r="F925" s="116" t="s">
        <v>2489</v>
      </c>
    </row>
    <row r="926" spans="1:6" ht="13.2">
      <c r="A926" s="116">
        <v>8500316</v>
      </c>
      <c r="B926" s="116">
        <v>190590</v>
      </c>
      <c r="C926" s="117" t="s">
        <v>3899</v>
      </c>
      <c r="D926" s="116">
        <v>1796</v>
      </c>
      <c r="E926" s="116">
        <v>1270</v>
      </c>
      <c r="F926" s="116" t="s">
        <v>2062</v>
      </c>
    </row>
    <row r="927" spans="1:6" ht="13.2">
      <c r="A927" s="116">
        <v>8500317</v>
      </c>
      <c r="B927" s="116">
        <v>190590</v>
      </c>
      <c r="C927" s="117" t="s">
        <v>3900</v>
      </c>
      <c r="D927" s="116">
        <v>1796</v>
      </c>
      <c r="E927" s="116">
        <v>1270</v>
      </c>
      <c r="F927" s="116" t="s">
        <v>2062</v>
      </c>
    </row>
    <row r="928" spans="1:6" ht="13.2">
      <c r="A928" s="116">
        <v>8500318</v>
      </c>
      <c r="B928" s="116">
        <v>190590</v>
      </c>
      <c r="C928" s="117" t="s">
        <v>3901</v>
      </c>
      <c r="D928" s="116">
        <v>1796</v>
      </c>
      <c r="E928" s="116">
        <v>1270</v>
      </c>
      <c r="F928" s="116" t="s">
        <v>2062</v>
      </c>
    </row>
    <row r="929" spans="1:6" ht="13.2">
      <c r="A929" s="116">
        <v>8500319</v>
      </c>
      <c r="B929" s="116">
        <v>190590</v>
      </c>
      <c r="C929" s="117" t="s">
        <v>3902</v>
      </c>
      <c r="D929" s="116">
        <v>1796</v>
      </c>
      <c r="E929" s="116">
        <v>1270</v>
      </c>
      <c r="F929" s="116" t="s">
        <v>2062</v>
      </c>
    </row>
    <row r="930" spans="1:6" ht="13.2">
      <c r="A930" s="116">
        <v>8500320</v>
      </c>
      <c r="B930" s="116">
        <v>190590</v>
      </c>
      <c r="C930" s="117" t="s">
        <v>3903</v>
      </c>
      <c r="D930" s="116">
        <v>1796</v>
      </c>
      <c r="E930" s="116">
        <v>1270</v>
      </c>
      <c r="F930" s="116" t="s">
        <v>2062</v>
      </c>
    </row>
    <row r="931" spans="1:6" ht="13.2">
      <c r="A931" s="116">
        <v>8500321</v>
      </c>
      <c r="B931" s="116">
        <v>160290</v>
      </c>
      <c r="C931" s="117" t="s">
        <v>3904</v>
      </c>
      <c r="D931" s="116">
        <v>1796</v>
      </c>
      <c r="E931" s="116">
        <v>1270</v>
      </c>
      <c r="F931" s="116" t="s">
        <v>2062</v>
      </c>
    </row>
    <row r="932" spans="1:6" ht="13.2">
      <c r="A932" s="116">
        <v>8500322</v>
      </c>
      <c r="B932" s="116">
        <v>160290</v>
      </c>
      <c r="C932" s="117" t="s">
        <v>3905</v>
      </c>
      <c r="D932" s="116">
        <v>1796</v>
      </c>
      <c r="E932" s="116">
        <v>1270</v>
      </c>
      <c r="F932" s="116" t="s">
        <v>2062</v>
      </c>
    </row>
    <row r="933" spans="1:6" ht="13.2">
      <c r="A933" s="116">
        <v>8500323</v>
      </c>
      <c r="B933" s="116">
        <v>110100</v>
      </c>
      <c r="C933" s="117" t="s">
        <v>3906</v>
      </c>
      <c r="D933" s="116">
        <v>9000</v>
      </c>
      <c r="E933" s="116">
        <v>12800</v>
      </c>
      <c r="F933" s="116" t="s">
        <v>2489</v>
      </c>
    </row>
    <row r="934" spans="1:6" ht="13.2">
      <c r="A934" s="116">
        <v>8500401</v>
      </c>
      <c r="B934" s="116">
        <v>200960</v>
      </c>
      <c r="C934" s="117" t="s">
        <v>3907</v>
      </c>
      <c r="D934" s="116">
        <v>9000</v>
      </c>
      <c r="E934" s="116">
        <v>12800</v>
      </c>
      <c r="F934" s="116" t="s">
        <v>2489</v>
      </c>
    </row>
    <row r="935" spans="1:6" ht="13.2">
      <c r="A935" s="116">
        <v>8500402</v>
      </c>
      <c r="B935" s="116">
        <v>200940</v>
      </c>
      <c r="C935" s="117" t="s">
        <v>3908</v>
      </c>
      <c r="D935" s="116">
        <v>443</v>
      </c>
      <c r="E935" s="116">
        <v>1518</v>
      </c>
      <c r="F935" s="116" t="s">
        <v>2044</v>
      </c>
    </row>
    <row r="936" spans="1:6" ht="13.2">
      <c r="A936" s="116">
        <v>8500403</v>
      </c>
      <c r="B936" s="116">
        <v>200990</v>
      </c>
      <c r="C936" s="117" t="s">
        <v>3909</v>
      </c>
      <c r="D936" s="116">
        <v>650</v>
      </c>
      <c r="E936" s="116">
        <v>525</v>
      </c>
      <c r="F936" s="116" t="s">
        <v>2038</v>
      </c>
    </row>
    <row r="937" spans="1:6" ht="13.2">
      <c r="A937" s="116">
        <v>8500404</v>
      </c>
      <c r="B937" s="116">
        <v>200990</v>
      </c>
      <c r="C937" s="117" t="s">
        <v>3910</v>
      </c>
      <c r="D937" s="116">
        <v>943</v>
      </c>
      <c r="E937" s="116">
        <v>798</v>
      </c>
      <c r="F937" s="116" t="s">
        <v>2373</v>
      </c>
    </row>
    <row r="938" spans="1:6" ht="13.2">
      <c r="A938" s="116">
        <v>8500405</v>
      </c>
      <c r="B938" s="116">
        <v>200990</v>
      </c>
      <c r="C938" s="117" t="s">
        <v>3911</v>
      </c>
      <c r="D938" s="116">
        <v>943</v>
      </c>
      <c r="E938" s="116">
        <v>681</v>
      </c>
      <c r="F938" s="116" t="s">
        <v>2373</v>
      </c>
    </row>
    <row r="939" spans="1:6" ht="13.2">
      <c r="A939" s="116">
        <v>8500406</v>
      </c>
      <c r="B939" s="116">
        <v>220290</v>
      </c>
      <c r="C939" s="117" t="s">
        <v>3912</v>
      </c>
      <c r="D939" s="116">
        <v>943</v>
      </c>
      <c r="E939" s="116">
        <v>681</v>
      </c>
      <c r="F939" s="116" t="s">
        <v>2373</v>
      </c>
    </row>
    <row r="940" spans="1:6" ht="13.2">
      <c r="A940" s="116">
        <v>8500407</v>
      </c>
      <c r="B940" s="116">
        <v>200919</v>
      </c>
      <c r="C940" s="117" t="s">
        <v>3913</v>
      </c>
      <c r="D940" s="116">
        <v>943</v>
      </c>
      <c r="E940" s="116">
        <v>681</v>
      </c>
      <c r="F940" s="116" t="s">
        <v>2373</v>
      </c>
    </row>
    <row r="941" spans="1:6" ht="13.2">
      <c r="A941" s="116">
        <v>8500408</v>
      </c>
      <c r="B941" s="116">
        <v>200990</v>
      </c>
      <c r="C941" s="117" t="s">
        <v>3914</v>
      </c>
      <c r="D941" s="116">
        <v>478</v>
      </c>
      <c r="E941" s="116">
        <v>1519</v>
      </c>
      <c r="F941" s="116" t="s">
        <v>2079</v>
      </c>
    </row>
    <row r="942" spans="1:6" ht="13.2">
      <c r="A942" s="116">
        <v>8500409</v>
      </c>
      <c r="B942" s="116">
        <v>200990</v>
      </c>
      <c r="C942" s="117" t="s">
        <v>3915</v>
      </c>
      <c r="D942" s="116">
        <v>780</v>
      </c>
      <c r="E942" s="116">
        <v>719</v>
      </c>
      <c r="F942" s="116" t="s">
        <v>2373</v>
      </c>
    </row>
    <row r="943" spans="1:6" ht="13.2">
      <c r="A943" s="116">
        <v>8500410</v>
      </c>
      <c r="B943" s="116">
        <v>200990</v>
      </c>
      <c r="C943" s="117" t="s">
        <v>3916</v>
      </c>
      <c r="D943" s="116">
        <v>943</v>
      </c>
      <c r="E943" s="116">
        <v>681</v>
      </c>
      <c r="F943" s="116" t="s">
        <v>2373</v>
      </c>
    </row>
    <row r="944" spans="1:6" ht="13.2">
      <c r="A944" s="116">
        <v>8500411</v>
      </c>
      <c r="B944" s="116">
        <v>200990</v>
      </c>
      <c r="C944" s="117" t="s">
        <v>3917</v>
      </c>
      <c r="D944" s="116">
        <v>943</v>
      </c>
      <c r="E944" s="116">
        <v>681</v>
      </c>
      <c r="F944" s="116" t="s">
        <v>2373</v>
      </c>
    </row>
    <row r="945" spans="1:6" ht="13.2">
      <c r="A945" s="116">
        <v>8500412</v>
      </c>
      <c r="B945" s="116">
        <v>200990</v>
      </c>
      <c r="C945" s="117" t="s">
        <v>3918</v>
      </c>
      <c r="D945" s="116">
        <v>943</v>
      </c>
      <c r="E945" s="116">
        <v>681</v>
      </c>
      <c r="F945" s="116" t="s">
        <v>2373</v>
      </c>
    </row>
    <row r="946" spans="1:6" ht="13.2">
      <c r="A946" s="116">
        <v>8500413</v>
      </c>
      <c r="B946" s="116">
        <v>220290</v>
      </c>
      <c r="C946" s="117" t="s">
        <v>3919</v>
      </c>
      <c r="D946" s="116">
        <v>943</v>
      </c>
      <c r="E946" s="116">
        <v>681</v>
      </c>
      <c r="F946" s="116" t="s">
        <v>2373</v>
      </c>
    </row>
    <row r="947" spans="1:6" ht="13.2">
      <c r="A947" s="116">
        <v>8500414</v>
      </c>
      <c r="B947" s="116">
        <v>200990</v>
      </c>
      <c r="C947" s="117" t="s">
        <v>3920</v>
      </c>
      <c r="D947" s="116">
        <v>943</v>
      </c>
      <c r="E947" s="116">
        <v>681</v>
      </c>
      <c r="F947" s="116" t="s">
        <v>2373</v>
      </c>
    </row>
    <row r="948" spans="1:6" ht="13.2">
      <c r="A948" s="116">
        <v>8500415</v>
      </c>
      <c r="B948" s="116">
        <v>200990</v>
      </c>
      <c r="C948" s="117" t="s">
        <v>3921</v>
      </c>
      <c r="D948" s="116">
        <v>478</v>
      </c>
      <c r="E948" s="116">
        <v>1519</v>
      </c>
      <c r="F948" s="116" t="s">
        <v>2079</v>
      </c>
    </row>
    <row r="949" spans="1:6" ht="13.2">
      <c r="A949" s="116">
        <v>8500416</v>
      </c>
      <c r="B949" s="116">
        <v>200990</v>
      </c>
      <c r="C949" s="117" t="s">
        <v>3922</v>
      </c>
      <c r="D949" s="116">
        <v>943</v>
      </c>
      <c r="E949" s="116">
        <v>681</v>
      </c>
      <c r="F949" s="116" t="s">
        <v>2373</v>
      </c>
    </row>
    <row r="950" spans="1:6" ht="13.2">
      <c r="A950" s="116">
        <v>8500417</v>
      </c>
      <c r="B950" s="116">
        <v>220290</v>
      </c>
      <c r="C950" s="117" t="s">
        <v>3923</v>
      </c>
      <c r="D950" s="116">
        <v>943</v>
      </c>
      <c r="E950" s="116">
        <v>681</v>
      </c>
      <c r="F950" s="116" t="s">
        <v>2373</v>
      </c>
    </row>
    <row r="951" spans="1:6" ht="13.2">
      <c r="A951" s="116">
        <v>8500418</v>
      </c>
      <c r="B951" s="116">
        <v>220290</v>
      </c>
      <c r="C951" s="117" t="s">
        <v>3924</v>
      </c>
      <c r="D951" s="116">
        <v>943</v>
      </c>
      <c r="E951" s="116">
        <v>681</v>
      </c>
      <c r="F951" s="116" t="s">
        <v>2373</v>
      </c>
    </row>
    <row r="952" spans="1:6" ht="13.2">
      <c r="A952" s="116">
        <v>8500601</v>
      </c>
      <c r="B952" s="116">
        <v>220290</v>
      </c>
      <c r="C952" s="117" t="s">
        <v>3925</v>
      </c>
      <c r="D952" s="116">
        <v>478</v>
      </c>
      <c r="E952" s="116">
        <v>1519</v>
      </c>
      <c r="F952" s="116" t="s">
        <v>2079</v>
      </c>
    </row>
    <row r="953" spans="1:6" ht="13.2">
      <c r="A953" s="116">
        <v>8500602</v>
      </c>
      <c r="B953" s="116">
        <v>220290</v>
      </c>
      <c r="C953" s="117" t="s">
        <v>3926</v>
      </c>
      <c r="D953" s="116">
        <v>478</v>
      </c>
      <c r="E953" s="116">
        <v>1519</v>
      </c>
      <c r="F953" s="116" t="s">
        <v>2079</v>
      </c>
    </row>
    <row r="954" spans="1:6" ht="13.2">
      <c r="A954" s="116">
        <v>8500603</v>
      </c>
      <c r="B954" s="116">
        <v>220290</v>
      </c>
      <c r="C954" s="117" t="s">
        <v>3927</v>
      </c>
      <c r="D954" s="116">
        <v>478</v>
      </c>
      <c r="E954" s="116">
        <v>1519</v>
      </c>
      <c r="F954" s="116" t="s">
        <v>2079</v>
      </c>
    </row>
    <row r="955" spans="1:6" ht="13.2">
      <c r="A955" s="116">
        <v>8500604</v>
      </c>
      <c r="B955" s="116">
        <v>220290</v>
      </c>
      <c r="C955" s="117" t="s">
        <v>3928</v>
      </c>
      <c r="D955" s="116">
        <v>478</v>
      </c>
      <c r="E955" s="116">
        <v>1519</v>
      </c>
      <c r="F955" s="116" t="s">
        <v>2079</v>
      </c>
    </row>
    <row r="956" spans="1:6" ht="13.2">
      <c r="A956" s="116">
        <v>8500605</v>
      </c>
      <c r="B956" s="116">
        <v>220290</v>
      </c>
      <c r="C956" s="117" t="s">
        <v>3929</v>
      </c>
      <c r="D956" s="116">
        <v>478</v>
      </c>
      <c r="E956" s="116">
        <v>1519</v>
      </c>
      <c r="F956" s="116" t="s">
        <v>2079</v>
      </c>
    </row>
    <row r="957" spans="1:6" ht="13.2">
      <c r="A957" s="116">
        <v>8500606</v>
      </c>
      <c r="B957" s="116">
        <v>220290</v>
      </c>
      <c r="C957" s="117" t="s">
        <v>3930</v>
      </c>
      <c r="D957" s="116">
        <v>478</v>
      </c>
      <c r="E957" s="116">
        <v>1519</v>
      </c>
      <c r="F957" s="116" t="s">
        <v>2079</v>
      </c>
    </row>
    <row r="958" spans="1:6" ht="13.2">
      <c r="A958" s="116">
        <v>8500801</v>
      </c>
      <c r="B958" s="116">
        <v>71090</v>
      </c>
      <c r="C958" s="117" t="s">
        <v>3931</v>
      </c>
      <c r="D958" s="116">
        <v>478</v>
      </c>
      <c r="E958" s="116">
        <v>1519</v>
      </c>
      <c r="F958" s="116" t="s">
        <v>2079</v>
      </c>
    </row>
    <row r="959" spans="1:6" ht="13.2">
      <c r="A959" s="116">
        <v>8500903</v>
      </c>
      <c r="B959" s="116">
        <v>190590</v>
      </c>
      <c r="C959" s="117" t="s">
        <v>3932</v>
      </c>
      <c r="D959" s="116">
        <v>478</v>
      </c>
      <c r="E959" s="116">
        <v>1519</v>
      </c>
      <c r="F959" s="116" t="s">
        <v>2079</v>
      </c>
    </row>
    <row r="960" spans="1:6" ht="13.2">
      <c r="A960" s="116">
        <v>8500906</v>
      </c>
      <c r="B960" s="116">
        <v>190211</v>
      </c>
      <c r="C960" s="117" t="s">
        <v>3933</v>
      </c>
      <c r="D960" s="116">
        <v>810</v>
      </c>
      <c r="E960" s="116">
        <v>2397</v>
      </c>
      <c r="F960" s="116" t="s">
        <v>2038</v>
      </c>
    </row>
    <row r="961" spans="1:6" ht="13.2">
      <c r="A961" s="116">
        <v>8500909</v>
      </c>
      <c r="B961" s="116">
        <v>190211</v>
      </c>
      <c r="C961" s="117" t="s">
        <v>3934</v>
      </c>
      <c r="D961" s="116">
        <v>4400</v>
      </c>
      <c r="E961" s="116">
        <v>1270</v>
      </c>
      <c r="F961" s="116" t="s">
        <v>2062</v>
      </c>
    </row>
    <row r="962" spans="1:6" ht="13.2">
      <c r="A962" s="116">
        <v>8500910</v>
      </c>
      <c r="B962" s="116">
        <v>190211</v>
      </c>
      <c r="C962" s="117" t="s">
        <v>3935</v>
      </c>
      <c r="D962" s="116">
        <v>1368</v>
      </c>
      <c r="E962" s="116">
        <v>1730</v>
      </c>
      <c r="F962" s="116" t="s">
        <v>2030</v>
      </c>
    </row>
    <row r="963" spans="1:6" ht="13.2">
      <c r="A963" s="116">
        <v>8500914</v>
      </c>
      <c r="B963" s="116">
        <v>190590</v>
      </c>
      <c r="C963" s="117" t="s">
        <v>3936</v>
      </c>
      <c r="D963" s="116">
        <v>1368</v>
      </c>
      <c r="E963" s="116">
        <v>1730</v>
      </c>
      <c r="F963" s="116" t="s">
        <v>2030</v>
      </c>
    </row>
    <row r="964" spans="1:6" ht="13.2">
      <c r="A964" s="116">
        <v>8500915</v>
      </c>
      <c r="B964" s="116">
        <v>190590</v>
      </c>
      <c r="C964" s="117" t="s">
        <v>3937</v>
      </c>
      <c r="D964" s="116">
        <v>1368</v>
      </c>
      <c r="E964" s="116">
        <v>1730</v>
      </c>
      <c r="F964" s="116" t="s">
        <v>2030</v>
      </c>
    </row>
    <row r="965" spans="1:6" ht="13.2">
      <c r="A965" s="116">
        <v>8500916</v>
      </c>
      <c r="B965" s="116">
        <v>190590</v>
      </c>
      <c r="C965" s="117" t="s">
        <v>3938</v>
      </c>
      <c r="D965" s="116">
        <v>5700</v>
      </c>
      <c r="E965" s="116">
        <v>1270</v>
      </c>
      <c r="F965" s="116" t="s">
        <v>2062</v>
      </c>
    </row>
    <row r="966" spans="1:6" ht="13.2">
      <c r="A966" s="116">
        <v>8500917</v>
      </c>
      <c r="B966" s="116">
        <v>190590</v>
      </c>
      <c r="C966" s="117" t="s">
        <v>3939</v>
      </c>
      <c r="D966" s="116">
        <v>4000</v>
      </c>
      <c r="E966" s="116">
        <v>1600</v>
      </c>
      <c r="F966" s="116" t="s">
        <v>2062</v>
      </c>
    </row>
    <row r="967" spans="1:6" ht="13.2">
      <c r="A967" s="116">
        <v>8501004</v>
      </c>
      <c r="B967" s="116">
        <v>20711</v>
      </c>
      <c r="C967" s="117" t="s">
        <v>3940</v>
      </c>
      <c r="D967" s="116">
        <v>4200</v>
      </c>
      <c r="E967" s="116">
        <v>1270</v>
      </c>
      <c r="F967" s="116" t="s">
        <v>2062</v>
      </c>
    </row>
    <row r="968" spans="1:6" ht="13.2">
      <c r="A968" s="116">
        <v>8501202</v>
      </c>
      <c r="B968" s="116">
        <v>100590</v>
      </c>
      <c r="C968" s="117" t="s">
        <v>3941</v>
      </c>
      <c r="D968" s="116">
        <v>1796</v>
      </c>
      <c r="E968" s="116">
        <v>1270</v>
      </c>
      <c r="F968" s="116" t="s">
        <v>2062</v>
      </c>
    </row>
    <row r="969" spans="1:6" ht="13.2">
      <c r="A969" s="116">
        <v>8501302</v>
      </c>
      <c r="B969" s="116">
        <v>90121</v>
      </c>
      <c r="C969" s="117" t="s">
        <v>3942</v>
      </c>
      <c r="D969" s="116">
        <v>3321</v>
      </c>
      <c r="E969" s="116">
        <v>4474</v>
      </c>
      <c r="F969" s="116" t="s">
        <v>2535</v>
      </c>
    </row>
    <row r="970" spans="1:6" ht="13.2">
      <c r="A970" s="116">
        <v>8501303</v>
      </c>
      <c r="B970" s="116">
        <v>90121</v>
      </c>
      <c r="C970" s="117" t="s">
        <v>3943</v>
      </c>
      <c r="D970" s="116">
        <v>558</v>
      </c>
      <c r="E970" s="116">
        <v>1255</v>
      </c>
      <c r="F970" s="116" t="s">
        <v>1974</v>
      </c>
    </row>
    <row r="971" spans="1:6" ht="13.2">
      <c r="A971" s="116">
        <v>8501305</v>
      </c>
      <c r="B971" s="116">
        <v>210111</v>
      </c>
      <c r="C971" s="117" t="s">
        <v>3944</v>
      </c>
      <c r="D971" s="116">
        <v>330</v>
      </c>
      <c r="E971" s="116">
        <v>12261</v>
      </c>
      <c r="F971" s="116" t="s">
        <v>2489</v>
      </c>
    </row>
    <row r="972" spans="1:6" ht="13.2">
      <c r="A972" s="116">
        <v>8501402</v>
      </c>
      <c r="B972" s="116">
        <v>71040</v>
      </c>
      <c r="C972" s="117" t="s">
        <v>3945</v>
      </c>
      <c r="D972" s="116">
        <v>330</v>
      </c>
      <c r="E972" s="116">
        <v>12261</v>
      </c>
      <c r="F972" s="116" t="s">
        <v>2489</v>
      </c>
    </row>
    <row r="973" spans="1:6" ht="13.2">
      <c r="A973" s="116">
        <v>8501502</v>
      </c>
      <c r="B973" s="116">
        <v>190590</v>
      </c>
      <c r="C973" s="117" t="s">
        <v>3946</v>
      </c>
      <c r="D973" s="116">
        <v>935</v>
      </c>
      <c r="E973" s="116">
        <v>6115</v>
      </c>
      <c r="F973" s="116" t="s">
        <v>2253</v>
      </c>
    </row>
    <row r="974" spans="1:6" ht="13.2">
      <c r="A974" s="116">
        <v>8501503</v>
      </c>
      <c r="B974" s="116">
        <v>190590</v>
      </c>
      <c r="C974" s="117" t="s">
        <v>947</v>
      </c>
      <c r="D974" s="116">
        <v>810</v>
      </c>
      <c r="E974" s="116">
        <v>2397</v>
      </c>
      <c r="F974" s="116" t="s">
        <v>2038</v>
      </c>
    </row>
    <row r="975" spans="1:6" ht="13.2">
      <c r="A975" s="116">
        <v>8501902</v>
      </c>
      <c r="B975" s="116">
        <v>110220</v>
      </c>
      <c r="C975" s="117" t="s">
        <v>3947</v>
      </c>
      <c r="D975" s="116">
        <v>1796</v>
      </c>
      <c r="E975" s="116">
        <v>1270</v>
      </c>
      <c r="F975" s="116" t="s">
        <v>2062</v>
      </c>
    </row>
    <row r="976" spans="1:6" ht="13.2">
      <c r="A976" s="116">
        <v>8501903</v>
      </c>
      <c r="B976" s="116">
        <v>100590</v>
      </c>
      <c r="C976" s="117" t="s">
        <v>3948</v>
      </c>
      <c r="D976" s="116">
        <v>2200</v>
      </c>
      <c r="E976" s="116">
        <v>1270</v>
      </c>
      <c r="F976" s="116" t="s">
        <v>2062</v>
      </c>
    </row>
    <row r="977" spans="1:6" ht="13.2">
      <c r="A977" s="116">
        <v>8502401</v>
      </c>
      <c r="B977" s="116">
        <v>190590</v>
      </c>
      <c r="C977" s="117" t="s">
        <v>3949</v>
      </c>
      <c r="D977" s="116">
        <v>578</v>
      </c>
      <c r="E977" s="116">
        <v>1790</v>
      </c>
      <c r="F977" s="116" t="s">
        <v>1976</v>
      </c>
    </row>
    <row r="978" spans="1:6" ht="13.2">
      <c r="A978" s="116">
        <v>8502901</v>
      </c>
      <c r="B978" s="116">
        <v>190190</v>
      </c>
      <c r="C978" s="117" t="s">
        <v>3950</v>
      </c>
      <c r="D978" s="116">
        <v>558</v>
      </c>
      <c r="E978" s="116">
        <v>1255</v>
      </c>
      <c r="F978" s="116" t="s">
        <v>1974</v>
      </c>
    </row>
    <row r="979" spans="1:6" ht="13.2">
      <c r="A979" s="116">
        <v>8503202</v>
      </c>
      <c r="B979" s="116">
        <v>210410</v>
      </c>
      <c r="C979" s="117" t="s">
        <v>3951</v>
      </c>
      <c r="D979" s="116">
        <v>1796</v>
      </c>
      <c r="E979" s="116">
        <v>1270</v>
      </c>
      <c r="F979" s="116" t="s">
        <v>2062</v>
      </c>
    </row>
    <row r="980" spans="1:6" ht="13.2">
      <c r="A980" s="116">
        <v>8503801</v>
      </c>
      <c r="B980" s="116">
        <v>20130</v>
      </c>
      <c r="C980" s="117" t="s">
        <v>3952</v>
      </c>
      <c r="D980" s="116">
        <v>2004</v>
      </c>
      <c r="E980" s="116">
        <v>1647</v>
      </c>
      <c r="F980" s="116" t="s">
        <v>2027</v>
      </c>
    </row>
    <row r="981" spans="1:6" ht="13.2">
      <c r="A981" s="116">
        <v>8504201</v>
      </c>
      <c r="B981" s="116">
        <v>160420</v>
      </c>
      <c r="C981" s="117" t="s">
        <v>3953</v>
      </c>
      <c r="D981" s="116">
        <v>2800</v>
      </c>
      <c r="E981" s="116">
        <v>6115</v>
      </c>
      <c r="F981" s="116" t="s">
        <v>2253</v>
      </c>
    </row>
    <row r="982" spans="1:6" ht="13.2">
      <c r="A982" s="116">
        <v>8504401</v>
      </c>
      <c r="B982" s="116">
        <v>81030</v>
      </c>
      <c r="C982" s="117" t="s">
        <v>3954</v>
      </c>
      <c r="D982" s="116">
        <v>26938</v>
      </c>
      <c r="E982" s="116">
        <v>18136</v>
      </c>
      <c r="F982" s="116" t="s">
        <v>2388</v>
      </c>
    </row>
    <row r="983" spans="1:6" ht="13.2">
      <c r="A983" s="116">
        <v>8504501</v>
      </c>
      <c r="B983" s="116">
        <v>71090</v>
      </c>
      <c r="C983" s="117" t="s">
        <v>3955</v>
      </c>
      <c r="D983" s="116">
        <v>3500</v>
      </c>
      <c r="E983" s="116">
        <v>12800</v>
      </c>
      <c r="F983" s="116" t="s">
        <v>2489</v>
      </c>
    </row>
    <row r="984" spans="1:6" ht="13.2">
      <c r="A984" s="116">
        <v>8505901</v>
      </c>
      <c r="B984" s="116">
        <v>190220</v>
      </c>
      <c r="C984" s="117" t="s">
        <v>3956</v>
      </c>
      <c r="D984" s="116">
        <v>719</v>
      </c>
      <c r="E984" s="116">
        <v>1201</v>
      </c>
      <c r="F984" s="116" t="s">
        <v>2963</v>
      </c>
    </row>
    <row r="985" spans="1:6" ht="13.2">
      <c r="A985" s="116">
        <v>8506801</v>
      </c>
      <c r="B985" s="116">
        <v>190220</v>
      </c>
      <c r="C985" s="117" t="s">
        <v>3957</v>
      </c>
      <c r="D985" s="116">
        <v>810</v>
      </c>
      <c r="E985" s="116">
        <v>2397</v>
      </c>
      <c r="F985" s="116" t="s">
        <v>2038</v>
      </c>
    </row>
    <row r="986" spans="1:6" ht="13.2">
      <c r="A986" s="116">
        <v>8507601</v>
      </c>
      <c r="B986" s="116">
        <v>180500</v>
      </c>
      <c r="C986" s="117" t="s">
        <v>3958</v>
      </c>
      <c r="D986" s="116">
        <v>9525</v>
      </c>
      <c r="E986" s="116">
        <v>1730</v>
      </c>
      <c r="F986" s="116" t="s">
        <v>2030</v>
      </c>
    </row>
    <row r="987" spans="1:6" ht="13.2">
      <c r="A987" s="116">
        <v>8507701</v>
      </c>
      <c r="B987" s="116">
        <v>40790</v>
      </c>
      <c r="C987" s="117" t="s">
        <v>3959</v>
      </c>
      <c r="D987" s="116">
        <v>9525</v>
      </c>
      <c r="E987" s="116">
        <v>1730</v>
      </c>
      <c r="F987" s="116" t="s">
        <v>2030</v>
      </c>
    </row>
    <row r="988" spans="1:6" ht="13.2">
      <c r="A988" s="116">
        <v>8507901</v>
      </c>
      <c r="B988" s="116">
        <v>200990</v>
      </c>
      <c r="C988" s="117" t="s">
        <v>3960</v>
      </c>
      <c r="D988" s="116">
        <v>2333</v>
      </c>
      <c r="E988" s="116">
        <v>26430</v>
      </c>
      <c r="F988" s="116" t="s">
        <v>2223</v>
      </c>
    </row>
    <row r="989" spans="1:6" ht="13.2">
      <c r="A989" s="116">
        <v>8507902</v>
      </c>
      <c r="B989" s="116">
        <v>200990</v>
      </c>
      <c r="C989" s="117" t="s">
        <v>3961</v>
      </c>
      <c r="D989" s="116">
        <v>3363</v>
      </c>
      <c r="E989" s="116">
        <v>3072</v>
      </c>
      <c r="F989" s="116" t="s">
        <v>2562</v>
      </c>
    </row>
    <row r="990" spans="1:6" ht="13.2">
      <c r="A990" s="116">
        <v>8507903</v>
      </c>
      <c r="B990" s="116">
        <v>200990</v>
      </c>
      <c r="C990" s="117" t="s">
        <v>3962</v>
      </c>
      <c r="D990" s="116">
        <v>943</v>
      </c>
      <c r="E990" s="116">
        <v>681</v>
      </c>
      <c r="F990" s="116" t="s">
        <v>2373</v>
      </c>
    </row>
    <row r="991" spans="1:6" ht="13.2">
      <c r="A991" s="116">
        <v>8507906</v>
      </c>
      <c r="B991" s="116">
        <v>220290</v>
      </c>
      <c r="C991" s="117" t="s">
        <v>3963</v>
      </c>
      <c r="D991" s="116">
        <v>943</v>
      </c>
      <c r="E991" s="116">
        <v>681</v>
      </c>
      <c r="F991" s="116" t="s">
        <v>2373</v>
      </c>
    </row>
    <row r="992" spans="1:6" ht="13.2">
      <c r="A992" s="116">
        <v>8507907</v>
      </c>
      <c r="B992" s="116">
        <v>200990</v>
      </c>
      <c r="C992" s="117" t="s">
        <v>3964</v>
      </c>
      <c r="D992" s="116">
        <v>943</v>
      </c>
      <c r="E992" s="116">
        <v>681</v>
      </c>
      <c r="F992" s="116" t="s">
        <v>2373</v>
      </c>
    </row>
    <row r="993" spans="1:6" ht="13.2">
      <c r="A993" s="116">
        <v>8507911</v>
      </c>
      <c r="B993" s="116">
        <v>200990</v>
      </c>
      <c r="C993" s="117" t="s">
        <v>3965</v>
      </c>
      <c r="D993" s="116">
        <v>478</v>
      </c>
      <c r="E993" s="116">
        <v>1519</v>
      </c>
      <c r="F993" s="116" t="s">
        <v>2079</v>
      </c>
    </row>
    <row r="994" spans="1:6" ht="13.2">
      <c r="A994" s="116">
        <v>8507913</v>
      </c>
      <c r="B994" s="116">
        <v>220290</v>
      </c>
      <c r="C994" s="117" t="s">
        <v>3919</v>
      </c>
      <c r="D994" s="116">
        <v>943</v>
      </c>
      <c r="E994" s="116">
        <v>681</v>
      </c>
      <c r="F994" s="116" t="s">
        <v>2373</v>
      </c>
    </row>
    <row r="995" spans="1:6" ht="13.2">
      <c r="A995" s="116">
        <v>8507914</v>
      </c>
      <c r="B995" s="116">
        <v>200990</v>
      </c>
      <c r="C995" s="117" t="s">
        <v>3966</v>
      </c>
      <c r="D995" s="116">
        <v>943</v>
      </c>
      <c r="E995" s="116">
        <v>681</v>
      </c>
      <c r="F995" s="116" t="s">
        <v>2373</v>
      </c>
    </row>
    <row r="996" spans="1:6" ht="13.2">
      <c r="A996" s="116">
        <v>8507916</v>
      </c>
      <c r="B996" s="116">
        <v>200990</v>
      </c>
      <c r="C996" s="117" t="s">
        <v>3967</v>
      </c>
      <c r="D996" s="116">
        <v>478</v>
      </c>
      <c r="E996" s="116">
        <v>1519</v>
      </c>
      <c r="F996" s="116" t="s">
        <v>2079</v>
      </c>
    </row>
    <row r="997" spans="1:6" ht="13.2">
      <c r="A997" s="116">
        <v>8507917</v>
      </c>
      <c r="B997" s="116">
        <v>220290</v>
      </c>
      <c r="C997" s="117" t="s">
        <v>3968</v>
      </c>
      <c r="D997" s="116">
        <v>943</v>
      </c>
      <c r="E997" s="116">
        <v>681</v>
      </c>
      <c r="F997" s="116" t="s">
        <v>2373</v>
      </c>
    </row>
    <row r="998" spans="1:6" ht="13.2">
      <c r="A998" s="116">
        <v>8507918</v>
      </c>
      <c r="B998" s="116">
        <v>220290</v>
      </c>
      <c r="C998" s="117" t="s">
        <v>3969</v>
      </c>
      <c r="D998" s="116">
        <v>943</v>
      </c>
      <c r="E998" s="116">
        <v>681</v>
      </c>
      <c r="F998" s="116" t="s">
        <v>2373</v>
      </c>
    </row>
    <row r="999" spans="1:6" ht="13.2">
      <c r="A999" s="116">
        <v>8508003</v>
      </c>
      <c r="B999" s="116">
        <v>190590</v>
      </c>
      <c r="C999" s="117" t="s">
        <v>3970</v>
      </c>
      <c r="D999" s="116">
        <v>478</v>
      </c>
      <c r="E999" s="116">
        <v>1519</v>
      </c>
      <c r="F999" s="116" t="s">
        <v>2079</v>
      </c>
    </row>
    <row r="1000" spans="1:6" ht="13.2">
      <c r="A1000" s="116">
        <v>8508004</v>
      </c>
      <c r="B1000" s="116">
        <v>190220</v>
      </c>
      <c r="C1000" s="117" t="s">
        <v>3971</v>
      </c>
      <c r="D1000" s="116">
        <v>478</v>
      </c>
      <c r="E1000" s="116">
        <v>1519</v>
      </c>
      <c r="F1000" s="116" t="s">
        <v>2079</v>
      </c>
    </row>
    <row r="1001" spans="1:6" ht="13.2">
      <c r="A1001" s="116">
        <v>8508012</v>
      </c>
      <c r="B1001" s="116">
        <v>190220</v>
      </c>
      <c r="C1001" s="117" t="s">
        <v>3972</v>
      </c>
      <c r="D1001" s="116">
        <v>1796</v>
      </c>
      <c r="E1001" s="116">
        <v>1270</v>
      </c>
      <c r="F1001" s="116" t="s">
        <v>2062</v>
      </c>
    </row>
    <row r="1002" spans="1:6" ht="13.2">
      <c r="A1002" s="116">
        <v>8508017</v>
      </c>
      <c r="B1002" s="116">
        <v>190590</v>
      </c>
      <c r="C1002" s="117" t="s">
        <v>3973</v>
      </c>
      <c r="D1002" s="116">
        <v>11500</v>
      </c>
      <c r="E1002" s="116">
        <v>1730</v>
      </c>
      <c r="F1002" s="116" t="s">
        <v>2030</v>
      </c>
    </row>
    <row r="1003" spans="1:6" ht="13.2">
      <c r="A1003" s="116">
        <v>8508101</v>
      </c>
      <c r="B1003" s="116">
        <v>190190</v>
      </c>
      <c r="C1003" s="117" t="s">
        <v>3974</v>
      </c>
      <c r="D1003" s="116">
        <v>9525</v>
      </c>
      <c r="E1003" s="116">
        <v>1730</v>
      </c>
      <c r="F1003" s="116" t="s">
        <v>2030</v>
      </c>
    </row>
    <row r="1004" spans="1:6" ht="13.2">
      <c r="A1004" s="116">
        <v>8579143</v>
      </c>
      <c r="B1004" s="116">
        <v>30250</v>
      </c>
      <c r="C1004" s="117" t="s">
        <v>3975</v>
      </c>
      <c r="D1004" s="116">
        <v>1796</v>
      </c>
      <c r="E1004" s="116">
        <v>1270</v>
      </c>
      <c r="F1004" s="116" t="s">
        <v>2062</v>
      </c>
    </row>
    <row r="1005" spans="1:6" ht="13.2">
      <c r="A1005" s="118">
        <v>8800109</v>
      </c>
      <c r="B1005" s="118">
        <v>70999</v>
      </c>
      <c r="C1005" s="119" t="s">
        <v>3976</v>
      </c>
      <c r="D1005" s="118">
        <v>2004</v>
      </c>
      <c r="E1005" s="118">
        <v>1647</v>
      </c>
      <c r="F1005" s="118" t="s">
        <v>2027</v>
      </c>
    </row>
  </sheetData>
  <mergeCells count="1">
    <mergeCell ref="A1:F1"/>
  </mergeCells>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F413"/>
  <sheetViews>
    <sheetView workbookViewId="0">
      <selection sqref="A1:B1"/>
    </sheetView>
  </sheetViews>
  <sheetFormatPr defaultColWidth="12.6640625" defaultRowHeight="15.75" customHeight="1"/>
  <sheetData>
    <row r="1" spans="1:6" ht="15.75" customHeight="1">
      <c r="A1" s="191" t="s">
        <v>3977</v>
      </c>
      <c r="B1" s="180"/>
      <c r="C1" s="1"/>
      <c r="D1" s="1"/>
    </row>
    <row r="2" spans="1:6" ht="15.75" customHeight="1">
      <c r="A2" s="192" t="s">
        <v>3978</v>
      </c>
      <c r="B2" s="180"/>
      <c r="C2" s="1"/>
      <c r="D2" s="1"/>
    </row>
    <row r="3" spans="1:6" ht="15.75" customHeight="1">
      <c r="A3" s="5" t="s">
        <v>3979</v>
      </c>
      <c r="B3" s="1"/>
      <c r="C3" s="1"/>
      <c r="D3" s="1"/>
    </row>
    <row r="4" spans="1:6" ht="15.75" customHeight="1">
      <c r="A4" s="190" t="s">
        <v>3980</v>
      </c>
      <c r="B4" s="180"/>
      <c r="C4" s="180"/>
      <c r="D4" s="180"/>
    </row>
    <row r="5" spans="1:6" ht="15.75" customHeight="1">
      <c r="A5" s="190" t="s">
        <v>3981</v>
      </c>
      <c r="B5" s="180"/>
      <c r="C5" s="180"/>
      <c r="D5" s="180"/>
    </row>
    <row r="6" spans="1:6" ht="15.75" customHeight="1">
      <c r="A6" s="190" t="s">
        <v>3982</v>
      </c>
      <c r="B6" s="180"/>
      <c r="C6" s="180"/>
      <c r="D6" s="180"/>
    </row>
    <row r="7" spans="1:6" ht="15.75" customHeight="1">
      <c r="A7" s="190" t="s">
        <v>3983</v>
      </c>
      <c r="B7" s="180"/>
      <c r="C7" s="180"/>
      <c r="D7" s="180"/>
    </row>
    <row r="8" spans="1:6" ht="15.75" customHeight="1">
      <c r="A8" s="190" t="s">
        <v>3984</v>
      </c>
      <c r="B8" s="180"/>
      <c r="C8" s="1" t="s">
        <v>3985</v>
      </c>
      <c r="D8" s="1"/>
    </row>
    <row r="9" spans="1:6" ht="15.75" customHeight="1">
      <c r="A9" s="120"/>
      <c r="B9" s="120"/>
      <c r="C9" s="4"/>
      <c r="D9" s="1"/>
    </row>
    <row r="10" spans="1:6" ht="15.75" customHeight="1">
      <c r="A10" s="121" t="s">
        <v>3986</v>
      </c>
      <c r="B10" s="122" t="s">
        <v>3987</v>
      </c>
      <c r="C10" s="123" t="s">
        <v>3988</v>
      </c>
      <c r="D10" s="124" t="s">
        <v>3989</v>
      </c>
    </row>
    <row r="11" spans="1:6" ht="15.75" customHeight="1">
      <c r="A11" s="111"/>
      <c r="B11" s="125" t="s">
        <v>3990</v>
      </c>
      <c r="C11" s="126"/>
      <c r="D11" s="127"/>
    </row>
    <row r="12" spans="1:6" ht="15.75" customHeight="1">
      <c r="A12" s="111"/>
      <c r="B12" s="128" t="s">
        <v>3991</v>
      </c>
      <c r="C12" s="126"/>
      <c r="D12" s="126"/>
    </row>
    <row r="13" spans="1:6" ht="15.75" customHeight="1">
      <c r="A13" s="129">
        <v>63001</v>
      </c>
      <c r="B13" s="130" t="s">
        <v>3992</v>
      </c>
      <c r="C13" s="126" t="s">
        <v>3993</v>
      </c>
      <c r="D13" s="42" t="s">
        <v>3994</v>
      </c>
      <c r="F13" s="131"/>
    </row>
    <row r="14" spans="1:6" ht="15.75" customHeight="1">
      <c r="A14" s="129">
        <v>63001</v>
      </c>
      <c r="B14" s="130" t="s">
        <v>3995</v>
      </c>
      <c r="C14" s="126" t="s">
        <v>3993</v>
      </c>
      <c r="D14" s="42" t="s">
        <v>3994</v>
      </c>
      <c r="F14" s="131"/>
    </row>
    <row r="15" spans="1:6" ht="15.75" customHeight="1">
      <c r="A15" s="111"/>
      <c r="B15" s="128" t="s">
        <v>3996</v>
      </c>
      <c r="C15" s="126"/>
      <c r="D15" s="132"/>
      <c r="F15" s="127"/>
    </row>
    <row r="16" spans="1:6" ht="15.75" customHeight="1">
      <c r="A16" s="129">
        <v>79038</v>
      </c>
      <c r="B16" s="130" t="s">
        <v>3997</v>
      </c>
      <c r="C16" s="126" t="s">
        <v>3998</v>
      </c>
      <c r="D16" s="42">
        <v>1</v>
      </c>
      <c r="F16" s="131"/>
    </row>
    <row r="17" spans="1:6" ht="15.75" customHeight="1">
      <c r="A17" s="129">
        <v>79002</v>
      </c>
      <c r="B17" s="130" t="s">
        <v>3588</v>
      </c>
      <c r="C17" s="126" t="s">
        <v>3999</v>
      </c>
      <c r="D17" s="42">
        <v>1</v>
      </c>
      <c r="F17" s="131"/>
    </row>
    <row r="18" spans="1:6" ht="15.75" customHeight="1">
      <c r="A18" s="129">
        <v>79038</v>
      </c>
      <c r="B18" s="130" t="s">
        <v>4000</v>
      </c>
      <c r="C18" s="126" t="s">
        <v>3998</v>
      </c>
      <c r="D18" s="42">
        <v>1</v>
      </c>
      <c r="F18" s="131"/>
    </row>
    <row r="19" spans="1:6" ht="15.75" customHeight="1">
      <c r="A19" s="129">
        <v>79008</v>
      </c>
      <c r="B19" s="130" t="s">
        <v>4001</v>
      </c>
      <c r="C19" s="126" t="s">
        <v>4002</v>
      </c>
      <c r="D19" s="42">
        <v>1</v>
      </c>
      <c r="F19" s="131"/>
    </row>
    <row r="20" spans="1:6" ht="15.75" customHeight="1">
      <c r="A20" s="129">
        <v>79006</v>
      </c>
      <c r="B20" s="130" t="s">
        <v>3590</v>
      </c>
      <c r="C20" s="126" t="s">
        <v>4002</v>
      </c>
      <c r="D20" s="42">
        <v>1</v>
      </c>
      <c r="F20" s="131"/>
    </row>
    <row r="21" spans="1:6" ht="15.75" customHeight="1">
      <c r="A21" s="129">
        <v>79007</v>
      </c>
      <c r="B21" s="130" t="s">
        <v>4003</v>
      </c>
      <c r="C21" s="126" t="s">
        <v>4004</v>
      </c>
      <c r="D21" s="42">
        <v>1</v>
      </c>
      <c r="F21" s="131"/>
    </row>
    <row r="22" spans="1:6" ht="15.75" customHeight="1">
      <c r="A22" s="129">
        <v>79038</v>
      </c>
      <c r="B22" s="130" t="s">
        <v>4005</v>
      </c>
      <c r="C22" s="126" t="s">
        <v>3998</v>
      </c>
      <c r="D22" s="44">
        <v>1</v>
      </c>
      <c r="F22" s="126"/>
    </row>
    <row r="23" spans="1:6" ht="15.75" customHeight="1">
      <c r="A23" s="111"/>
      <c r="B23" s="128" t="s">
        <v>4006</v>
      </c>
      <c r="C23" s="126"/>
      <c r="D23" s="133"/>
      <c r="F23" s="111"/>
    </row>
    <row r="24" spans="1:6" ht="15.75" customHeight="1">
      <c r="A24" s="129">
        <v>78015</v>
      </c>
      <c r="B24" s="130" t="s">
        <v>4007</v>
      </c>
      <c r="C24" s="126" t="s">
        <v>4008</v>
      </c>
      <c r="D24" s="42">
        <v>0.855000019073486</v>
      </c>
      <c r="F24" s="134"/>
    </row>
    <row r="25" spans="1:6" ht="15.75" customHeight="1">
      <c r="A25" s="129">
        <v>78006</v>
      </c>
      <c r="B25" s="130" t="s">
        <v>4009</v>
      </c>
      <c r="C25" s="126" t="s">
        <v>4010</v>
      </c>
      <c r="D25" s="42">
        <v>0.75999999046325595</v>
      </c>
      <c r="F25" s="134"/>
    </row>
    <row r="26" spans="1:6" ht="15.75" customHeight="1">
      <c r="A26" s="129">
        <v>78001</v>
      </c>
      <c r="B26" s="130" t="s">
        <v>4011</v>
      </c>
      <c r="C26" s="126" t="s">
        <v>4012</v>
      </c>
      <c r="D26" s="44">
        <v>0.855000019073486</v>
      </c>
      <c r="F26" s="135"/>
    </row>
    <row r="27" spans="1:6" ht="14.4">
      <c r="A27" s="129">
        <v>78004</v>
      </c>
      <c r="B27" s="130" t="s">
        <v>4013</v>
      </c>
      <c r="C27" s="126" t="s">
        <v>4014</v>
      </c>
      <c r="D27" s="42">
        <v>0.855000019073486</v>
      </c>
      <c r="F27" s="134"/>
    </row>
    <row r="28" spans="1:6" ht="14.4">
      <c r="A28" s="129">
        <v>78039</v>
      </c>
      <c r="B28" s="130" t="s">
        <v>4015</v>
      </c>
      <c r="C28" s="126" t="s">
        <v>4016</v>
      </c>
      <c r="D28" s="42">
        <v>0.855000019073486</v>
      </c>
      <c r="F28" s="134"/>
    </row>
    <row r="29" spans="1:6" ht="14.4">
      <c r="A29" s="129">
        <v>85010</v>
      </c>
      <c r="B29" s="130" t="s">
        <v>4017</v>
      </c>
      <c r="C29" s="126" t="s">
        <v>4018</v>
      </c>
      <c r="D29" s="42">
        <v>1</v>
      </c>
      <c r="F29" s="131"/>
    </row>
    <row r="30" spans="1:6" ht="14.4">
      <c r="A30" s="129">
        <v>78001</v>
      </c>
      <c r="B30" s="130" t="s">
        <v>4019</v>
      </c>
      <c r="C30" s="126" t="s">
        <v>4012</v>
      </c>
      <c r="D30" s="42">
        <v>0.855000019073486</v>
      </c>
      <c r="F30" s="134"/>
    </row>
    <row r="31" spans="1:6" ht="14.4">
      <c r="A31" s="129">
        <v>78007</v>
      </c>
      <c r="B31" s="130" t="s">
        <v>4020</v>
      </c>
      <c r="C31" s="126" t="s">
        <v>4021</v>
      </c>
      <c r="D31" s="42">
        <v>0.855000019073486</v>
      </c>
      <c r="F31" s="134"/>
    </row>
    <row r="32" spans="1:6" ht="14.4">
      <c r="A32" s="129">
        <v>78015</v>
      </c>
      <c r="B32" s="130" t="s">
        <v>4022</v>
      </c>
      <c r="C32" s="126" t="s">
        <v>4008</v>
      </c>
      <c r="D32" s="42">
        <v>0.855000019073486</v>
      </c>
      <c r="F32" s="134"/>
    </row>
    <row r="33" spans="1:6" ht="14.4">
      <c r="A33" s="129">
        <v>78014</v>
      </c>
      <c r="B33" s="130" t="s">
        <v>4023</v>
      </c>
      <c r="C33" s="126" t="s">
        <v>4012</v>
      </c>
      <c r="D33" s="42">
        <v>0.855000019073486</v>
      </c>
      <c r="F33" s="134"/>
    </row>
    <row r="34" spans="1:6" ht="14.4">
      <c r="A34" s="129">
        <v>78003</v>
      </c>
      <c r="B34" s="130" t="s">
        <v>4024</v>
      </c>
      <c r="C34" s="126" t="s">
        <v>4010</v>
      </c>
      <c r="D34" s="42">
        <v>0.855000019073486</v>
      </c>
      <c r="F34" s="134"/>
    </row>
    <row r="35" spans="1:6" ht="14.4">
      <c r="A35" s="129">
        <v>78001</v>
      </c>
      <c r="B35" s="130" t="s">
        <v>4025</v>
      </c>
      <c r="C35" s="126" t="s">
        <v>4012</v>
      </c>
      <c r="D35" s="42">
        <v>0.855000019073486</v>
      </c>
      <c r="F35" s="134"/>
    </row>
    <row r="36" spans="1:6" ht="14.4">
      <c r="A36" s="129">
        <v>78005</v>
      </c>
      <c r="B36" s="130" t="s">
        <v>4026</v>
      </c>
      <c r="C36" s="126" t="s">
        <v>4027</v>
      </c>
      <c r="D36" s="42">
        <v>0.855000019073486</v>
      </c>
      <c r="F36" s="134"/>
    </row>
    <row r="37" spans="1:6" ht="14.4">
      <c r="A37" s="110"/>
      <c r="B37" s="128" t="s">
        <v>4028</v>
      </c>
      <c r="C37" s="126"/>
      <c r="D37" s="133"/>
      <c r="F37" s="111"/>
    </row>
    <row r="38" spans="1:6" ht="14.4">
      <c r="A38" s="136"/>
      <c r="B38" s="137" t="s">
        <v>4028</v>
      </c>
      <c r="C38" s="136"/>
      <c r="D38" s="138"/>
      <c r="F38" s="136"/>
    </row>
    <row r="39" spans="1:6" ht="14.4">
      <c r="A39" s="129">
        <v>63019</v>
      </c>
      <c r="B39" s="130" t="s">
        <v>4029</v>
      </c>
      <c r="C39" s="126" t="s">
        <v>4030</v>
      </c>
      <c r="D39" s="42">
        <v>1</v>
      </c>
      <c r="F39" s="131"/>
    </row>
    <row r="40" spans="1:6" ht="14.4">
      <c r="A40" s="129">
        <v>63014</v>
      </c>
      <c r="B40" s="130" t="s">
        <v>4031</v>
      </c>
      <c r="C40" s="126" t="s">
        <v>4032</v>
      </c>
      <c r="D40" s="42">
        <v>1</v>
      </c>
      <c r="F40" s="131"/>
    </row>
    <row r="41" spans="1:6" ht="14.4">
      <c r="A41" s="129">
        <v>63015</v>
      </c>
      <c r="B41" s="130" t="s">
        <v>4033</v>
      </c>
      <c r="C41" s="126" t="s">
        <v>4034</v>
      </c>
      <c r="D41" s="42">
        <v>1</v>
      </c>
      <c r="F41" s="131"/>
    </row>
    <row r="42" spans="1:6" ht="14.4">
      <c r="A42" s="129">
        <v>63016</v>
      </c>
      <c r="B42" s="130" t="s">
        <v>4035</v>
      </c>
      <c r="C42" s="126" t="s">
        <v>4036</v>
      </c>
      <c r="D42" s="42">
        <v>1</v>
      </c>
      <c r="F42" s="131"/>
    </row>
    <row r="43" spans="1:6" ht="14.4">
      <c r="A43" s="129">
        <v>63021</v>
      </c>
      <c r="B43" s="130" t="s">
        <v>4037</v>
      </c>
      <c r="C43" s="126" t="s">
        <v>4038</v>
      </c>
      <c r="D43" s="42">
        <v>1</v>
      </c>
      <c r="F43" s="131"/>
    </row>
    <row r="44" spans="1:6" ht="14.4">
      <c r="A44" s="129">
        <v>63021</v>
      </c>
      <c r="B44" s="130" t="s">
        <v>4039</v>
      </c>
      <c r="C44" s="126" t="s">
        <v>4038</v>
      </c>
      <c r="D44" s="42">
        <v>1</v>
      </c>
      <c r="F44" s="131"/>
    </row>
    <row r="45" spans="1:6" ht="14.4">
      <c r="A45" s="129">
        <v>63050</v>
      </c>
      <c r="B45" s="130" t="s">
        <v>4040</v>
      </c>
      <c r="C45" s="126" t="s">
        <v>4041</v>
      </c>
      <c r="D45" s="42">
        <v>1</v>
      </c>
      <c r="F45" s="131"/>
    </row>
    <row r="46" spans="1:6" ht="14.4">
      <c r="A46" s="129">
        <v>63017</v>
      </c>
      <c r="B46" s="130" t="s">
        <v>4042</v>
      </c>
      <c r="C46" s="126" t="s">
        <v>4043</v>
      </c>
      <c r="D46" s="42">
        <v>1</v>
      </c>
      <c r="F46" s="131"/>
    </row>
    <row r="47" spans="1:6" ht="14.4">
      <c r="A47" s="136"/>
      <c r="B47" s="137" t="s">
        <v>4044</v>
      </c>
      <c r="C47" s="136"/>
      <c r="D47" s="138"/>
      <c r="F47" s="136"/>
    </row>
    <row r="48" spans="1:6" ht="14.4">
      <c r="A48" s="129">
        <v>63021</v>
      </c>
      <c r="B48" s="130" t="s">
        <v>4045</v>
      </c>
      <c r="C48" s="126" t="s">
        <v>4038</v>
      </c>
      <c r="D48" s="42">
        <v>1</v>
      </c>
      <c r="F48" s="131"/>
    </row>
    <row r="49" spans="1:6" ht="14.4">
      <c r="A49" s="110"/>
      <c r="B49" s="139" t="s">
        <v>3484</v>
      </c>
      <c r="C49" s="126"/>
      <c r="D49" s="133"/>
      <c r="F49" s="111"/>
    </row>
    <row r="50" spans="1:6" ht="14.4">
      <c r="A50" s="129">
        <v>71014</v>
      </c>
      <c r="B50" s="130" t="s">
        <v>3456</v>
      </c>
      <c r="C50" s="126" t="s">
        <v>4046</v>
      </c>
      <c r="D50" s="42">
        <v>0.82300001382827703</v>
      </c>
      <c r="F50" s="134"/>
    </row>
    <row r="51" spans="1:6" ht="14.4">
      <c r="A51" s="129">
        <v>71008</v>
      </c>
      <c r="B51" s="130" t="s">
        <v>4047</v>
      </c>
      <c r="C51" s="126" t="s">
        <v>4048</v>
      </c>
      <c r="D51" s="42">
        <v>0.82300001382827703</v>
      </c>
      <c r="F51" s="134"/>
    </row>
    <row r="52" spans="1:6" ht="14.4">
      <c r="A52" s="129">
        <v>71002</v>
      </c>
      <c r="B52" s="130" t="s">
        <v>3402</v>
      </c>
      <c r="C52" s="126" t="s">
        <v>4049</v>
      </c>
      <c r="D52" s="42">
        <v>0.82300001382827703</v>
      </c>
      <c r="F52" s="134"/>
    </row>
    <row r="53" spans="1:6" ht="14.4">
      <c r="A53" s="129">
        <v>71009</v>
      </c>
      <c r="B53" s="130" t="s">
        <v>4050</v>
      </c>
      <c r="C53" s="126" t="s">
        <v>4051</v>
      </c>
      <c r="D53" s="42">
        <v>0.82300001382827703</v>
      </c>
      <c r="F53" s="134"/>
    </row>
    <row r="54" spans="1:6" ht="14.4">
      <c r="A54" s="129">
        <v>71015</v>
      </c>
      <c r="B54" s="130" t="s">
        <v>3456</v>
      </c>
      <c r="C54" s="126" t="s">
        <v>4052</v>
      </c>
      <c r="D54" s="42">
        <v>0.82300001382827703</v>
      </c>
      <c r="F54" s="134"/>
    </row>
    <row r="55" spans="1:6" ht="14.4">
      <c r="A55" s="129">
        <v>71091</v>
      </c>
      <c r="B55" s="130" t="s">
        <v>4053</v>
      </c>
      <c r="C55" s="126" t="s">
        <v>4054</v>
      </c>
      <c r="D55" s="42">
        <v>0.82300001382827703</v>
      </c>
      <c r="F55" s="134"/>
    </row>
    <row r="56" spans="1:6" ht="14.4">
      <c r="A56" s="129">
        <v>71001</v>
      </c>
      <c r="B56" s="130" t="s">
        <v>4055</v>
      </c>
      <c r="C56" s="126" t="s">
        <v>4056</v>
      </c>
      <c r="D56" s="42">
        <v>0.82300001382827703</v>
      </c>
      <c r="F56" s="134"/>
    </row>
    <row r="57" spans="1:6" ht="14.4">
      <c r="A57" s="129">
        <v>71007</v>
      </c>
      <c r="B57" s="130" t="s">
        <v>4057</v>
      </c>
      <c r="C57" s="126" t="s">
        <v>4058</v>
      </c>
      <c r="D57" s="42">
        <v>0.82300001382827703</v>
      </c>
      <c r="F57" s="134"/>
    </row>
    <row r="58" spans="1:6" ht="14.4">
      <c r="A58" s="129">
        <v>71003</v>
      </c>
      <c r="B58" s="130" t="s">
        <v>4053</v>
      </c>
      <c r="C58" s="126" t="s">
        <v>4046</v>
      </c>
      <c r="D58" s="42">
        <v>0.82300001382827703</v>
      </c>
      <c r="F58" s="134"/>
    </row>
    <row r="59" spans="1:6" ht="14.4">
      <c r="A59" s="129">
        <v>71003</v>
      </c>
      <c r="B59" s="130" t="s">
        <v>3404</v>
      </c>
      <c r="C59" s="126" t="s">
        <v>4046</v>
      </c>
      <c r="D59" s="42">
        <v>0.82300001382827703</v>
      </c>
      <c r="F59" s="134"/>
    </row>
    <row r="60" spans="1:6" ht="14.4">
      <c r="A60" s="129">
        <v>71012</v>
      </c>
      <c r="B60" s="130" t="s">
        <v>4059</v>
      </c>
      <c r="C60" s="126" t="s">
        <v>4060</v>
      </c>
      <c r="D60" s="42">
        <v>0.82300001382827703</v>
      </c>
      <c r="F60" s="134"/>
    </row>
    <row r="61" spans="1:6" ht="14.4">
      <c r="A61" s="129">
        <v>71013</v>
      </c>
      <c r="B61" s="130" t="s">
        <v>4061</v>
      </c>
      <c r="C61" s="126" t="s">
        <v>4054</v>
      </c>
      <c r="D61" s="42">
        <v>0.76800000667571999</v>
      </c>
      <c r="F61" s="134"/>
    </row>
    <row r="62" spans="1:6" ht="14.4">
      <c r="A62" s="129">
        <v>71005</v>
      </c>
      <c r="B62" s="130" t="s">
        <v>3407</v>
      </c>
      <c r="C62" s="126" t="s">
        <v>4062</v>
      </c>
      <c r="D62" s="42">
        <v>0.82300001382827703</v>
      </c>
      <c r="F62" s="134"/>
    </row>
    <row r="63" spans="1:6" ht="14.4">
      <c r="A63" s="129">
        <v>71015</v>
      </c>
      <c r="B63" s="130" t="s">
        <v>4063</v>
      </c>
      <c r="C63" s="126" t="s">
        <v>4052</v>
      </c>
      <c r="D63" s="42">
        <v>0.82300001382827703</v>
      </c>
      <c r="F63" s="134"/>
    </row>
    <row r="64" spans="1:6" ht="14.4">
      <c r="A64" s="129">
        <v>71006</v>
      </c>
      <c r="B64" s="130" t="s">
        <v>4064</v>
      </c>
      <c r="C64" s="126" t="s">
        <v>4058</v>
      </c>
      <c r="D64" s="42">
        <v>0.82300001382827703</v>
      </c>
      <c r="F64" s="134"/>
    </row>
    <row r="65" spans="1:6" ht="14.4">
      <c r="A65" s="129">
        <v>85011</v>
      </c>
      <c r="B65" s="130" t="s">
        <v>4065</v>
      </c>
      <c r="C65" s="126" t="s">
        <v>4066</v>
      </c>
      <c r="D65" s="42">
        <v>1</v>
      </c>
      <c r="F65" s="131"/>
    </row>
    <row r="66" spans="1:6" ht="14.4">
      <c r="A66" s="129">
        <v>71031</v>
      </c>
      <c r="B66" s="130" t="s">
        <v>4067</v>
      </c>
      <c r="C66" s="126" t="s">
        <v>4068</v>
      </c>
      <c r="D66" s="42">
        <v>1</v>
      </c>
      <c r="F66" s="131"/>
    </row>
    <row r="67" spans="1:6" ht="14.4">
      <c r="A67" s="129">
        <v>71004</v>
      </c>
      <c r="B67" s="130" t="s">
        <v>4069</v>
      </c>
      <c r="C67" s="126" t="s">
        <v>4070</v>
      </c>
      <c r="D67" s="42">
        <v>0.82300001382827703</v>
      </c>
      <c r="F67" s="134"/>
    </row>
    <row r="68" spans="1:6" ht="14.4">
      <c r="A68" s="129">
        <v>71010</v>
      </c>
      <c r="B68" s="130" t="s">
        <v>4071</v>
      </c>
      <c r="C68" s="126" t="s">
        <v>4072</v>
      </c>
      <c r="D68" s="42">
        <v>0.82300001382827703</v>
      </c>
      <c r="F68" s="134"/>
    </row>
    <row r="69" spans="1:6" ht="14.4">
      <c r="A69" s="129">
        <v>71013</v>
      </c>
      <c r="B69" s="130" t="s">
        <v>4073</v>
      </c>
      <c r="C69" s="126" t="s">
        <v>4054</v>
      </c>
      <c r="D69" s="42">
        <v>0.76800000667571999</v>
      </c>
      <c r="F69" s="134"/>
    </row>
    <row r="70" spans="1:6" ht="14.4">
      <c r="A70" s="129">
        <v>71011</v>
      </c>
      <c r="B70" s="130" t="s">
        <v>4074</v>
      </c>
      <c r="C70" s="126" t="s">
        <v>4075</v>
      </c>
      <c r="D70" s="42">
        <v>0.82300001382827703</v>
      </c>
      <c r="F70" s="134"/>
    </row>
    <row r="71" spans="1:6" ht="14.4">
      <c r="A71" s="129">
        <v>71013</v>
      </c>
      <c r="B71" s="130" t="s">
        <v>4076</v>
      </c>
      <c r="C71" s="126" t="s">
        <v>4054</v>
      </c>
      <c r="D71" s="44">
        <v>0.76800000667571999</v>
      </c>
      <c r="F71" s="135"/>
    </row>
    <row r="72" spans="1:6" ht="14.4">
      <c r="A72" s="129">
        <v>71091</v>
      </c>
      <c r="B72" s="130" t="s">
        <v>4053</v>
      </c>
      <c r="C72" s="126" t="s">
        <v>4054</v>
      </c>
      <c r="D72" s="44">
        <v>0.76800000667571999</v>
      </c>
      <c r="F72" s="135"/>
    </row>
    <row r="73" spans="1:6" ht="14.4">
      <c r="A73" s="110"/>
      <c r="B73" s="139" t="s">
        <v>4077</v>
      </c>
      <c r="C73" s="126"/>
      <c r="D73" s="133"/>
      <c r="F73" s="111"/>
    </row>
    <row r="74" spans="1:6" ht="14.4">
      <c r="A74" s="129">
        <v>68004</v>
      </c>
      <c r="B74" s="130" t="s">
        <v>4078</v>
      </c>
      <c r="C74" s="126" t="s">
        <v>4079</v>
      </c>
      <c r="D74" s="42">
        <v>0.73699998855590798</v>
      </c>
      <c r="F74" s="134"/>
    </row>
    <row r="75" spans="1:6" ht="14.4">
      <c r="A75" s="129">
        <v>68043</v>
      </c>
      <c r="B75" s="130" t="s">
        <v>3212</v>
      </c>
      <c r="C75" s="126" t="s">
        <v>4080</v>
      </c>
      <c r="D75" s="42">
        <v>0.88499999046325595</v>
      </c>
      <c r="F75" s="134"/>
    </row>
    <row r="76" spans="1:6" ht="14.4">
      <c r="A76" s="129">
        <v>68033</v>
      </c>
      <c r="B76" s="130" t="s">
        <v>3198</v>
      </c>
      <c r="C76" s="126" t="s">
        <v>4081</v>
      </c>
      <c r="D76" s="42">
        <v>0.48800000548362699</v>
      </c>
      <c r="F76" s="134"/>
    </row>
    <row r="77" spans="1:6" ht="14.4">
      <c r="A77" s="129">
        <v>66001</v>
      </c>
      <c r="B77" s="130" t="s">
        <v>4082</v>
      </c>
      <c r="C77" s="126" t="s">
        <v>4083</v>
      </c>
      <c r="D77" s="42">
        <v>0.104000002145767</v>
      </c>
      <c r="F77" s="134"/>
    </row>
    <row r="78" spans="1:6" ht="14.4">
      <c r="A78" s="129">
        <v>68002</v>
      </c>
      <c r="B78" s="130" t="s">
        <v>4084</v>
      </c>
      <c r="C78" s="126" t="s">
        <v>4085</v>
      </c>
      <c r="D78" s="42">
        <v>0.87999999523162797</v>
      </c>
      <c r="F78" s="134"/>
    </row>
    <row r="79" spans="1:6" ht="14.4">
      <c r="A79" s="129">
        <v>68015</v>
      </c>
      <c r="B79" s="130" t="s">
        <v>4086</v>
      </c>
      <c r="C79" s="126" t="s">
        <v>4087</v>
      </c>
      <c r="D79" s="42">
        <v>0.64200001955032304</v>
      </c>
      <c r="F79" s="134"/>
    </row>
    <row r="80" spans="1:6" ht="14.4">
      <c r="A80" s="129">
        <v>68030</v>
      </c>
      <c r="B80" s="130" t="s">
        <v>4088</v>
      </c>
      <c r="C80" s="126" t="s">
        <v>4089</v>
      </c>
      <c r="D80" s="42">
        <v>0.87999999523162797</v>
      </c>
      <c r="F80" s="134"/>
    </row>
    <row r="81" spans="1:6" ht="14.4">
      <c r="A81" s="129">
        <v>68020</v>
      </c>
      <c r="B81" s="130" t="s">
        <v>4090</v>
      </c>
      <c r="C81" s="126" t="s">
        <v>4091</v>
      </c>
      <c r="D81" s="42">
        <v>0.45500001311302202</v>
      </c>
      <c r="F81" s="134"/>
    </row>
    <row r="82" spans="1:6" ht="14.4">
      <c r="A82" s="129">
        <v>68037</v>
      </c>
      <c r="B82" s="130" t="s">
        <v>3202</v>
      </c>
      <c r="C82" s="126" t="s">
        <v>4092</v>
      </c>
      <c r="D82" s="42">
        <v>0.88499999046325595</v>
      </c>
      <c r="F82" s="134"/>
    </row>
    <row r="83" spans="1:6" ht="14.4">
      <c r="A83" s="129">
        <v>68035</v>
      </c>
      <c r="B83" s="130" t="s">
        <v>3200</v>
      </c>
      <c r="C83" s="126" t="s">
        <v>4093</v>
      </c>
      <c r="D83" s="42">
        <v>0.69999998807907104</v>
      </c>
      <c r="F83" s="134"/>
    </row>
    <row r="84" spans="1:6" ht="14.4">
      <c r="A84" s="129">
        <v>68034</v>
      </c>
      <c r="B84" s="130" t="s">
        <v>3199</v>
      </c>
      <c r="C84" s="126" t="s">
        <v>4094</v>
      </c>
      <c r="D84" s="42">
        <v>0.587000012397766</v>
      </c>
      <c r="F84" s="134"/>
    </row>
    <row r="85" spans="1:6" ht="14.4">
      <c r="A85" s="129">
        <v>68077</v>
      </c>
      <c r="B85" s="130" t="s">
        <v>3247</v>
      </c>
      <c r="C85" s="126" t="s">
        <v>4095</v>
      </c>
      <c r="D85" s="42">
        <v>0.88499999046325595</v>
      </c>
      <c r="F85" s="134"/>
    </row>
    <row r="86" spans="1:6" ht="14.4">
      <c r="A86" s="129">
        <v>68026</v>
      </c>
      <c r="B86" s="130" t="s">
        <v>3188</v>
      </c>
      <c r="C86" s="126" t="s">
        <v>4096</v>
      </c>
      <c r="D86" s="42">
        <v>0.653999984264373</v>
      </c>
      <c r="F86" s="134"/>
    </row>
    <row r="87" spans="1:6" ht="14.4">
      <c r="A87" s="129">
        <v>68001</v>
      </c>
      <c r="B87" s="130" t="s">
        <v>4097</v>
      </c>
      <c r="C87" s="126" t="s">
        <v>4098</v>
      </c>
      <c r="D87" s="42">
        <v>0.68800002336501997</v>
      </c>
      <c r="F87" s="134"/>
    </row>
    <row r="88" spans="1:6" ht="14.4">
      <c r="A88" s="129">
        <v>68002</v>
      </c>
      <c r="B88" s="130" t="s">
        <v>4099</v>
      </c>
      <c r="C88" s="126" t="s">
        <v>4085</v>
      </c>
      <c r="D88" s="44">
        <v>0.69999998807907104</v>
      </c>
      <c r="F88" s="135"/>
    </row>
    <row r="89" spans="1:6" ht="14.4">
      <c r="A89" s="129">
        <v>68010</v>
      </c>
      <c r="B89" s="130" t="s">
        <v>4100</v>
      </c>
      <c r="C89" s="126" t="s">
        <v>4101</v>
      </c>
      <c r="D89" s="42">
        <v>0.68800002336501997</v>
      </c>
      <c r="F89" s="134"/>
    </row>
    <row r="90" spans="1:6" ht="14.4">
      <c r="A90" s="129">
        <v>68027</v>
      </c>
      <c r="B90" s="130" t="s">
        <v>3190</v>
      </c>
      <c r="C90" s="126" t="s">
        <v>4102</v>
      </c>
      <c r="D90" s="42">
        <v>0.653999984264373</v>
      </c>
      <c r="F90" s="134"/>
    </row>
    <row r="91" spans="1:6" ht="14.4">
      <c r="A91" s="129">
        <v>68003</v>
      </c>
      <c r="B91" s="130" t="s">
        <v>4103</v>
      </c>
      <c r="C91" s="126" t="s">
        <v>4104</v>
      </c>
      <c r="D91" s="42">
        <v>0.69999998807907104</v>
      </c>
      <c r="F91" s="134"/>
    </row>
    <row r="92" spans="1:6" ht="14.4">
      <c r="A92" s="129">
        <v>68014</v>
      </c>
      <c r="B92" s="130" t="s">
        <v>4105</v>
      </c>
      <c r="C92" s="126" t="s">
        <v>4106</v>
      </c>
      <c r="D92" s="42">
        <v>0.64200001955032304</v>
      </c>
      <c r="F92" s="134"/>
    </row>
    <row r="93" spans="1:6" ht="14.4">
      <c r="A93" s="129">
        <v>66001</v>
      </c>
      <c r="B93" s="130" t="s">
        <v>4107</v>
      </c>
      <c r="C93" s="126" t="s">
        <v>4083</v>
      </c>
      <c r="D93" s="42">
        <v>0.104000002145767</v>
      </c>
      <c r="F93" s="134"/>
    </row>
    <row r="94" spans="1:6" ht="14.4">
      <c r="A94" s="129">
        <v>68032</v>
      </c>
      <c r="B94" s="130" t="s">
        <v>3196</v>
      </c>
      <c r="C94" s="126" t="s">
        <v>4108</v>
      </c>
      <c r="D94" s="42">
        <v>0.60299998521804798</v>
      </c>
      <c r="F94" s="134"/>
    </row>
    <row r="95" spans="1:6" ht="14.4">
      <c r="A95" s="129">
        <v>68042</v>
      </c>
      <c r="B95" s="130" t="s">
        <v>3210</v>
      </c>
      <c r="C95" s="126" t="s">
        <v>4109</v>
      </c>
      <c r="D95" s="42">
        <v>0.87999999523162797</v>
      </c>
      <c r="F95" s="134"/>
    </row>
    <row r="96" spans="1:6" ht="14.4">
      <c r="A96" s="129">
        <v>68052</v>
      </c>
      <c r="B96" s="130" t="s">
        <v>3222</v>
      </c>
      <c r="C96" s="126" t="s">
        <v>4110</v>
      </c>
      <c r="D96" s="42">
        <v>0.88499999046325595</v>
      </c>
      <c r="F96" s="134"/>
    </row>
    <row r="97" spans="1:6" ht="14.4">
      <c r="A97" s="129">
        <v>69064</v>
      </c>
      <c r="B97" s="130" t="s">
        <v>4111</v>
      </c>
      <c r="C97" s="126" t="s">
        <v>4112</v>
      </c>
      <c r="D97" s="42">
        <v>1</v>
      </c>
      <c r="F97" s="131"/>
    </row>
    <row r="98" spans="1:6" ht="14.4">
      <c r="A98" s="129">
        <v>68012</v>
      </c>
      <c r="B98" s="130" t="s">
        <v>4113</v>
      </c>
      <c r="C98" s="126" t="s">
        <v>4114</v>
      </c>
      <c r="D98" s="42">
        <v>0.64200001955032304</v>
      </c>
      <c r="F98" s="134"/>
    </row>
    <row r="99" spans="1:6" ht="14.4">
      <c r="A99" s="129">
        <v>68013</v>
      </c>
      <c r="B99" s="130" t="s">
        <v>4115</v>
      </c>
      <c r="C99" s="126" t="s">
        <v>4116</v>
      </c>
      <c r="D99" s="42">
        <v>0.64200001955032304</v>
      </c>
      <c r="F99" s="134"/>
    </row>
    <row r="100" spans="1:6" ht="14.4">
      <c r="A100" s="129">
        <v>68002</v>
      </c>
      <c r="B100" s="130" t="s">
        <v>4117</v>
      </c>
      <c r="C100" s="126" t="s">
        <v>4085</v>
      </c>
      <c r="D100" s="42">
        <v>0.87999999523162797</v>
      </c>
      <c r="F100" s="134"/>
    </row>
    <row r="101" spans="1:6" ht="14.4">
      <c r="A101" s="129">
        <v>68014</v>
      </c>
      <c r="B101" s="130" t="s">
        <v>4118</v>
      </c>
      <c r="C101" s="126" t="s">
        <v>4106</v>
      </c>
      <c r="D101" s="42">
        <v>0.64200001955032304</v>
      </c>
      <c r="F101" s="134"/>
    </row>
    <row r="102" spans="1:6" ht="14.4">
      <c r="A102" s="129">
        <v>68039</v>
      </c>
      <c r="B102" s="130" t="s">
        <v>3206</v>
      </c>
      <c r="C102" s="126" t="s">
        <v>4119</v>
      </c>
      <c r="D102" s="42">
        <v>0.80500000715255704</v>
      </c>
      <c r="F102" s="134"/>
    </row>
    <row r="103" spans="1:6" ht="14.4">
      <c r="A103" s="129">
        <v>66017</v>
      </c>
      <c r="B103" s="130" t="s">
        <v>4120</v>
      </c>
      <c r="C103" s="126" t="s">
        <v>4121</v>
      </c>
      <c r="D103" s="42">
        <v>1</v>
      </c>
      <c r="F103" s="131"/>
    </row>
    <row r="104" spans="1:6" ht="14.4">
      <c r="A104" s="129">
        <v>68036</v>
      </c>
      <c r="B104" s="130" t="s">
        <v>3201</v>
      </c>
      <c r="C104" s="126" t="s">
        <v>4122</v>
      </c>
      <c r="D104" s="42">
        <v>0.86699998378753595</v>
      </c>
      <c r="F104" s="134"/>
    </row>
    <row r="105" spans="1:6" ht="14.4">
      <c r="A105" s="129">
        <v>68002</v>
      </c>
      <c r="B105" s="130" t="s">
        <v>4123</v>
      </c>
      <c r="C105" s="126" t="s">
        <v>4085</v>
      </c>
      <c r="D105" s="42">
        <v>0.69999998807907104</v>
      </c>
      <c r="F105" s="134"/>
    </row>
    <row r="106" spans="1:6" ht="14.4">
      <c r="A106" s="129">
        <v>68031</v>
      </c>
      <c r="B106" s="130" t="s">
        <v>3194</v>
      </c>
      <c r="C106" s="126" t="s">
        <v>4124</v>
      </c>
      <c r="D106" s="42">
        <v>0.70899999141693104</v>
      </c>
      <c r="F106" s="134"/>
    </row>
    <row r="107" spans="1:6" ht="14.4">
      <c r="A107" s="129">
        <v>68028</v>
      </c>
      <c r="B107" s="130" t="s">
        <v>3191</v>
      </c>
      <c r="C107" s="126" t="s">
        <v>4125</v>
      </c>
      <c r="D107" s="42">
        <v>0.88499999046325595</v>
      </c>
      <c r="F107" s="134"/>
    </row>
    <row r="108" spans="1:6" ht="14.4">
      <c r="A108" s="129">
        <v>68022</v>
      </c>
      <c r="B108" s="130" t="s">
        <v>3180</v>
      </c>
      <c r="C108" s="126" t="s">
        <v>4126</v>
      </c>
      <c r="D108" s="42">
        <v>0.70999997854232699</v>
      </c>
      <c r="F108" s="134"/>
    </row>
    <row r="109" spans="1:6" ht="14.4">
      <c r="A109" s="110"/>
      <c r="B109" s="139" t="s">
        <v>3068</v>
      </c>
      <c r="C109" s="126"/>
      <c r="D109" s="133"/>
      <c r="F109" s="111"/>
    </row>
    <row r="110" spans="1:6" ht="14.4">
      <c r="A110" s="129">
        <v>65034</v>
      </c>
      <c r="B110" s="130" t="s">
        <v>4127</v>
      </c>
      <c r="C110" s="126" t="s">
        <v>4128</v>
      </c>
      <c r="D110" s="42">
        <v>1</v>
      </c>
      <c r="F110" s="131"/>
    </row>
    <row r="111" spans="1:6" ht="14.4">
      <c r="A111" s="129">
        <v>65033</v>
      </c>
      <c r="B111" s="130" t="s">
        <v>4129</v>
      </c>
      <c r="C111" s="126" t="s">
        <v>4130</v>
      </c>
      <c r="D111" s="42">
        <v>1</v>
      </c>
      <c r="F111" s="131"/>
    </row>
    <row r="112" spans="1:6" ht="14.4">
      <c r="A112" s="129">
        <v>65032</v>
      </c>
      <c r="B112" s="130" t="s">
        <v>4131</v>
      </c>
      <c r="C112" s="100" t="s">
        <v>4132</v>
      </c>
      <c r="D112" s="140">
        <v>1</v>
      </c>
      <c r="F112" s="100"/>
    </row>
    <row r="113" spans="1:6" ht="14.4">
      <c r="A113" s="129">
        <v>65034</v>
      </c>
      <c r="B113" s="130" t="s">
        <v>4133</v>
      </c>
      <c r="C113" s="100" t="s">
        <v>4128</v>
      </c>
      <c r="D113" s="140">
        <v>1</v>
      </c>
      <c r="F113" s="100"/>
    </row>
    <row r="114" spans="1:6" ht="14.4">
      <c r="A114" s="110"/>
      <c r="B114" s="139" t="s">
        <v>4134</v>
      </c>
      <c r="C114" s="126"/>
      <c r="D114" s="133"/>
      <c r="F114" s="111"/>
    </row>
    <row r="115" spans="1:6" ht="14.4">
      <c r="A115" s="129">
        <v>65009</v>
      </c>
      <c r="B115" s="130" t="s">
        <v>4135</v>
      </c>
      <c r="C115" s="126" t="s">
        <v>4136</v>
      </c>
      <c r="D115" s="42">
        <v>1</v>
      </c>
      <c r="F115" s="131"/>
    </row>
    <row r="116" spans="1:6" ht="14.4">
      <c r="A116" s="129">
        <v>65009</v>
      </c>
      <c r="B116" s="130" t="s">
        <v>4137</v>
      </c>
      <c r="C116" s="126" t="s">
        <v>4136</v>
      </c>
      <c r="D116" s="42">
        <v>1</v>
      </c>
      <c r="F116" s="131"/>
    </row>
    <row r="117" spans="1:6" ht="14.4">
      <c r="A117" s="129">
        <v>65006</v>
      </c>
      <c r="B117" s="130" t="s">
        <v>3036</v>
      </c>
      <c r="C117" s="126" t="s">
        <v>4138</v>
      </c>
      <c r="D117" s="42">
        <v>1</v>
      </c>
      <c r="F117" s="131"/>
    </row>
    <row r="118" spans="1:6" ht="14.4">
      <c r="A118" s="129">
        <v>65006</v>
      </c>
      <c r="B118" s="130" t="s">
        <v>4139</v>
      </c>
      <c r="C118" s="126" t="s">
        <v>4138</v>
      </c>
      <c r="D118" s="44">
        <v>1</v>
      </c>
      <c r="F118" s="126"/>
    </row>
    <row r="119" spans="1:6" ht="14.4">
      <c r="A119" s="129">
        <v>65001</v>
      </c>
      <c r="B119" s="130" t="s">
        <v>3030</v>
      </c>
      <c r="C119" s="126" t="s">
        <v>4140</v>
      </c>
      <c r="D119" s="42">
        <v>1</v>
      </c>
      <c r="F119" s="131"/>
    </row>
    <row r="120" spans="1:6" ht="14.4">
      <c r="A120" s="129">
        <v>65006</v>
      </c>
      <c r="B120" s="130" t="s">
        <v>120</v>
      </c>
      <c r="C120" s="126" t="s">
        <v>4138</v>
      </c>
      <c r="D120" s="44">
        <v>1</v>
      </c>
      <c r="F120" s="126"/>
    </row>
    <row r="121" spans="1:6" ht="14.4">
      <c r="A121" s="110"/>
      <c r="B121" s="139" t="s">
        <v>3052</v>
      </c>
      <c r="C121" s="126"/>
      <c r="D121" s="133"/>
      <c r="F121" s="111"/>
    </row>
    <row r="122" spans="1:6" ht="14.4">
      <c r="A122" s="129">
        <v>65014</v>
      </c>
      <c r="B122" s="130" t="s">
        <v>3052</v>
      </c>
      <c r="C122" s="126" t="s">
        <v>4141</v>
      </c>
      <c r="D122" s="42">
        <v>1</v>
      </c>
      <c r="F122" s="131"/>
    </row>
    <row r="123" spans="1:6" ht="14.4">
      <c r="A123" s="110"/>
      <c r="B123" s="139" t="s">
        <v>3047</v>
      </c>
      <c r="C123" s="126"/>
      <c r="D123" s="133"/>
      <c r="F123" s="111"/>
    </row>
    <row r="124" spans="1:6" ht="14.4">
      <c r="A124" s="129">
        <v>65010</v>
      </c>
      <c r="B124" s="130" t="s">
        <v>4142</v>
      </c>
      <c r="C124" s="126" t="s">
        <v>4143</v>
      </c>
      <c r="D124" s="42">
        <v>1</v>
      </c>
      <c r="F124" s="131"/>
    </row>
    <row r="125" spans="1:6" ht="14.4">
      <c r="A125" s="129">
        <v>65010</v>
      </c>
      <c r="B125" s="130" t="s">
        <v>3047</v>
      </c>
      <c r="C125" s="126" t="s">
        <v>4143</v>
      </c>
      <c r="D125" s="42">
        <v>1</v>
      </c>
      <c r="F125" s="131"/>
    </row>
    <row r="126" spans="1:6" ht="14.4">
      <c r="A126" s="110"/>
      <c r="B126" s="139" t="s">
        <v>4144</v>
      </c>
      <c r="C126" s="126"/>
      <c r="D126" s="133"/>
      <c r="F126" s="111"/>
    </row>
    <row r="127" spans="1:6" ht="14.4">
      <c r="A127" s="129">
        <v>64008</v>
      </c>
      <c r="B127" s="130" t="s">
        <v>4145</v>
      </c>
      <c r="C127" s="126" t="s">
        <v>4146</v>
      </c>
      <c r="D127" s="42">
        <v>0.778999984264373</v>
      </c>
      <c r="F127" s="134"/>
    </row>
    <row r="128" spans="1:6" ht="14.4">
      <c r="A128" s="129">
        <v>64001</v>
      </c>
      <c r="B128" s="130" t="s">
        <v>3010</v>
      </c>
      <c r="C128" s="126" t="s">
        <v>4146</v>
      </c>
      <c r="D128" s="42">
        <v>0.778999984264373</v>
      </c>
      <c r="F128" s="134"/>
    </row>
    <row r="129" spans="1:6" ht="14.4">
      <c r="A129" s="129">
        <v>64004</v>
      </c>
      <c r="B129" s="130" t="s">
        <v>4147</v>
      </c>
      <c r="C129" s="126" t="s">
        <v>4148</v>
      </c>
      <c r="D129" s="42">
        <v>0.82200002670287997</v>
      </c>
      <c r="F129" s="134"/>
    </row>
    <row r="130" spans="1:6" ht="14.4">
      <c r="A130" s="129">
        <v>64005</v>
      </c>
      <c r="B130" s="130" t="s">
        <v>3014</v>
      </c>
      <c r="C130" s="126" t="s">
        <v>4149</v>
      </c>
      <c r="D130" s="42">
        <v>0.78899997472762995</v>
      </c>
      <c r="F130" s="134"/>
    </row>
    <row r="131" spans="1:6" ht="14.4">
      <c r="A131" s="129">
        <v>64003</v>
      </c>
      <c r="B131" s="130" t="s">
        <v>4150</v>
      </c>
      <c r="C131" s="126" t="s">
        <v>4151</v>
      </c>
      <c r="D131" s="42">
        <v>0.85799998044967596</v>
      </c>
      <c r="F131" s="134"/>
    </row>
    <row r="132" spans="1:6" ht="14.4">
      <c r="A132" s="129">
        <v>64009</v>
      </c>
      <c r="B132" s="130" t="s">
        <v>4152</v>
      </c>
      <c r="C132" s="126" t="s">
        <v>4151</v>
      </c>
      <c r="D132" s="42">
        <v>0.85799998044967596</v>
      </c>
      <c r="F132" s="134"/>
    </row>
    <row r="133" spans="1:6" ht="14.4">
      <c r="A133" s="129">
        <v>64007</v>
      </c>
      <c r="B133" s="130" t="s">
        <v>3019</v>
      </c>
      <c r="C133" s="126" t="s">
        <v>4153</v>
      </c>
      <c r="D133" s="42">
        <v>0.778999984264373</v>
      </c>
      <c r="F133" s="134"/>
    </row>
    <row r="134" spans="1:6" ht="14.4">
      <c r="A134" s="129">
        <v>64001</v>
      </c>
      <c r="B134" s="130" t="s">
        <v>4154</v>
      </c>
      <c r="C134" s="126" t="s">
        <v>4146</v>
      </c>
      <c r="D134" s="42">
        <v>0.778999984264373</v>
      </c>
      <c r="F134" s="134"/>
    </row>
    <row r="135" spans="1:6" ht="14.4">
      <c r="A135" s="129">
        <v>64006</v>
      </c>
      <c r="B135" s="130" t="s">
        <v>3016</v>
      </c>
      <c r="C135" s="126" t="s">
        <v>4155</v>
      </c>
      <c r="D135" s="42">
        <v>0.73199999332427901</v>
      </c>
      <c r="F135" s="134"/>
    </row>
    <row r="136" spans="1:6" ht="14.4">
      <c r="A136" s="110"/>
      <c r="B136" s="139" t="s">
        <v>4156</v>
      </c>
      <c r="C136" s="126"/>
      <c r="D136" s="133"/>
      <c r="F136" s="111"/>
    </row>
    <row r="137" spans="1:6" ht="14.4">
      <c r="A137" s="129">
        <v>78033</v>
      </c>
      <c r="B137" s="130" t="s">
        <v>3576</v>
      </c>
      <c r="C137" s="126" t="s">
        <v>4157</v>
      </c>
      <c r="D137" s="42">
        <v>0.903999984264373</v>
      </c>
      <c r="F137" s="134"/>
    </row>
    <row r="138" spans="1:6" ht="14.4">
      <c r="A138" s="129">
        <v>78033</v>
      </c>
      <c r="B138" s="130" t="s">
        <v>4158</v>
      </c>
      <c r="C138" s="126" t="s">
        <v>4157</v>
      </c>
      <c r="D138" s="42">
        <v>0.903999984264373</v>
      </c>
      <c r="F138" s="134"/>
    </row>
    <row r="139" spans="1:6" ht="14.4">
      <c r="A139" s="110"/>
      <c r="B139" s="139" t="s">
        <v>4159</v>
      </c>
      <c r="C139" s="126"/>
      <c r="D139" s="133"/>
      <c r="F139" s="111"/>
    </row>
    <row r="140" spans="1:6" ht="14.4">
      <c r="A140" s="129">
        <v>67009</v>
      </c>
      <c r="B140" s="130" t="s">
        <v>3119</v>
      </c>
      <c r="C140" s="126" t="s">
        <v>4160</v>
      </c>
      <c r="D140" s="42">
        <v>0.83399999141693104</v>
      </c>
      <c r="F140" s="134"/>
    </row>
    <row r="141" spans="1:6" ht="14.4">
      <c r="A141" s="129">
        <v>67015</v>
      </c>
      <c r="B141" s="130" t="s">
        <v>3124</v>
      </c>
      <c r="C141" s="126" t="s">
        <v>4161</v>
      </c>
      <c r="D141" s="42">
        <v>0.89999997615814198</v>
      </c>
      <c r="F141" s="134"/>
    </row>
    <row r="142" spans="1:6" ht="14.4">
      <c r="A142" s="129">
        <v>67005</v>
      </c>
      <c r="B142" s="130" t="s">
        <v>3115</v>
      </c>
      <c r="C142" s="126" t="s">
        <v>4162</v>
      </c>
      <c r="D142" s="42">
        <v>0.71499997377395597</v>
      </c>
      <c r="F142" s="134"/>
    </row>
    <row r="143" spans="1:6" ht="14.4">
      <c r="A143" s="129">
        <v>67012</v>
      </c>
      <c r="B143" s="130" t="s">
        <v>4163</v>
      </c>
      <c r="C143" s="126" t="s">
        <v>4164</v>
      </c>
      <c r="D143" s="42">
        <v>0.83399999141693104</v>
      </c>
      <c r="F143" s="134"/>
    </row>
    <row r="144" spans="1:6" ht="14.4">
      <c r="A144" s="129">
        <v>67013</v>
      </c>
      <c r="B144" s="130" t="s">
        <v>3122</v>
      </c>
      <c r="C144" s="126" t="s">
        <v>4165</v>
      </c>
      <c r="D144" s="42">
        <v>0.66200000047683705</v>
      </c>
      <c r="F144" s="134"/>
    </row>
    <row r="145" spans="1:6" ht="14.4">
      <c r="A145" s="129">
        <v>67051</v>
      </c>
      <c r="B145" s="130" t="s">
        <v>4166</v>
      </c>
      <c r="C145" s="126" t="s">
        <v>4167</v>
      </c>
      <c r="D145" s="44">
        <v>0.83399999141693104</v>
      </c>
      <c r="F145" s="135"/>
    </row>
    <row r="146" spans="1:6" ht="14.4">
      <c r="A146" s="129">
        <v>67001</v>
      </c>
      <c r="B146" s="130" t="s">
        <v>3111</v>
      </c>
      <c r="C146" s="126" t="s">
        <v>4168</v>
      </c>
      <c r="D146" s="42">
        <v>0.82200002670287997</v>
      </c>
      <c r="F146" s="134"/>
    </row>
    <row r="147" spans="1:6" ht="14.4">
      <c r="A147" s="129">
        <v>67006</v>
      </c>
      <c r="B147" s="130" t="s">
        <v>3116</v>
      </c>
      <c r="C147" s="126" t="s">
        <v>4169</v>
      </c>
      <c r="D147" s="42">
        <v>0.81000000238418501</v>
      </c>
      <c r="F147" s="134"/>
    </row>
    <row r="148" spans="1:6" ht="14.4">
      <c r="A148" s="129">
        <v>67051</v>
      </c>
      <c r="B148" s="130" t="s">
        <v>3159</v>
      </c>
      <c r="C148" s="126" t="s">
        <v>4167</v>
      </c>
      <c r="D148" s="42">
        <v>0.83399999141693104</v>
      </c>
      <c r="F148" s="134"/>
    </row>
    <row r="149" spans="1:6" ht="14.4">
      <c r="A149" s="129">
        <v>67045</v>
      </c>
      <c r="B149" s="130" t="s">
        <v>3156</v>
      </c>
      <c r="C149" s="126" t="s">
        <v>4170</v>
      </c>
      <c r="D149" s="42">
        <v>0.83399999141693104</v>
      </c>
      <c r="F149" s="134"/>
    </row>
    <row r="150" spans="1:6" ht="14.4">
      <c r="A150" s="129">
        <v>67040</v>
      </c>
      <c r="B150" s="130" t="s">
        <v>4171</v>
      </c>
      <c r="C150" s="126" t="s">
        <v>4172</v>
      </c>
      <c r="D150" s="42">
        <v>0.75599998235702504</v>
      </c>
      <c r="F150" s="134"/>
    </row>
    <row r="151" spans="1:6" ht="14.4">
      <c r="A151" s="129">
        <v>67017</v>
      </c>
      <c r="B151" s="130" t="s">
        <v>4173</v>
      </c>
      <c r="C151" s="126" t="s">
        <v>4174</v>
      </c>
      <c r="D151" s="42">
        <v>0.89999997615814198</v>
      </c>
      <c r="F151" s="134"/>
    </row>
    <row r="152" spans="1:6" ht="14.4">
      <c r="A152" s="129">
        <v>64011</v>
      </c>
      <c r="B152" s="130" t="s">
        <v>3024</v>
      </c>
      <c r="C152" s="126" t="s">
        <v>4175</v>
      </c>
      <c r="D152" s="42">
        <v>0.83399999141693104</v>
      </c>
      <c r="F152" s="134"/>
    </row>
    <row r="153" spans="1:6" ht="14.4">
      <c r="A153" s="129">
        <v>67054</v>
      </c>
      <c r="B153" s="130" t="s">
        <v>3162</v>
      </c>
      <c r="C153" s="126" t="s">
        <v>4176</v>
      </c>
      <c r="D153" s="42">
        <v>0.82800000905990601</v>
      </c>
      <c r="F153" s="134"/>
    </row>
    <row r="154" spans="1:6" ht="14.4">
      <c r="A154" s="129">
        <v>70012</v>
      </c>
      <c r="B154" s="130" t="s">
        <v>3394</v>
      </c>
      <c r="C154" s="126" t="s">
        <v>4177</v>
      </c>
      <c r="D154" s="42">
        <v>1</v>
      </c>
      <c r="F154" s="131"/>
    </row>
    <row r="155" spans="1:6" ht="14.4">
      <c r="A155" s="129">
        <v>64012</v>
      </c>
      <c r="B155" s="130" t="s">
        <v>3025</v>
      </c>
      <c r="C155" s="126" t="s">
        <v>4178</v>
      </c>
      <c r="D155" s="42">
        <v>0.85799998044967596</v>
      </c>
      <c r="F155" s="134"/>
    </row>
    <row r="156" spans="1:6" ht="14.4">
      <c r="A156" s="129">
        <v>67050</v>
      </c>
      <c r="B156" s="130" t="s">
        <v>3158</v>
      </c>
      <c r="C156" s="126" t="s">
        <v>4179</v>
      </c>
      <c r="D156" s="42">
        <v>0.82800000905990601</v>
      </c>
      <c r="F156" s="134"/>
    </row>
    <row r="157" spans="1:6" ht="14.4">
      <c r="A157" s="129">
        <v>67039</v>
      </c>
      <c r="B157" s="130" t="s">
        <v>3147</v>
      </c>
      <c r="C157" s="126" t="s">
        <v>4180</v>
      </c>
      <c r="D157" s="42">
        <v>0.68000000715255704</v>
      </c>
      <c r="F157" s="134"/>
    </row>
    <row r="158" spans="1:6" ht="14.4">
      <c r="A158" s="129">
        <v>67042</v>
      </c>
      <c r="B158" s="130" t="s">
        <v>3150</v>
      </c>
      <c r="C158" s="126" t="s">
        <v>4181</v>
      </c>
      <c r="D158" s="42">
        <v>0.85799998044967596</v>
      </c>
      <c r="F158" s="134"/>
    </row>
    <row r="159" spans="1:6" ht="14.4">
      <c r="A159" s="129">
        <v>67052</v>
      </c>
      <c r="B159" s="130" t="s">
        <v>3160</v>
      </c>
      <c r="C159" s="126" t="s">
        <v>4182</v>
      </c>
      <c r="D159" s="42">
        <v>0.89499998092651301</v>
      </c>
      <c r="F159" s="134"/>
    </row>
    <row r="160" spans="1:6" ht="14.4">
      <c r="A160" s="129">
        <v>67057</v>
      </c>
      <c r="B160" s="130" t="s">
        <v>3164</v>
      </c>
      <c r="C160" s="126" t="s">
        <v>4183</v>
      </c>
      <c r="D160" s="42">
        <v>0.89999997615814198</v>
      </c>
      <c r="F160" s="134"/>
    </row>
    <row r="161" spans="1:6" ht="14.4">
      <c r="A161" s="129">
        <v>67062</v>
      </c>
      <c r="B161" s="130" t="s">
        <v>3168</v>
      </c>
      <c r="C161" s="126" t="s">
        <v>4184</v>
      </c>
      <c r="D161" s="42">
        <v>0.85799998044967596</v>
      </c>
      <c r="F161" s="134"/>
    </row>
    <row r="162" spans="1:6" ht="14.4">
      <c r="A162" s="129">
        <v>67037</v>
      </c>
      <c r="B162" s="130" t="s">
        <v>3145</v>
      </c>
      <c r="C162" s="126" t="s">
        <v>4185</v>
      </c>
      <c r="D162" s="42">
        <v>0.76999998092651301</v>
      </c>
      <c r="F162" s="134"/>
    </row>
    <row r="163" spans="1:6" ht="14.4">
      <c r="A163" s="129">
        <v>67041</v>
      </c>
      <c r="B163" s="130" t="s">
        <v>3149</v>
      </c>
      <c r="C163" s="126" t="s">
        <v>4186</v>
      </c>
      <c r="D163" s="42">
        <v>0.72399997711181596</v>
      </c>
      <c r="F163" s="134"/>
    </row>
    <row r="164" spans="1:6" ht="14.4">
      <c r="A164" s="129">
        <v>67043</v>
      </c>
      <c r="B164" s="130" t="s">
        <v>3151</v>
      </c>
      <c r="C164" s="126" t="s">
        <v>4187</v>
      </c>
      <c r="D164" s="42">
        <v>0.75400000810623102</v>
      </c>
      <c r="F164" s="134"/>
    </row>
    <row r="165" spans="1:6" ht="14.4">
      <c r="A165" s="129">
        <v>67051</v>
      </c>
      <c r="B165" s="130" t="s">
        <v>4188</v>
      </c>
      <c r="C165" s="126" t="s">
        <v>4167</v>
      </c>
      <c r="D165" s="42">
        <v>0.83399999141693104</v>
      </c>
      <c r="F165" s="134"/>
    </row>
    <row r="166" spans="1:6" ht="14.4">
      <c r="A166" s="110"/>
      <c r="B166" s="139" t="s">
        <v>3455</v>
      </c>
      <c r="C166" s="126"/>
      <c r="D166" s="133"/>
      <c r="F166" s="111"/>
    </row>
    <row r="167" spans="1:6" ht="14.4">
      <c r="A167" s="129">
        <v>71033</v>
      </c>
      <c r="B167" s="130" t="s">
        <v>4189</v>
      </c>
      <c r="C167" s="126" t="s">
        <v>4190</v>
      </c>
      <c r="D167" s="42">
        <v>0.86400002241134599</v>
      </c>
      <c r="F167" s="134"/>
    </row>
    <row r="168" spans="1:6" ht="14.4">
      <c r="A168" s="129">
        <v>71144</v>
      </c>
      <c r="B168" s="130" t="s">
        <v>4073</v>
      </c>
      <c r="C168" s="126" t="s">
        <v>4054</v>
      </c>
      <c r="D168" s="42">
        <v>0.78899997472762995</v>
      </c>
      <c r="F168" s="134"/>
    </row>
    <row r="169" spans="1:6" ht="14.4">
      <c r="A169" s="129">
        <v>71033</v>
      </c>
      <c r="B169" s="130" t="s">
        <v>4191</v>
      </c>
      <c r="C169" s="126" t="s">
        <v>4190</v>
      </c>
      <c r="D169" s="42">
        <v>0.86400002241134599</v>
      </c>
      <c r="F169" s="134"/>
    </row>
    <row r="170" spans="1:6" ht="14.4">
      <c r="A170" s="129">
        <v>71034</v>
      </c>
      <c r="B170" s="130" t="s">
        <v>3469</v>
      </c>
      <c r="C170" s="126" t="s">
        <v>4192</v>
      </c>
      <c r="D170" s="42">
        <v>0.86400002241134599</v>
      </c>
      <c r="F170" s="134"/>
    </row>
    <row r="171" spans="1:6" ht="14.4">
      <c r="A171" s="129">
        <v>71037</v>
      </c>
      <c r="B171" s="130" t="s">
        <v>4193</v>
      </c>
      <c r="C171" s="126" t="s">
        <v>4194</v>
      </c>
      <c r="D171" s="42">
        <v>1</v>
      </c>
      <c r="F171" s="131"/>
    </row>
    <row r="172" spans="1:6" ht="14.4">
      <c r="A172" s="129">
        <v>71084</v>
      </c>
      <c r="B172" s="130" t="s">
        <v>4195</v>
      </c>
      <c r="C172" s="126" t="s">
        <v>4196</v>
      </c>
      <c r="D172" s="42">
        <v>0.86400002241134599</v>
      </c>
      <c r="F172" s="134"/>
    </row>
    <row r="173" spans="1:6" ht="14.4">
      <c r="A173" s="110"/>
      <c r="B173" s="139" t="s">
        <v>4197</v>
      </c>
      <c r="C173" s="126"/>
      <c r="D173" s="133"/>
      <c r="F173" s="111"/>
    </row>
    <row r="174" spans="1:6" ht="14.4">
      <c r="A174" s="129">
        <v>72003</v>
      </c>
      <c r="B174" s="130" t="s">
        <v>4198</v>
      </c>
      <c r="C174" s="126" t="s">
        <v>4199</v>
      </c>
      <c r="D174" s="42">
        <v>0.92000001668929998</v>
      </c>
      <c r="F174" s="134"/>
    </row>
    <row r="175" spans="1:6" ht="14.4">
      <c r="A175" s="129">
        <v>74081</v>
      </c>
      <c r="B175" s="130" t="s">
        <v>4200</v>
      </c>
      <c r="C175" s="100" t="s">
        <v>4201</v>
      </c>
      <c r="D175" s="140">
        <v>0.92000001668929998</v>
      </c>
      <c r="F175" s="141"/>
    </row>
    <row r="176" spans="1:6" ht="14.4">
      <c r="A176" s="129">
        <v>72103</v>
      </c>
      <c r="B176" s="130" t="s">
        <v>4202</v>
      </c>
      <c r="C176" s="126" t="s">
        <v>4203</v>
      </c>
      <c r="D176" s="42">
        <v>0.92000001668929998</v>
      </c>
      <c r="F176" s="134"/>
    </row>
    <row r="177" spans="1:6" ht="14.4">
      <c r="A177" s="129">
        <v>72353</v>
      </c>
      <c r="B177" s="130" t="s">
        <v>4204</v>
      </c>
      <c r="C177" s="126" t="s">
        <v>4205</v>
      </c>
      <c r="D177" s="42">
        <v>0.92000001668929998</v>
      </c>
      <c r="F177" s="134"/>
    </row>
    <row r="178" spans="1:6" ht="14.4">
      <c r="A178" s="129">
        <v>72093</v>
      </c>
      <c r="B178" s="130" t="s">
        <v>4206</v>
      </c>
      <c r="C178" s="126" t="s">
        <v>4207</v>
      </c>
      <c r="D178" s="42">
        <v>0.92000001668929998</v>
      </c>
      <c r="F178" s="134"/>
    </row>
    <row r="179" spans="1:6" ht="14.4">
      <c r="A179" s="129">
        <v>72143</v>
      </c>
      <c r="B179" s="130" t="s">
        <v>4208</v>
      </c>
      <c r="C179" s="126" t="s">
        <v>4199</v>
      </c>
      <c r="D179" s="42">
        <v>0.92000001668929998</v>
      </c>
      <c r="F179" s="134"/>
    </row>
    <row r="180" spans="1:6" ht="14.4">
      <c r="A180" s="129">
        <v>72033</v>
      </c>
      <c r="B180" s="130" t="s">
        <v>4209</v>
      </c>
      <c r="C180" s="126" t="s">
        <v>4210</v>
      </c>
      <c r="D180" s="42">
        <v>0.83999997377395597</v>
      </c>
      <c r="F180" s="134"/>
    </row>
    <row r="181" spans="1:6" ht="14.4">
      <c r="A181" s="129">
        <v>72003</v>
      </c>
      <c r="B181" s="130" t="s">
        <v>4211</v>
      </c>
      <c r="C181" s="126" t="s">
        <v>4199</v>
      </c>
      <c r="D181" s="44">
        <v>0.92000001668929998</v>
      </c>
      <c r="F181" s="135"/>
    </row>
    <row r="182" spans="1:6" ht="14.4">
      <c r="A182" s="129">
        <v>72003</v>
      </c>
      <c r="B182" s="130" t="s">
        <v>4212</v>
      </c>
      <c r="C182" s="126" t="s">
        <v>4199</v>
      </c>
      <c r="D182" s="44">
        <v>0.92000001668929998</v>
      </c>
      <c r="F182" s="135"/>
    </row>
    <row r="183" spans="1:6" ht="14.4">
      <c r="A183" s="129">
        <v>72273</v>
      </c>
      <c r="B183" s="130" t="s">
        <v>4213</v>
      </c>
      <c r="C183" s="126" t="s">
        <v>4214</v>
      </c>
      <c r="D183" s="42">
        <v>0.92000001668929998</v>
      </c>
      <c r="F183" s="134"/>
    </row>
    <row r="184" spans="1:6" ht="14.4">
      <c r="A184" s="129">
        <v>74141</v>
      </c>
      <c r="B184" s="130" t="s">
        <v>4215</v>
      </c>
      <c r="C184" s="126" t="s">
        <v>4216</v>
      </c>
      <c r="D184" s="42">
        <v>0.92000001668929998</v>
      </c>
      <c r="F184" s="134"/>
    </row>
    <row r="185" spans="1:6" ht="14.4">
      <c r="A185" s="129">
        <v>74122</v>
      </c>
      <c r="B185" s="130" t="s">
        <v>4217</v>
      </c>
      <c r="C185" s="126" t="s">
        <v>4216</v>
      </c>
      <c r="D185" s="42">
        <v>0.92000001668929998</v>
      </c>
      <c r="F185" s="134"/>
    </row>
    <row r="186" spans="1:6" ht="14.4">
      <c r="A186" s="129">
        <v>74041</v>
      </c>
      <c r="B186" s="130" t="s">
        <v>4218</v>
      </c>
      <c r="C186" s="126" t="s">
        <v>4219</v>
      </c>
      <c r="D186" s="42">
        <v>0.92000001668929998</v>
      </c>
      <c r="F186" s="134"/>
    </row>
    <row r="187" spans="1:6" ht="14.4">
      <c r="A187" s="129">
        <v>74031</v>
      </c>
      <c r="B187" s="130" t="s">
        <v>4220</v>
      </c>
      <c r="C187" s="126" t="s">
        <v>4221</v>
      </c>
      <c r="D187" s="42">
        <v>0.92000001668929998</v>
      </c>
      <c r="F187" s="134"/>
    </row>
    <row r="188" spans="1:6" ht="14.4">
      <c r="A188" s="129">
        <v>74221</v>
      </c>
      <c r="B188" s="130" t="s">
        <v>4222</v>
      </c>
      <c r="C188" s="126" t="s">
        <v>4216</v>
      </c>
      <c r="D188" s="42">
        <v>0.92000001668929998</v>
      </c>
      <c r="F188" s="134"/>
    </row>
    <row r="189" spans="1:6" ht="14.4">
      <c r="A189" s="129">
        <v>72275</v>
      </c>
      <c r="B189" s="130" t="s">
        <v>4223</v>
      </c>
      <c r="C189" s="126" t="s">
        <v>4214</v>
      </c>
      <c r="D189" s="42">
        <v>0.92000001668929998</v>
      </c>
      <c r="F189" s="134"/>
    </row>
    <row r="190" spans="1:6" ht="14.4">
      <c r="A190" s="129">
        <v>74251</v>
      </c>
      <c r="B190" s="130" t="s">
        <v>4224</v>
      </c>
      <c r="C190" s="126" t="s">
        <v>4216</v>
      </c>
      <c r="D190" s="42">
        <v>0.92000001668929998</v>
      </c>
      <c r="F190" s="134"/>
    </row>
    <row r="191" spans="1:6" ht="14.4">
      <c r="A191" s="129">
        <v>74323</v>
      </c>
      <c r="B191" s="130" t="s">
        <v>4225</v>
      </c>
      <c r="C191" s="126" t="s">
        <v>4226</v>
      </c>
      <c r="D191" s="42">
        <v>0.92000001668929998</v>
      </c>
      <c r="F191" s="134"/>
    </row>
    <row r="192" spans="1:6" ht="14.4">
      <c r="A192" s="129">
        <v>74023</v>
      </c>
      <c r="B192" s="130" t="s">
        <v>4227</v>
      </c>
      <c r="C192" s="126" t="s">
        <v>4216</v>
      </c>
      <c r="D192" s="42">
        <v>0.92000001668929998</v>
      </c>
      <c r="F192" s="134"/>
    </row>
    <row r="193" spans="1:6" ht="14.4">
      <c r="A193" s="129">
        <v>74191</v>
      </c>
      <c r="B193" s="130" t="s">
        <v>4228</v>
      </c>
      <c r="C193" s="126" t="s">
        <v>4216</v>
      </c>
      <c r="D193" s="42">
        <v>0.92000001668929998</v>
      </c>
      <c r="F193" s="134"/>
    </row>
    <row r="194" spans="1:6" ht="14.4">
      <c r="A194" s="129">
        <v>74003</v>
      </c>
      <c r="B194" s="130" t="s">
        <v>4229</v>
      </c>
      <c r="C194" s="126" t="s">
        <v>4216</v>
      </c>
      <c r="D194" s="42">
        <v>0.92000001668929998</v>
      </c>
      <c r="F194" s="134"/>
    </row>
    <row r="195" spans="1:6" ht="14.4">
      <c r="A195" s="129">
        <v>74109</v>
      </c>
      <c r="B195" s="130" t="s">
        <v>4230</v>
      </c>
      <c r="C195" s="126" t="s">
        <v>4231</v>
      </c>
      <c r="D195" s="42">
        <v>0.92000001668929998</v>
      </c>
      <c r="F195" s="134"/>
    </row>
    <row r="196" spans="1:6" ht="14.4">
      <c r="A196" s="129">
        <v>72113</v>
      </c>
      <c r="B196" s="130" t="s">
        <v>4232</v>
      </c>
      <c r="C196" s="126" t="s">
        <v>4233</v>
      </c>
      <c r="D196" s="42">
        <v>0.92000001668929998</v>
      </c>
      <c r="F196" s="134"/>
    </row>
    <row r="197" spans="1:6" ht="14.4">
      <c r="A197" s="129">
        <v>72003</v>
      </c>
      <c r="B197" s="130" t="s">
        <v>4234</v>
      </c>
      <c r="C197" s="126" t="s">
        <v>4199</v>
      </c>
      <c r="D197" s="44">
        <v>0.92000001668929998</v>
      </c>
      <c r="F197" s="135"/>
    </row>
    <row r="198" spans="1:6" ht="14.4">
      <c r="A198" s="129">
        <v>74011</v>
      </c>
      <c r="B198" s="130" t="s">
        <v>4235</v>
      </c>
      <c r="C198" s="126" t="s">
        <v>4216</v>
      </c>
      <c r="D198" s="42">
        <v>0.92000001668929998</v>
      </c>
      <c r="F198" s="134"/>
    </row>
    <row r="199" spans="1:6" ht="14.4">
      <c r="A199" s="129">
        <v>72003</v>
      </c>
      <c r="B199" s="130" t="s">
        <v>4236</v>
      </c>
      <c r="C199" s="126" t="s">
        <v>4199</v>
      </c>
      <c r="D199" s="44">
        <v>0.92000001668929998</v>
      </c>
      <c r="F199" s="135"/>
    </row>
    <row r="200" spans="1:6" ht="14.4">
      <c r="A200" s="129">
        <v>72363</v>
      </c>
      <c r="B200" s="130" t="s">
        <v>4237</v>
      </c>
      <c r="C200" s="126" t="s">
        <v>4238</v>
      </c>
      <c r="D200" s="42">
        <v>0.92000001668929998</v>
      </c>
      <c r="F200" s="134"/>
    </row>
    <row r="201" spans="1:6" ht="14.4">
      <c r="A201" s="129">
        <v>72365</v>
      </c>
      <c r="B201" s="130" t="s">
        <v>4239</v>
      </c>
      <c r="C201" s="126" t="s">
        <v>4238</v>
      </c>
      <c r="D201" s="42">
        <v>0.92000001668929998</v>
      </c>
      <c r="F201" s="134"/>
    </row>
    <row r="202" spans="1:6" ht="14.4">
      <c r="A202" s="129">
        <v>72003</v>
      </c>
      <c r="B202" s="130" t="s">
        <v>4240</v>
      </c>
      <c r="C202" s="126" t="s">
        <v>4199</v>
      </c>
      <c r="D202" s="42">
        <v>0.92000001668929998</v>
      </c>
      <c r="F202" s="134"/>
    </row>
    <row r="203" spans="1:6" ht="14.4">
      <c r="A203" s="129">
        <v>72003</v>
      </c>
      <c r="B203" s="130" t="s">
        <v>4241</v>
      </c>
      <c r="C203" s="126" t="s">
        <v>4199</v>
      </c>
      <c r="D203" s="44">
        <v>0.92000001668929998</v>
      </c>
      <c r="F203" s="135"/>
    </row>
    <row r="204" spans="1:6" ht="14.4">
      <c r="A204" s="129">
        <v>74111</v>
      </c>
      <c r="B204" s="130" t="s">
        <v>4242</v>
      </c>
      <c r="C204" s="126" t="s">
        <v>4243</v>
      </c>
      <c r="D204" s="42">
        <v>0.92000001668929998</v>
      </c>
      <c r="F204" s="134"/>
    </row>
    <row r="205" spans="1:6" ht="14.4">
      <c r="A205" s="129">
        <v>72003</v>
      </c>
      <c r="B205" s="130" t="s">
        <v>4244</v>
      </c>
      <c r="C205" s="126" t="s">
        <v>4199</v>
      </c>
      <c r="D205" s="42">
        <v>0.92000001668929998</v>
      </c>
      <c r="F205" s="134"/>
    </row>
    <row r="206" spans="1:6" ht="14.4">
      <c r="A206" s="129">
        <v>72003</v>
      </c>
      <c r="B206" s="130" t="s">
        <v>4245</v>
      </c>
      <c r="C206" s="126" t="s">
        <v>4199</v>
      </c>
      <c r="D206" s="42">
        <v>0.92000001668929998</v>
      </c>
      <c r="F206" s="134"/>
    </row>
    <row r="207" spans="1:6" ht="14.4">
      <c r="A207" s="129">
        <v>72013</v>
      </c>
      <c r="B207" s="130" t="s">
        <v>4246</v>
      </c>
      <c r="C207" s="126" t="s">
        <v>4247</v>
      </c>
      <c r="D207" s="42">
        <v>0.92000001668929998</v>
      </c>
      <c r="F207" s="134"/>
    </row>
    <row r="208" spans="1:6" ht="14.4">
      <c r="A208" s="129">
        <v>72271</v>
      </c>
      <c r="B208" s="130" t="s">
        <v>4248</v>
      </c>
      <c r="C208" s="126" t="s">
        <v>4214</v>
      </c>
      <c r="D208" s="42">
        <v>0.92000001668929998</v>
      </c>
      <c r="F208" s="134"/>
    </row>
    <row r="209" spans="1:6" ht="14.4">
      <c r="A209" s="129">
        <v>72003</v>
      </c>
      <c r="B209" s="130" t="s">
        <v>4249</v>
      </c>
      <c r="C209" s="126" t="s">
        <v>4199</v>
      </c>
      <c r="D209" s="44">
        <v>0.92000001668929998</v>
      </c>
      <c r="F209" s="135"/>
    </row>
    <row r="210" spans="1:6" ht="14.4">
      <c r="A210" s="110"/>
      <c r="B210" s="139" t="s">
        <v>4250</v>
      </c>
      <c r="C210" s="126"/>
      <c r="D210" s="133"/>
      <c r="F210" s="111"/>
    </row>
    <row r="211" spans="1:6" ht="14.4">
      <c r="A211" s="129">
        <v>63007</v>
      </c>
      <c r="B211" s="130" t="s">
        <v>4251</v>
      </c>
      <c r="C211" s="126" t="s">
        <v>4252</v>
      </c>
      <c r="D211" s="42">
        <v>1</v>
      </c>
      <c r="F211" s="131"/>
    </row>
    <row r="212" spans="1:6" ht="14.4">
      <c r="A212" s="129">
        <v>65004</v>
      </c>
      <c r="B212" s="130" t="s">
        <v>4253</v>
      </c>
      <c r="C212" s="126" t="s">
        <v>4254</v>
      </c>
      <c r="D212" s="42">
        <v>1</v>
      </c>
      <c r="F212" s="131"/>
    </row>
    <row r="213" spans="1:6" ht="14.4">
      <c r="A213" s="129">
        <v>63008</v>
      </c>
      <c r="B213" s="130" t="s">
        <v>4255</v>
      </c>
      <c r="C213" s="126" t="s">
        <v>4252</v>
      </c>
      <c r="D213" s="42">
        <v>0.69999998807907104</v>
      </c>
      <c r="F213" s="134"/>
    </row>
    <row r="214" spans="1:6" ht="14.4">
      <c r="A214" s="129">
        <v>63007</v>
      </c>
      <c r="B214" s="130" t="s">
        <v>4256</v>
      </c>
      <c r="C214" s="126" t="s">
        <v>4252</v>
      </c>
      <c r="D214" s="44">
        <v>1</v>
      </c>
      <c r="F214" s="126"/>
    </row>
    <row r="215" spans="1:6" ht="14.4">
      <c r="A215" s="110"/>
      <c r="B215" s="139" t="s">
        <v>4257</v>
      </c>
      <c r="C215" s="126"/>
      <c r="D215" s="133"/>
      <c r="F215" s="111"/>
    </row>
    <row r="216" spans="1:6" ht="14.4">
      <c r="A216" s="129">
        <v>78010</v>
      </c>
      <c r="B216" s="130" t="s">
        <v>4258</v>
      </c>
      <c r="C216" s="126" t="s">
        <v>4259</v>
      </c>
      <c r="D216" s="42">
        <v>1</v>
      </c>
      <c r="F216" s="131"/>
    </row>
    <row r="217" spans="1:6" ht="14.4">
      <c r="A217" s="129">
        <v>71039</v>
      </c>
      <c r="B217" s="130" t="s">
        <v>4260</v>
      </c>
      <c r="C217" s="126" t="s">
        <v>4196</v>
      </c>
      <c r="D217" s="42">
        <v>1</v>
      </c>
      <c r="F217" s="131"/>
    </row>
    <row r="218" spans="1:6" ht="14.4">
      <c r="A218" s="129">
        <v>71023</v>
      </c>
      <c r="B218" s="130" t="s">
        <v>4261</v>
      </c>
      <c r="C218" s="126" t="s">
        <v>4262</v>
      </c>
      <c r="D218" s="42">
        <v>1</v>
      </c>
      <c r="F218" s="131"/>
    </row>
    <row r="219" spans="1:6" ht="14.4">
      <c r="A219" s="129">
        <v>71025</v>
      </c>
      <c r="B219" s="130" t="s">
        <v>4263</v>
      </c>
      <c r="C219" s="126" t="s">
        <v>4264</v>
      </c>
      <c r="D219" s="42">
        <v>1</v>
      </c>
      <c r="F219" s="131"/>
    </row>
    <row r="220" spans="1:6" ht="14.4">
      <c r="A220" s="129">
        <v>71027</v>
      </c>
      <c r="B220" s="130" t="s">
        <v>4265</v>
      </c>
      <c r="C220" s="126" t="s">
        <v>4262</v>
      </c>
      <c r="D220" s="42">
        <v>0.81999999284744196</v>
      </c>
      <c r="F220" s="134"/>
    </row>
    <row r="221" spans="1:6" ht="14.4">
      <c r="A221" s="129">
        <v>71025</v>
      </c>
      <c r="B221" s="130" t="s">
        <v>4266</v>
      </c>
      <c r="C221" s="126" t="s">
        <v>4264</v>
      </c>
      <c r="D221" s="42">
        <v>1</v>
      </c>
      <c r="F221" s="131"/>
    </row>
    <row r="222" spans="1:6" ht="14.4">
      <c r="A222" s="129">
        <v>71025</v>
      </c>
      <c r="B222" s="130" t="s">
        <v>4267</v>
      </c>
      <c r="C222" s="126" t="s">
        <v>4264</v>
      </c>
      <c r="D222" s="42">
        <v>1</v>
      </c>
      <c r="F222" s="131"/>
    </row>
    <row r="223" spans="1:6" ht="14.4">
      <c r="A223" s="110"/>
      <c r="B223" s="128" t="s">
        <v>4268</v>
      </c>
      <c r="C223" s="126"/>
      <c r="D223" s="133"/>
      <c r="F223" s="111"/>
    </row>
    <row r="224" spans="1:6" ht="14.4">
      <c r="A224" s="136"/>
      <c r="B224" s="137" t="s">
        <v>3942</v>
      </c>
      <c r="C224" s="136"/>
      <c r="D224" s="138"/>
      <c r="F224" s="136"/>
    </row>
    <row r="225" spans="1:6" ht="14.4">
      <c r="A225" s="129">
        <v>82026</v>
      </c>
      <c r="B225" s="130" t="s">
        <v>4269</v>
      </c>
      <c r="C225" s="126" t="s">
        <v>4270</v>
      </c>
      <c r="D225" s="42">
        <v>1</v>
      </c>
      <c r="F225" s="131"/>
    </row>
    <row r="226" spans="1:6" ht="14.4">
      <c r="A226" s="129">
        <v>82025</v>
      </c>
      <c r="B226" s="130" t="s">
        <v>4271</v>
      </c>
      <c r="C226" s="126" t="s">
        <v>4270</v>
      </c>
      <c r="D226" s="42">
        <v>1</v>
      </c>
      <c r="F226" s="131"/>
    </row>
    <row r="227" spans="1:6" ht="14.4">
      <c r="A227" s="129">
        <v>82025</v>
      </c>
      <c r="B227" s="130" t="s">
        <v>4272</v>
      </c>
      <c r="C227" s="126" t="s">
        <v>4270</v>
      </c>
      <c r="D227" s="42">
        <v>1</v>
      </c>
      <c r="F227" s="131"/>
    </row>
    <row r="228" spans="1:6" ht="14.4">
      <c r="A228" s="136"/>
      <c r="B228" s="137" t="s">
        <v>4273</v>
      </c>
      <c r="C228" s="136"/>
      <c r="D228" s="138"/>
      <c r="F228" s="136"/>
    </row>
    <row r="229" spans="1:6" ht="14.4">
      <c r="A229" s="129">
        <v>82028</v>
      </c>
      <c r="B229" s="130" t="s">
        <v>4274</v>
      </c>
      <c r="C229" s="126" t="s">
        <v>4275</v>
      </c>
      <c r="D229" s="42">
        <v>1</v>
      </c>
      <c r="F229" s="131"/>
    </row>
    <row r="230" spans="1:6" ht="14.4">
      <c r="A230" s="129">
        <v>82028</v>
      </c>
      <c r="B230" s="130" t="s">
        <v>4276</v>
      </c>
      <c r="C230" s="126" t="s">
        <v>4275</v>
      </c>
      <c r="D230" s="42">
        <v>1</v>
      </c>
      <c r="F230" s="131"/>
    </row>
    <row r="231" spans="1:6" ht="14.4">
      <c r="A231" s="136"/>
      <c r="B231" s="137" t="s">
        <v>4277</v>
      </c>
      <c r="C231" s="136"/>
      <c r="D231" s="138"/>
      <c r="F231" s="136"/>
    </row>
    <row r="232" spans="1:6" ht="14.4">
      <c r="A232" s="129">
        <v>85001</v>
      </c>
      <c r="B232" s="130" t="s">
        <v>4278</v>
      </c>
      <c r="C232" s="126" t="s">
        <v>4279</v>
      </c>
      <c r="D232" s="42">
        <v>1</v>
      </c>
      <c r="F232" s="131"/>
    </row>
    <row r="233" spans="1:6" ht="14.4">
      <c r="A233" s="136"/>
      <c r="B233" s="137" t="s">
        <v>4280</v>
      </c>
      <c r="C233" s="136"/>
      <c r="D233" s="138"/>
      <c r="F233" s="136"/>
    </row>
    <row r="234" spans="1:6" ht="14.4">
      <c r="A234" s="129">
        <v>71056</v>
      </c>
      <c r="B234" s="130" t="s">
        <v>3466</v>
      </c>
      <c r="C234" s="126" t="s">
        <v>4281</v>
      </c>
      <c r="D234" s="42">
        <v>1</v>
      </c>
      <c r="F234" s="131"/>
    </row>
    <row r="235" spans="1:6" ht="14.4">
      <c r="A235" s="129">
        <v>71054</v>
      </c>
      <c r="B235" s="130" t="s">
        <v>3462</v>
      </c>
      <c r="C235" s="126" t="s">
        <v>4281</v>
      </c>
      <c r="D235" s="42">
        <v>1</v>
      </c>
      <c r="F235" s="131"/>
    </row>
    <row r="236" spans="1:6" ht="14.4">
      <c r="A236" s="129">
        <v>71056</v>
      </c>
      <c r="B236" s="130" t="s">
        <v>4282</v>
      </c>
      <c r="C236" s="126" t="s">
        <v>4281</v>
      </c>
      <c r="D236" s="42">
        <v>1</v>
      </c>
      <c r="F236" s="131"/>
    </row>
    <row r="237" spans="1:6" ht="14.4">
      <c r="A237" s="136"/>
      <c r="B237" s="137" t="s">
        <v>4283</v>
      </c>
      <c r="C237" s="136"/>
      <c r="D237" s="138"/>
      <c r="F237" s="136"/>
    </row>
    <row r="238" spans="1:6" ht="14.4">
      <c r="A238" s="129">
        <v>72601</v>
      </c>
      <c r="B238" s="130" t="s">
        <v>4284</v>
      </c>
      <c r="C238" s="126" t="s">
        <v>4285</v>
      </c>
      <c r="D238" s="42">
        <v>0.72000002861022905</v>
      </c>
      <c r="F238" s="134"/>
    </row>
    <row r="239" spans="1:6" ht="14.4">
      <c r="A239" s="136"/>
      <c r="B239" s="137" t="s">
        <v>4286</v>
      </c>
      <c r="C239" s="136"/>
      <c r="D239" s="138"/>
      <c r="F239" s="136"/>
    </row>
    <row r="240" spans="1:6" ht="14.4">
      <c r="A240" s="129">
        <v>66008</v>
      </c>
      <c r="B240" s="130" t="s">
        <v>4287</v>
      </c>
      <c r="C240" s="126" t="s">
        <v>4288</v>
      </c>
      <c r="D240" s="42">
        <v>0.566999971866607</v>
      </c>
      <c r="F240" s="134"/>
    </row>
    <row r="241" spans="1:6" ht="14.4">
      <c r="A241" s="111"/>
      <c r="B241" s="142" t="s">
        <v>4289</v>
      </c>
      <c r="C241" s="126"/>
      <c r="D241" s="133"/>
      <c r="F241" s="111"/>
    </row>
    <row r="242" spans="1:6" ht="14.4">
      <c r="A242" s="110"/>
      <c r="B242" s="139" t="s">
        <v>4290</v>
      </c>
      <c r="C242" s="126"/>
      <c r="D242" s="133"/>
      <c r="F242" s="111"/>
    </row>
    <row r="243" spans="1:6" ht="14.4">
      <c r="A243" s="129">
        <v>84029</v>
      </c>
      <c r="B243" s="130" t="s">
        <v>4291</v>
      </c>
      <c r="C243" s="126" t="s">
        <v>4292</v>
      </c>
      <c r="D243" s="42">
        <v>1</v>
      </c>
      <c r="F243" s="131"/>
    </row>
    <row r="244" spans="1:6" ht="14.4">
      <c r="A244" s="129">
        <v>84003</v>
      </c>
      <c r="B244" s="130" t="s">
        <v>4293</v>
      </c>
      <c r="C244" s="126" t="s">
        <v>4294</v>
      </c>
      <c r="D244" s="44">
        <v>1</v>
      </c>
      <c r="F244" s="126"/>
    </row>
    <row r="245" spans="1:6" ht="14.4">
      <c r="A245" s="129">
        <v>84008</v>
      </c>
      <c r="B245" s="130" t="s">
        <v>4295</v>
      </c>
      <c r="C245" s="126" t="s">
        <v>4296</v>
      </c>
      <c r="D245" s="42">
        <v>1</v>
      </c>
      <c r="F245" s="131"/>
    </row>
    <row r="246" spans="1:6" ht="14.4">
      <c r="A246" s="129">
        <v>84004</v>
      </c>
      <c r="B246" s="130" t="s">
        <v>4297</v>
      </c>
      <c r="C246" s="126" t="s">
        <v>4298</v>
      </c>
      <c r="D246" s="42">
        <v>1</v>
      </c>
      <c r="F246" s="131"/>
    </row>
    <row r="247" spans="1:6" ht="14.4">
      <c r="A247" s="129">
        <v>84003</v>
      </c>
      <c r="B247" s="130" t="s">
        <v>3871</v>
      </c>
      <c r="C247" s="126" t="s">
        <v>4294</v>
      </c>
      <c r="D247" s="42">
        <v>1</v>
      </c>
      <c r="F247" s="131"/>
    </row>
    <row r="248" spans="1:6" ht="14.4">
      <c r="A248" s="129">
        <v>84032</v>
      </c>
      <c r="B248" s="130" t="s">
        <v>3874</v>
      </c>
      <c r="C248" s="126" t="s">
        <v>4294</v>
      </c>
      <c r="D248" s="42">
        <v>1</v>
      </c>
      <c r="F248" s="131"/>
    </row>
    <row r="249" spans="1:6" ht="14.4">
      <c r="A249" s="129">
        <v>84001</v>
      </c>
      <c r="B249" s="130" t="s">
        <v>3870</v>
      </c>
      <c r="C249" s="126" t="s">
        <v>4299</v>
      </c>
      <c r="D249" s="42">
        <v>1</v>
      </c>
      <c r="F249" s="131"/>
    </row>
    <row r="250" spans="1:6" ht="14.4">
      <c r="A250" s="110"/>
      <c r="B250" s="139" t="s">
        <v>3331</v>
      </c>
      <c r="C250" s="126"/>
      <c r="D250" s="133"/>
      <c r="F250" s="111"/>
    </row>
    <row r="251" spans="1:6" ht="14.4">
      <c r="A251" s="129">
        <v>69001</v>
      </c>
      <c r="B251" s="130" t="s">
        <v>4300</v>
      </c>
      <c r="C251" s="126" t="s">
        <v>4301</v>
      </c>
      <c r="D251" s="42">
        <v>1</v>
      </c>
      <c r="F251" s="131"/>
    </row>
    <row r="252" spans="1:6" ht="14.4">
      <c r="A252" s="129">
        <v>69003</v>
      </c>
      <c r="B252" s="130" t="s">
        <v>4302</v>
      </c>
      <c r="C252" s="126" t="s">
        <v>4303</v>
      </c>
      <c r="D252" s="42">
        <v>1</v>
      </c>
      <c r="F252" s="131"/>
    </row>
    <row r="253" spans="1:6" ht="14.4">
      <c r="A253" s="129">
        <v>69002</v>
      </c>
      <c r="B253" s="130" t="s">
        <v>4304</v>
      </c>
      <c r="C253" s="126" t="s">
        <v>4305</v>
      </c>
      <c r="D253" s="42">
        <v>1</v>
      </c>
      <c r="F253" s="131"/>
    </row>
    <row r="254" spans="1:6" ht="14.4">
      <c r="A254" s="129">
        <v>69002</v>
      </c>
      <c r="B254" s="130" t="s">
        <v>4306</v>
      </c>
      <c r="C254" s="126" t="s">
        <v>4305</v>
      </c>
      <c r="D254" s="42">
        <v>1</v>
      </c>
      <c r="F254" s="131"/>
    </row>
    <row r="255" spans="1:6" ht="14.4">
      <c r="A255" s="129">
        <v>69066</v>
      </c>
      <c r="B255" s="130" t="s">
        <v>4307</v>
      </c>
      <c r="C255" s="126" t="s">
        <v>4308</v>
      </c>
      <c r="D255" s="42">
        <v>1</v>
      </c>
      <c r="F255" s="131"/>
    </row>
    <row r="256" spans="1:6" ht="14.4">
      <c r="A256" s="110"/>
      <c r="B256" s="139" t="s">
        <v>4309</v>
      </c>
      <c r="C256" s="126"/>
      <c r="D256" s="133"/>
      <c r="F256" s="111"/>
    </row>
    <row r="257" spans="1:6" ht="14.4">
      <c r="A257" s="129">
        <v>84018</v>
      </c>
      <c r="B257" s="130" t="s">
        <v>4310</v>
      </c>
      <c r="C257" s="126" t="s">
        <v>4311</v>
      </c>
      <c r="D257" s="42">
        <v>1</v>
      </c>
      <c r="F257" s="131"/>
    </row>
    <row r="258" spans="1:6" ht="14.4">
      <c r="A258" s="129">
        <v>79015</v>
      </c>
      <c r="B258" s="130" t="s">
        <v>3604</v>
      </c>
      <c r="C258" s="126" t="s">
        <v>4312</v>
      </c>
      <c r="D258" s="42">
        <v>1</v>
      </c>
      <c r="F258" s="131"/>
    </row>
    <row r="259" spans="1:6" ht="14.4">
      <c r="A259" s="129">
        <v>79015</v>
      </c>
      <c r="B259" s="130" t="s">
        <v>4313</v>
      </c>
      <c r="C259" s="126" t="s">
        <v>4312</v>
      </c>
      <c r="D259" s="44">
        <v>1</v>
      </c>
      <c r="F259" s="126"/>
    </row>
    <row r="260" spans="1:6" ht="14.4">
      <c r="A260" s="110"/>
      <c r="B260" s="139" t="s">
        <v>4314</v>
      </c>
      <c r="C260" s="126"/>
      <c r="D260" s="133"/>
      <c r="F260" s="111"/>
    </row>
    <row r="261" spans="1:6" ht="14.4">
      <c r="A261" s="129">
        <v>65015</v>
      </c>
      <c r="B261" s="130" t="s">
        <v>4315</v>
      </c>
      <c r="C261" s="126" t="s">
        <v>4316</v>
      </c>
      <c r="D261" s="44">
        <v>1</v>
      </c>
      <c r="F261" s="126"/>
    </row>
    <row r="262" spans="1:6" ht="14.4">
      <c r="A262" s="129">
        <v>65015</v>
      </c>
      <c r="B262" s="130" t="s">
        <v>4317</v>
      </c>
      <c r="C262" s="126" t="s">
        <v>4316</v>
      </c>
      <c r="D262" s="42">
        <v>1</v>
      </c>
      <c r="F262" s="131"/>
    </row>
    <row r="263" spans="1:6" ht="14.4">
      <c r="A263" s="129">
        <v>65007</v>
      </c>
      <c r="B263" s="130" t="s">
        <v>3041</v>
      </c>
      <c r="C263" s="126" t="s">
        <v>4318</v>
      </c>
      <c r="D263" s="42">
        <v>1</v>
      </c>
      <c r="F263" s="131"/>
    </row>
    <row r="264" spans="1:6" ht="14.4">
      <c r="A264" s="110"/>
      <c r="B264" s="128" t="s">
        <v>4268</v>
      </c>
      <c r="C264" s="126"/>
      <c r="D264" s="133"/>
      <c r="F264" s="111"/>
    </row>
    <row r="265" spans="1:6" ht="14.4">
      <c r="A265" s="136"/>
      <c r="B265" s="137" t="s">
        <v>4319</v>
      </c>
      <c r="C265" s="136"/>
      <c r="D265" s="138"/>
      <c r="F265" s="136"/>
    </row>
    <row r="266" spans="1:6" ht="14.4">
      <c r="A266" s="129">
        <v>69004</v>
      </c>
      <c r="B266" s="130" t="s">
        <v>3258</v>
      </c>
      <c r="C266" s="126" t="s">
        <v>4320</v>
      </c>
      <c r="D266" s="42">
        <v>1</v>
      </c>
      <c r="F266" s="131"/>
    </row>
    <row r="267" spans="1:6" ht="14.4">
      <c r="A267" s="129">
        <v>69016</v>
      </c>
      <c r="B267" s="130" t="s">
        <v>4321</v>
      </c>
      <c r="C267" s="126" t="s">
        <v>4322</v>
      </c>
      <c r="D267" s="42">
        <v>1</v>
      </c>
      <c r="F267" s="131"/>
    </row>
    <row r="268" spans="1:6" ht="14.4">
      <c r="A268" s="136"/>
      <c r="B268" s="137" t="s">
        <v>4323</v>
      </c>
      <c r="C268" s="136"/>
      <c r="D268" s="138"/>
      <c r="F268" s="136"/>
    </row>
    <row r="269" spans="1:6" ht="14.4">
      <c r="A269" s="129">
        <v>70088</v>
      </c>
      <c r="B269" s="130" t="s">
        <v>4324</v>
      </c>
      <c r="C269" s="126" t="s">
        <v>4325</v>
      </c>
      <c r="D269" s="42">
        <v>1</v>
      </c>
      <c r="F269" s="131"/>
    </row>
    <row r="270" spans="1:6" ht="14.4">
      <c r="A270" s="129">
        <v>70006</v>
      </c>
      <c r="B270" s="130" t="s">
        <v>4326</v>
      </c>
      <c r="C270" s="126" t="s">
        <v>4327</v>
      </c>
      <c r="D270" s="42">
        <v>1</v>
      </c>
      <c r="F270" s="131"/>
    </row>
    <row r="271" spans="1:6" ht="14.4">
      <c r="A271" s="129">
        <v>70034</v>
      </c>
      <c r="B271" s="130" t="s">
        <v>4328</v>
      </c>
      <c r="C271" s="126" t="s">
        <v>4325</v>
      </c>
      <c r="D271" s="42">
        <v>1</v>
      </c>
      <c r="F271" s="131"/>
    </row>
    <row r="272" spans="1:6" ht="14.4">
      <c r="A272" s="129">
        <v>70033</v>
      </c>
      <c r="B272" s="130" t="s">
        <v>4329</v>
      </c>
      <c r="C272" s="126" t="s">
        <v>4325</v>
      </c>
      <c r="D272" s="42">
        <v>1</v>
      </c>
      <c r="F272" s="131"/>
    </row>
    <row r="273" spans="1:6" ht="14.4">
      <c r="A273" s="136"/>
      <c r="B273" s="137" t="s">
        <v>4330</v>
      </c>
      <c r="C273" s="136"/>
      <c r="D273" s="138"/>
      <c r="F273" s="136"/>
    </row>
    <row r="274" spans="1:6" ht="14.4">
      <c r="A274" s="129">
        <v>70002</v>
      </c>
      <c r="B274" s="130" t="s">
        <v>4331</v>
      </c>
      <c r="C274" s="126" t="s">
        <v>4332</v>
      </c>
      <c r="D274" s="42">
        <v>1</v>
      </c>
      <c r="F274" s="131"/>
    </row>
    <row r="275" spans="1:6" ht="14.4">
      <c r="A275" s="129">
        <v>70001</v>
      </c>
      <c r="B275" s="130" t="s">
        <v>4333</v>
      </c>
      <c r="C275" s="126" t="s">
        <v>4334</v>
      </c>
      <c r="D275" s="42">
        <v>1</v>
      </c>
      <c r="F275" s="131"/>
    </row>
    <row r="276" spans="1:6" ht="14.4">
      <c r="A276" s="129">
        <v>70001</v>
      </c>
      <c r="B276" s="130" t="s">
        <v>4335</v>
      </c>
      <c r="C276" s="126" t="s">
        <v>4334</v>
      </c>
      <c r="D276" s="42">
        <v>1</v>
      </c>
      <c r="F276" s="131"/>
    </row>
    <row r="277" spans="1:6" ht="14.4">
      <c r="A277" s="111"/>
      <c r="B277" s="142" t="s">
        <v>4336</v>
      </c>
      <c r="C277" s="126"/>
      <c r="D277" s="133"/>
      <c r="F277" s="111"/>
    </row>
    <row r="278" spans="1:6" ht="14.4">
      <c r="A278" s="110"/>
      <c r="B278" s="139" t="s">
        <v>4337</v>
      </c>
      <c r="C278" s="126"/>
      <c r="D278" s="133"/>
      <c r="F278" s="111"/>
    </row>
    <row r="279" spans="1:6" ht="14.4">
      <c r="A279" s="129">
        <v>80001</v>
      </c>
      <c r="B279" s="130" t="s">
        <v>4338</v>
      </c>
      <c r="C279" s="126" t="s">
        <v>4339</v>
      </c>
      <c r="D279" s="42">
        <v>1</v>
      </c>
      <c r="F279" s="131"/>
    </row>
    <row r="280" spans="1:6" ht="14.4">
      <c r="A280" s="129">
        <v>65011</v>
      </c>
      <c r="B280" s="130" t="s">
        <v>3048</v>
      </c>
      <c r="C280" s="126" t="s">
        <v>4340</v>
      </c>
      <c r="D280" s="42">
        <v>1</v>
      </c>
      <c r="F280" s="131"/>
    </row>
    <row r="281" spans="1:6" ht="14.4">
      <c r="A281" s="129">
        <v>80016</v>
      </c>
      <c r="B281" s="130" t="s">
        <v>84</v>
      </c>
      <c r="C281" s="126" t="s">
        <v>4341</v>
      </c>
      <c r="D281" s="42">
        <v>1</v>
      </c>
      <c r="F281" s="131"/>
    </row>
    <row r="282" spans="1:6" ht="14.4">
      <c r="A282" s="110"/>
      <c r="B282" s="139" t="s">
        <v>4342</v>
      </c>
      <c r="C282" s="126"/>
      <c r="D282" s="133"/>
      <c r="F282" s="111"/>
    </row>
    <row r="283" spans="1:6" ht="14.4">
      <c r="A283" s="129">
        <v>79024</v>
      </c>
      <c r="B283" s="130" t="s">
        <v>4343</v>
      </c>
      <c r="C283" s="126" t="s">
        <v>4344</v>
      </c>
      <c r="D283" s="42">
        <v>1</v>
      </c>
      <c r="F283" s="131"/>
    </row>
    <row r="284" spans="1:6" ht="14.4">
      <c r="A284" s="129">
        <v>79018</v>
      </c>
      <c r="B284" s="130" t="s">
        <v>4345</v>
      </c>
      <c r="C284" s="126" t="s">
        <v>4346</v>
      </c>
      <c r="D284" s="42">
        <v>1</v>
      </c>
      <c r="F284" s="131"/>
    </row>
    <row r="285" spans="1:6" ht="14.4">
      <c r="A285" s="129">
        <v>79030</v>
      </c>
      <c r="B285" s="130" t="s">
        <v>3628</v>
      </c>
      <c r="C285" s="126" t="s">
        <v>4347</v>
      </c>
      <c r="D285" s="42">
        <v>1</v>
      </c>
      <c r="F285" s="131"/>
    </row>
    <row r="286" spans="1:6" ht="14.4">
      <c r="A286" s="129">
        <v>79020</v>
      </c>
      <c r="B286" s="130" t="s">
        <v>4348</v>
      </c>
      <c r="C286" s="126" t="s">
        <v>4349</v>
      </c>
      <c r="D286" s="42">
        <v>1</v>
      </c>
      <c r="F286" s="131"/>
    </row>
    <row r="287" spans="1:6" ht="14.4">
      <c r="A287" s="129">
        <v>79018</v>
      </c>
      <c r="B287" s="130" t="s">
        <v>4350</v>
      </c>
      <c r="C287" s="126" t="s">
        <v>4346</v>
      </c>
      <c r="D287" s="44">
        <v>1</v>
      </c>
      <c r="F287" s="126"/>
    </row>
    <row r="288" spans="1:6" ht="14.4">
      <c r="A288" s="129">
        <v>79017</v>
      </c>
      <c r="B288" s="130" t="s">
        <v>3607</v>
      </c>
      <c r="C288" s="126" t="s">
        <v>4351</v>
      </c>
      <c r="D288" s="42">
        <v>1</v>
      </c>
      <c r="F288" s="131"/>
    </row>
    <row r="289" spans="1:6" ht="14.4">
      <c r="A289" s="110"/>
      <c r="B289" s="139" t="s">
        <v>4352</v>
      </c>
      <c r="C289" s="126"/>
      <c r="D289" s="133"/>
      <c r="F289" s="111"/>
    </row>
    <row r="290" spans="1:6" ht="14.4">
      <c r="A290" s="129">
        <v>71038</v>
      </c>
      <c r="B290" s="130" t="s">
        <v>4353</v>
      </c>
      <c r="C290" s="126" t="s">
        <v>4354</v>
      </c>
      <c r="D290" s="42">
        <v>1</v>
      </c>
      <c r="F290" s="131"/>
    </row>
    <row r="291" spans="1:6" ht="14.4">
      <c r="A291" s="129">
        <v>81015</v>
      </c>
      <c r="B291" s="130" t="s">
        <v>3783</v>
      </c>
      <c r="C291" s="126" t="s">
        <v>4355</v>
      </c>
      <c r="D291" s="42">
        <v>0.86400002241134599</v>
      </c>
      <c r="F291" s="134"/>
    </row>
    <row r="292" spans="1:6" ht="14.4">
      <c r="A292" s="129">
        <v>81001</v>
      </c>
      <c r="B292" s="130" t="s">
        <v>4356</v>
      </c>
      <c r="C292" s="126" t="s">
        <v>4357</v>
      </c>
      <c r="D292" s="44">
        <v>0.76800000667571999</v>
      </c>
      <c r="F292" s="135"/>
    </row>
    <row r="293" spans="1:6" ht="14.4">
      <c r="A293" s="129">
        <v>71038</v>
      </c>
      <c r="B293" s="130" t="s">
        <v>4358</v>
      </c>
      <c r="C293" s="126" t="s">
        <v>4354</v>
      </c>
      <c r="D293" s="42">
        <v>1</v>
      </c>
      <c r="F293" s="131"/>
    </row>
    <row r="294" spans="1:6" ht="14.4">
      <c r="A294" s="129">
        <v>81001</v>
      </c>
      <c r="B294" s="130" t="s">
        <v>4359</v>
      </c>
      <c r="C294" s="126" t="s">
        <v>4357</v>
      </c>
      <c r="D294" s="42">
        <v>0.76800000667571999</v>
      </c>
      <c r="F294" s="134"/>
    </row>
    <row r="295" spans="1:6" ht="14.4">
      <c r="A295" s="129">
        <v>81002</v>
      </c>
      <c r="B295" s="130" t="s">
        <v>3758</v>
      </c>
      <c r="C295" s="126" t="s">
        <v>4357</v>
      </c>
      <c r="D295" s="42">
        <v>0.76800000667571999</v>
      </c>
      <c r="F295" s="134"/>
    </row>
    <row r="296" spans="1:6" ht="14.4">
      <c r="A296" s="129">
        <v>81015</v>
      </c>
      <c r="B296" s="130" t="s">
        <v>4360</v>
      </c>
      <c r="C296" s="126" t="s">
        <v>4355</v>
      </c>
      <c r="D296" s="42">
        <v>0.86400002241134599</v>
      </c>
      <c r="F296" s="134"/>
    </row>
    <row r="297" spans="1:6" ht="14.4">
      <c r="A297" s="129">
        <v>81017</v>
      </c>
      <c r="B297" s="130" t="s">
        <v>4361</v>
      </c>
      <c r="C297" s="126" t="s">
        <v>4355</v>
      </c>
      <c r="D297" s="42">
        <v>0.855000019073486</v>
      </c>
      <c r="F297" s="134"/>
    </row>
    <row r="298" spans="1:6" ht="14.4">
      <c r="A298" s="110"/>
      <c r="B298" s="139" t="s">
        <v>4362</v>
      </c>
      <c r="C298" s="126"/>
      <c r="D298" s="133"/>
      <c r="F298" s="111"/>
    </row>
    <row r="299" spans="1:6" ht="14.4">
      <c r="A299" s="129">
        <v>83024</v>
      </c>
      <c r="B299" s="130" t="s">
        <v>3863</v>
      </c>
      <c r="C299" s="126" t="s">
        <v>4363</v>
      </c>
      <c r="D299" s="42">
        <v>1</v>
      </c>
      <c r="F299" s="131"/>
    </row>
    <row r="300" spans="1:6" ht="14.4">
      <c r="A300" s="129">
        <v>83001</v>
      </c>
      <c r="B300" s="130" t="s">
        <v>4364</v>
      </c>
      <c r="C300" s="126" t="s">
        <v>4365</v>
      </c>
      <c r="D300" s="42">
        <v>1</v>
      </c>
      <c r="F300" s="131"/>
    </row>
    <row r="301" spans="1:6" ht="14.4">
      <c r="A301" s="110"/>
      <c r="B301" s="128" t="s">
        <v>4268</v>
      </c>
      <c r="C301" s="126"/>
      <c r="D301" s="133"/>
      <c r="F301" s="111"/>
    </row>
    <row r="302" spans="1:6" ht="14.4">
      <c r="A302" s="136"/>
      <c r="B302" s="137" t="s">
        <v>4366</v>
      </c>
      <c r="C302" s="136"/>
      <c r="D302" s="138"/>
      <c r="F302" s="136"/>
    </row>
    <row r="303" spans="1:6" ht="14.4">
      <c r="A303" s="129">
        <v>69012</v>
      </c>
      <c r="B303" s="130" t="s">
        <v>4367</v>
      </c>
      <c r="C303" s="126" t="s">
        <v>4368</v>
      </c>
      <c r="D303" s="42">
        <v>1</v>
      </c>
      <c r="F303" s="131"/>
    </row>
    <row r="304" spans="1:6" ht="14.4">
      <c r="A304" s="129">
        <v>69013</v>
      </c>
      <c r="B304" s="130" t="s">
        <v>4369</v>
      </c>
      <c r="C304" s="126" t="s">
        <v>4370</v>
      </c>
      <c r="D304" s="42">
        <v>1</v>
      </c>
      <c r="F304" s="131"/>
    </row>
    <row r="305" spans="1:6" ht="14.4">
      <c r="A305" s="129">
        <v>69014</v>
      </c>
      <c r="B305" s="130" t="s">
        <v>4371</v>
      </c>
      <c r="C305" s="126" t="s">
        <v>4372</v>
      </c>
      <c r="D305" s="42">
        <v>1</v>
      </c>
      <c r="F305" s="131"/>
    </row>
    <row r="306" spans="1:6" ht="14.4">
      <c r="A306" s="136"/>
      <c r="B306" s="137" t="s">
        <v>4373</v>
      </c>
      <c r="C306" s="136"/>
      <c r="D306" s="138"/>
      <c r="F306" s="136"/>
    </row>
    <row r="307" spans="1:6" ht="14.4">
      <c r="A307" s="129">
        <v>77030</v>
      </c>
      <c r="B307" s="130" t="s">
        <v>3538</v>
      </c>
      <c r="C307" s="126" t="s">
        <v>4374</v>
      </c>
      <c r="D307" s="42">
        <v>1</v>
      </c>
      <c r="F307" s="131"/>
    </row>
    <row r="308" spans="1:6" ht="14.4">
      <c r="A308" s="129">
        <v>72704</v>
      </c>
      <c r="B308" s="130" t="s">
        <v>3505</v>
      </c>
      <c r="C308" s="126" t="s">
        <v>4375</v>
      </c>
      <c r="D308" s="42">
        <v>0.90600001811981201</v>
      </c>
      <c r="F308" s="134"/>
    </row>
    <row r="309" spans="1:6" ht="14.4">
      <c r="A309" s="129">
        <v>77030</v>
      </c>
      <c r="B309" s="130" t="s">
        <v>4376</v>
      </c>
      <c r="C309" s="126" t="s">
        <v>4374</v>
      </c>
      <c r="D309" s="44">
        <v>1</v>
      </c>
      <c r="F309" s="126"/>
    </row>
    <row r="310" spans="1:6" ht="14.4">
      <c r="A310" s="129">
        <v>77030</v>
      </c>
      <c r="B310" s="130" t="s">
        <v>4377</v>
      </c>
      <c r="C310" s="126" t="s">
        <v>4374</v>
      </c>
      <c r="D310" s="44">
        <v>1</v>
      </c>
      <c r="F310" s="126"/>
    </row>
    <row r="311" spans="1:6" ht="14.4">
      <c r="A311" s="129">
        <v>72704</v>
      </c>
      <c r="B311" s="130" t="s">
        <v>4378</v>
      </c>
      <c r="C311" s="100" t="s">
        <v>4375</v>
      </c>
      <c r="D311" s="140">
        <v>0.90600001811981201</v>
      </c>
      <c r="F311" s="141"/>
    </row>
    <row r="312" spans="1:6" ht="14.4">
      <c r="A312" s="136"/>
      <c r="B312" s="137" t="s">
        <v>4379</v>
      </c>
      <c r="C312" s="136"/>
      <c r="D312" s="138"/>
      <c r="F312" s="136"/>
    </row>
    <row r="313" spans="1:6" ht="14.4">
      <c r="A313" s="129">
        <v>70047</v>
      </c>
      <c r="B313" s="130" t="s">
        <v>3385</v>
      </c>
      <c r="C313" s="126" t="s">
        <v>4380</v>
      </c>
      <c r="D313" s="42">
        <v>1</v>
      </c>
      <c r="F313" s="131"/>
    </row>
    <row r="314" spans="1:6" ht="14.4">
      <c r="A314" s="129">
        <v>77001</v>
      </c>
      <c r="B314" s="130" t="s">
        <v>4381</v>
      </c>
      <c r="C314" s="126" t="s">
        <v>4382</v>
      </c>
      <c r="D314" s="42">
        <v>0.566999971866607</v>
      </c>
      <c r="F314" s="134"/>
    </row>
    <row r="315" spans="1:6" ht="14.4">
      <c r="A315" s="129">
        <v>77004</v>
      </c>
      <c r="B315" s="130" t="s">
        <v>3515</v>
      </c>
      <c r="C315" s="126" t="s">
        <v>4383</v>
      </c>
      <c r="D315" s="42">
        <v>0.69999998807907104</v>
      </c>
      <c r="F315" s="134"/>
    </row>
    <row r="316" spans="1:6" ht="14.4">
      <c r="A316" s="111"/>
      <c r="B316" s="142" t="s">
        <v>4384</v>
      </c>
      <c r="C316" s="126"/>
      <c r="D316" s="133"/>
      <c r="F316" s="111"/>
    </row>
    <row r="317" spans="1:6" ht="14.4">
      <c r="A317" s="110"/>
      <c r="B317" s="128" t="s">
        <v>4385</v>
      </c>
      <c r="C317" s="126"/>
      <c r="D317" s="133"/>
      <c r="F317" s="111"/>
    </row>
    <row r="318" spans="1:6" ht="14.4">
      <c r="A318" s="129">
        <v>81021</v>
      </c>
      <c r="B318" s="130" t="s">
        <v>4386</v>
      </c>
      <c r="C318" s="126" t="s">
        <v>4387</v>
      </c>
      <c r="D318" s="42">
        <v>1</v>
      </c>
      <c r="F318" s="131"/>
    </row>
    <row r="319" spans="1:6" ht="14.4">
      <c r="A319" s="129">
        <v>81026</v>
      </c>
      <c r="B319" s="130" t="s">
        <v>3771</v>
      </c>
      <c r="C319" s="126" t="s">
        <v>4388</v>
      </c>
      <c r="D319" s="42">
        <v>1</v>
      </c>
      <c r="F319" s="131"/>
    </row>
    <row r="320" spans="1:6" ht="14.4">
      <c r="A320" s="129">
        <v>81027</v>
      </c>
      <c r="B320" s="130" t="s">
        <v>3772</v>
      </c>
      <c r="C320" s="126" t="s">
        <v>4389</v>
      </c>
      <c r="D320" s="42">
        <v>1</v>
      </c>
      <c r="F320" s="131"/>
    </row>
    <row r="321" spans="1:6" ht="14.4">
      <c r="A321" s="129">
        <v>81022</v>
      </c>
      <c r="B321" s="130" t="s">
        <v>4390</v>
      </c>
      <c r="C321" s="126" t="s">
        <v>4391</v>
      </c>
      <c r="D321" s="42">
        <v>1</v>
      </c>
      <c r="F321" s="131"/>
    </row>
    <row r="322" spans="1:6" ht="14.4">
      <c r="A322" s="129">
        <v>81029</v>
      </c>
      <c r="B322" s="130" t="s">
        <v>3775</v>
      </c>
      <c r="C322" s="126" t="s">
        <v>4392</v>
      </c>
      <c r="D322" s="42">
        <v>1</v>
      </c>
      <c r="F322" s="131"/>
    </row>
    <row r="323" spans="1:6" ht="14.4">
      <c r="A323" s="129">
        <v>81025</v>
      </c>
      <c r="B323" s="130" t="s">
        <v>3770</v>
      </c>
      <c r="C323" s="126" t="s">
        <v>4391</v>
      </c>
      <c r="D323" s="42">
        <v>1</v>
      </c>
      <c r="F323" s="131"/>
    </row>
    <row r="324" spans="1:6" ht="14.4">
      <c r="A324" s="110"/>
      <c r="B324" s="139" t="s">
        <v>4393</v>
      </c>
      <c r="C324" s="126"/>
      <c r="D324" s="133"/>
      <c r="F324" s="111"/>
    </row>
    <row r="325" spans="1:6" ht="14.4">
      <c r="A325" s="129">
        <v>80052</v>
      </c>
      <c r="B325" s="130" t="s">
        <v>3723</v>
      </c>
      <c r="C325" s="126" t="s">
        <v>4394</v>
      </c>
      <c r="D325" s="42">
        <v>1</v>
      </c>
      <c r="F325" s="131"/>
    </row>
    <row r="326" spans="1:6" ht="14.4">
      <c r="A326" s="129">
        <v>80023</v>
      </c>
      <c r="B326" s="130" t="s">
        <v>4395</v>
      </c>
      <c r="C326" s="126" t="s">
        <v>4394</v>
      </c>
      <c r="D326" s="42">
        <v>1</v>
      </c>
      <c r="F326" s="131"/>
    </row>
    <row r="327" spans="1:6" ht="14.4">
      <c r="A327" s="129">
        <v>80023</v>
      </c>
      <c r="B327" s="130" t="s">
        <v>3697</v>
      </c>
      <c r="C327" s="126" t="s">
        <v>4394</v>
      </c>
      <c r="D327" s="42">
        <v>1</v>
      </c>
      <c r="F327" s="131"/>
    </row>
    <row r="328" spans="1:6" ht="14.4">
      <c r="A328" s="110"/>
      <c r="B328" s="139" t="s">
        <v>4396</v>
      </c>
      <c r="C328" s="126"/>
      <c r="D328" s="133"/>
      <c r="F328" s="111"/>
    </row>
    <row r="329" spans="1:6" ht="14.4">
      <c r="A329" s="129">
        <v>80022</v>
      </c>
      <c r="B329" s="130" t="s">
        <v>3691</v>
      </c>
      <c r="C329" s="126" t="s">
        <v>4397</v>
      </c>
      <c r="D329" s="42">
        <v>1</v>
      </c>
      <c r="F329" s="131"/>
    </row>
    <row r="330" spans="1:6" ht="14.4">
      <c r="A330" s="110"/>
      <c r="B330" s="139" t="s">
        <v>4398</v>
      </c>
      <c r="C330" s="126"/>
      <c r="D330" s="133"/>
      <c r="F330" s="111"/>
    </row>
    <row r="331" spans="1:6" ht="14.4">
      <c r="A331" s="129">
        <v>79016</v>
      </c>
      <c r="B331" s="130" t="s">
        <v>4399</v>
      </c>
      <c r="C331" s="126" t="s">
        <v>4400</v>
      </c>
      <c r="D331" s="42">
        <v>1</v>
      </c>
      <c r="F331" s="131"/>
    </row>
    <row r="332" spans="1:6" ht="14.4">
      <c r="A332" s="110"/>
      <c r="B332" s="128" t="s">
        <v>4401</v>
      </c>
      <c r="C332" s="126"/>
      <c r="D332" s="133"/>
      <c r="F332" s="111"/>
    </row>
    <row r="333" spans="1:6" ht="14.4">
      <c r="A333" s="129">
        <v>80020</v>
      </c>
      <c r="B333" s="130" t="s">
        <v>3687</v>
      </c>
      <c r="C333" s="126" t="s">
        <v>4402</v>
      </c>
      <c r="D333" s="42">
        <v>1</v>
      </c>
      <c r="F333" s="131"/>
    </row>
    <row r="334" spans="1:6" ht="14.4">
      <c r="A334" s="129">
        <v>80002</v>
      </c>
      <c r="B334" s="130" t="s">
        <v>3675</v>
      </c>
      <c r="C334" s="126" t="s">
        <v>4402</v>
      </c>
      <c r="D334" s="42">
        <v>1</v>
      </c>
      <c r="F334" s="131"/>
    </row>
    <row r="335" spans="1:6" ht="14.4">
      <c r="A335" s="129">
        <v>80059</v>
      </c>
      <c r="B335" s="130" t="s">
        <v>4403</v>
      </c>
      <c r="C335" s="126" t="s">
        <v>4402</v>
      </c>
      <c r="D335" s="42">
        <v>1</v>
      </c>
      <c r="F335" s="131"/>
    </row>
    <row r="336" spans="1:6" ht="14.4">
      <c r="A336" s="129">
        <v>80025</v>
      </c>
      <c r="B336" s="130" t="s">
        <v>4404</v>
      </c>
      <c r="C336" s="126" t="s">
        <v>4405</v>
      </c>
      <c r="D336" s="42">
        <v>1</v>
      </c>
      <c r="F336" s="131"/>
    </row>
    <row r="337" spans="1:6" ht="14.4">
      <c r="A337" s="110"/>
      <c r="B337" s="139" t="s">
        <v>4337</v>
      </c>
      <c r="C337" s="126"/>
      <c r="D337" s="133"/>
      <c r="F337" s="111"/>
    </row>
    <row r="338" spans="1:6" ht="14.4">
      <c r="A338" s="129">
        <v>80001</v>
      </c>
      <c r="B338" s="130" t="s">
        <v>4406</v>
      </c>
      <c r="C338" s="126" t="s">
        <v>4407</v>
      </c>
      <c r="D338" s="42">
        <v>1</v>
      </c>
      <c r="F338" s="131"/>
    </row>
    <row r="339" spans="1:6" ht="14.4">
      <c r="A339" s="129">
        <v>80019</v>
      </c>
      <c r="B339" s="130" t="s">
        <v>4408</v>
      </c>
      <c r="C339" s="126" t="s">
        <v>4409</v>
      </c>
      <c r="D339" s="42">
        <v>1</v>
      </c>
      <c r="F339" s="131"/>
    </row>
    <row r="340" spans="1:6" ht="14.4">
      <c r="A340" s="129">
        <v>80005</v>
      </c>
      <c r="B340" s="130" t="s">
        <v>4410</v>
      </c>
      <c r="C340" s="126" t="s">
        <v>4407</v>
      </c>
      <c r="D340" s="42">
        <v>1</v>
      </c>
      <c r="F340" s="131"/>
    </row>
    <row r="341" spans="1:6" ht="14.4">
      <c r="A341" s="129">
        <v>80008</v>
      </c>
      <c r="B341" s="130" t="s">
        <v>462</v>
      </c>
      <c r="C341" s="126" t="s">
        <v>4411</v>
      </c>
      <c r="D341" s="42">
        <v>1</v>
      </c>
      <c r="F341" s="131"/>
    </row>
    <row r="342" spans="1:6" ht="14.4">
      <c r="A342" s="129">
        <v>80011</v>
      </c>
      <c r="B342" s="130" t="s">
        <v>3683</v>
      </c>
      <c r="C342" s="126" t="s">
        <v>4412</v>
      </c>
      <c r="D342" s="42">
        <v>1</v>
      </c>
      <c r="F342" s="131"/>
    </row>
    <row r="343" spans="1:6" ht="14.4">
      <c r="A343" s="129">
        <v>80014</v>
      </c>
      <c r="B343" s="130" t="s">
        <v>3684</v>
      </c>
      <c r="C343" s="126" t="s">
        <v>4413</v>
      </c>
      <c r="D343" s="42">
        <v>1</v>
      </c>
      <c r="F343" s="131"/>
    </row>
    <row r="344" spans="1:6" ht="14.4">
      <c r="A344" s="129">
        <v>80004</v>
      </c>
      <c r="B344" s="130" t="s">
        <v>4414</v>
      </c>
      <c r="C344" s="126" t="s">
        <v>4407</v>
      </c>
      <c r="D344" s="42">
        <v>1</v>
      </c>
      <c r="F344" s="131"/>
    </row>
    <row r="345" spans="1:6" ht="14.4">
      <c r="A345" s="129">
        <v>80021</v>
      </c>
      <c r="B345" s="130" t="s">
        <v>3689</v>
      </c>
      <c r="C345" s="126" t="s">
        <v>4415</v>
      </c>
      <c r="D345" s="42">
        <v>1</v>
      </c>
      <c r="F345" s="131"/>
    </row>
    <row r="346" spans="1:6" ht="14.4">
      <c r="A346" s="110"/>
      <c r="B346" s="128" t="s">
        <v>4416</v>
      </c>
      <c r="C346" s="126"/>
      <c r="D346" s="133"/>
      <c r="F346" s="111"/>
    </row>
    <row r="347" spans="1:6" ht="14.4">
      <c r="A347" s="136"/>
      <c r="B347" s="137" t="s">
        <v>4417</v>
      </c>
      <c r="C347" s="136"/>
      <c r="D347" s="138"/>
      <c r="F347" s="136"/>
    </row>
    <row r="348" spans="1:6" ht="14.4">
      <c r="A348" s="129">
        <v>69017</v>
      </c>
      <c r="B348" s="130" t="s">
        <v>4418</v>
      </c>
      <c r="C348" s="126" t="s">
        <v>4419</v>
      </c>
      <c r="D348" s="42">
        <v>1</v>
      </c>
      <c r="F348" s="131"/>
    </row>
    <row r="349" spans="1:6" ht="14.4">
      <c r="A349" s="129">
        <v>69017</v>
      </c>
      <c r="B349" s="130" t="s">
        <v>4420</v>
      </c>
      <c r="C349" s="126" t="s">
        <v>4419</v>
      </c>
      <c r="D349" s="42">
        <v>1</v>
      </c>
      <c r="F349" s="131"/>
    </row>
    <row r="350" spans="1:6" ht="14.4">
      <c r="A350" s="129">
        <v>69017</v>
      </c>
      <c r="B350" s="130" t="s">
        <v>4421</v>
      </c>
      <c r="C350" s="126" t="s">
        <v>4419</v>
      </c>
      <c r="D350" s="42">
        <v>1</v>
      </c>
      <c r="F350" s="131"/>
    </row>
    <row r="351" spans="1:6" ht="14.4">
      <c r="A351" s="136"/>
      <c r="B351" s="137" t="s">
        <v>4422</v>
      </c>
      <c r="C351" s="136"/>
      <c r="D351" s="138"/>
      <c r="F351" s="136"/>
    </row>
    <row r="352" spans="1:6" ht="14.4">
      <c r="A352" s="129">
        <v>69043</v>
      </c>
      <c r="B352" s="130" t="s">
        <v>3314</v>
      </c>
      <c r="C352" s="126" t="s">
        <v>4423</v>
      </c>
      <c r="D352" s="42">
        <v>1</v>
      </c>
      <c r="F352" s="131"/>
    </row>
    <row r="353" spans="1:6" ht="14.4">
      <c r="A353" s="129">
        <v>79009</v>
      </c>
      <c r="B353" s="130" t="s">
        <v>3593</v>
      </c>
      <c r="C353" s="126" t="s">
        <v>4424</v>
      </c>
      <c r="D353" s="42">
        <v>1</v>
      </c>
      <c r="F353" s="131"/>
    </row>
    <row r="354" spans="1:6" ht="14.4">
      <c r="A354" s="110"/>
      <c r="B354" s="128" t="s">
        <v>4425</v>
      </c>
      <c r="C354" s="126"/>
      <c r="D354" s="133"/>
      <c r="F354" s="111"/>
    </row>
    <row r="355" spans="1:6" ht="14.4">
      <c r="A355" s="129">
        <v>82001</v>
      </c>
      <c r="B355" s="130" t="s">
        <v>3819</v>
      </c>
      <c r="C355" s="126" t="s">
        <v>4426</v>
      </c>
      <c r="D355" s="42">
        <v>1</v>
      </c>
      <c r="F355" s="131"/>
    </row>
    <row r="356" spans="1:6" ht="14.4">
      <c r="A356" s="129">
        <v>82005</v>
      </c>
      <c r="B356" s="130" t="s">
        <v>4427</v>
      </c>
      <c r="C356" s="126" t="s">
        <v>4428</v>
      </c>
      <c r="D356" s="42">
        <v>1</v>
      </c>
      <c r="F356" s="131"/>
    </row>
    <row r="357" spans="1:6" ht="14.4">
      <c r="A357" s="129">
        <v>82003</v>
      </c>
      <c r="B357" s="130" t="s">
        <v>4429</v>
      </c>
      <c r="C357" s="126" t="s">
        <v>4430</v>
      </c>
      <c r="D357" s="42">
        <v>1</v>
      </c>
      <c r="F357" s="131"/>
    </row>
    <row r="358" spans="1:6" ht="14.4">
      <c r="A358" s="129">
        <v>82004</v>
      </c>
      <c r="B358" s="130" t="s">
        <v>4431</v>
      </c>
      <c r="C358" s="126" t="s">
        <v>4432</v>
      </c>
      <c r="D358" s="42">
        <v>1</v>
      </c>
      <c r="F358" s="131"/>
    </row>
    <row r="359" spans="1:6" ht="14.4">
      <c r="A359" s="129">
        <v>82041</v>
      </c>
      <c r="B359" s="130" t="s">
        <v>4433</v>
      </c>
      <c r="C359" s="126" t="s">
        <v>4428</v>
      </c>
      <c r="D359" s="42">
        <v>1</v>
      </c>
      <c r="F359" s="131"/>
    </row>
    <row r="360" spans="1:6" ht="14.4">
      <c r="A360" s="129">
        <v>82002</v>
      </c>
      <c r="B360" s="130" t="s">
        <v>4434</v>
      </c>
      <c r="C360" s="126" t="s">
        <v>4435</v>
      </c>
      <c r="D360" s="42">
        <v>1</v>
      </c>
      <c r="F360" s="131"/>
    </row>
    <row r="361" spans="1:6" ht="14.4">
      <c r="A361" s="129">
        <v>82001</v>
      </c>
      <c r="B361" s="130" t="s">
        <v>4436</v>
      </c>
      <c r="C361" s="126" t="s">
        <v>4426</v>
      </c>
      <c r="D361" s="42">
        <v>1</v>
      </c>
      <c r="F361" s="131"/>
    </row>
    <row r="362" spans="1:6" ht="14.4">
      <c r="A362" s="129">
        <v>82001</v>
      </c>
      <c r="B362" s="130" t="s">
        <v>4437</v>
      </c>
      <c r="C362" s="126" t="s">
        <v>4426</v>
      </c>
      <c r="D362" s="42">
        <v>1</v>
      </c>
      <c r="F362" s="131"/>
    </row>
    <row r="363" spans="1:6" ht="14.4">
      <c r="A363" s="110"/>
      <c r="B363" s="139" t="s">
        <v>3958</v>
      </c>
      <c r="C363" s="131"/>
      <c r="D363" s="133"/>
      <c r="F363" s="111"/>
    </row>
    <row r="364" spans="1:6" ht="14.4">
      <c r="A364" s="129">
        <v>69009</v>
      </c>
      <c r="B364" s="130" t="s">
        <v>4438</v>
      </c>
      <c r="C364" s="126" t="s">
        <v>4439</v>
      </c>
      <c r="D364" s="42">
        <v>1</v>
      </c>
      <c r="F364" s="131"/>
    </row>
    <row r="365" spans="1:6" ht="14.4">
      <c r="A365" s="129">
        <v>69007</v>
      </c>
      <c r="B365" s="130" t="s">
        <v>4440</v>
      </c>
      <c r="C365" s="126" t="s">
        <v>4441</v>
      </c>
      <c r="D365" s="42">
        <v>1</v>
      </c>
      <c r="F365" s="131"/>
    </row>
    <row r="366" spans="1:6" ht="14.4">
      <c r="A366" s="129">
        <v>69008</v>
      </c>
      <c r="B366" s="130" t="s">
        <v>4442</v>
      </c>
      <c r="C366" s="126" t="s">
        <v>4443</v>
      </c>
      <c r="D366" s="42">
        <v>1</v>
      </c>
      <c r="F366" s="131"/>
    </row>
    <row r="367" spans="1:6" ht="14.4">
      <c r="A367" s="110"/>
      <c r="B367" s="128" t="s">
        <v>4444</v>
      </c>
      <c r="C367" s="131"/>
      <c r="D367" s="133"/>
      <c r="F367" s="111"/>
    </row>
    <row r="368" spans="1:6" ht="14.4">
      <c r="A368" s="129">
        <v>85009</v>
      </c>
      <c r="B368" s="130" t="s">
        <v>4445</v>
      </c>
      <c r="C368" s="126" t="s">
        <v>4446</v>
      </c>
      <c r="D368" s="42">
        <v>1</v>
      </c>
      <c r="F368" s="131"/>
    </row>
    <row r="369" spans="1:6" ht="14.4">
      <c r="A369" s="129">
        <v>65029</v>
      </c>
      <c r="B369" s="130" t="s">
        <v>4447</v>
      </c>
      <c r="C369" s="126" t="s">
        <v>4448</v>
      </c>
      <c r="D369" s="42">
        <v>1</v>
      </c>
      <c r="F369" s="131"/>
    </row>
    <row r="370" spans="1:6" ht="14.4">
      <c r="A370" s="129">
        <v>65026</v>
      </c>
      <c r="B370" s="130" t="s">
        <v>4449</v>
      </c>
      <c r="C370" s="126" t="s">
        <v>4448</v>
      </c>
      <c r="D370" s="42">
        <v>1</v>
      </c>
      <c r="F370" s="131"/>
    </row>
    <row r="371" spans="1:6" ht="14.4">
      <c r="A371" s="129">
        <v>65024</v>
      </c>
      <c r="B371" s="130" t="s">
        <v>164</v>
      </c>
      <c r="C371" s="126" t="s">
        <v>4448</v>
      </c>
      <c r="D371" s="42">
        <v>1</v>
      </c>
      <c r="F371" s="131"/>
    </row>
    <row r="372" spans="1:6" ht="14.4">
      <c r="A372" s="110"/>
      <c r="B372" s="139" t="s">
        <v>4450</v>
      </c>
      <c r="C372" s="126"/>
      <c r="D372" s="133"/>
      <c r="F372" s="111"/>
    </row>
    <row r="373" spans="1:6" ht="14.4">
      <c r="A373" s="129">
        <v>85002</v>
      </c>
      <c r="B373" s="130" t="s">
        <v>3876</v>
      </c>
      <c r="C373" s="126" t="s">
        <v>4451</v>
      </c>
      <c r="D373" s="42">
        <v>1</v>
      </c>
      <c r="F373" s="131"/>
    </row>
    <row r="374" spans="1:6" ht="14.4">
      <c r="A374" s="129">
        <v>85007</v>
      </c>
      <c r="B374" s="130" t="s">
        <v>4452</v>
      </c>
      <c r="C374" s="126" t="s">
        <v>4453</v>
      </c>
      <c r="D374" s="42">
        <v>1</v>
      </c>
      <c r="F374" s="131"/>
    </row>
    <row r="375" spans="1:6" ht="14.4">
      <c r="A375" s="129">
        <v>85015</v>
      </c>
      <c r="B375" s="130" t="s">
        <v>4454</v>
      </c>
      <c r="C375" s="126" t="s">
        <v>4455</v>
      </c>
      <c r="D375" s="42">
        <v>1</v>
      </c>
      <c r="F375" s="131"/>
    </row>
    <row r="376" spans="1:6" ht="14.4">
      <c r="A376" s="129">
        <v>85003</v>
      </c>
      <c r="B376" s="130" t="s">
        <v>4456</v>
      </c>
      <c r="C376" s="126" t="s">
        <v>4457</v>
      </c>
      <c r="D376" s="42">
        <v>1</v>
      </c>
      <c r="F376" s="131"/>
    </row>
    <row r="377" spans="1:6" ht="14.4">
      <c r="A377" s="129">
        <v>85007</v>
      </c>
      <c r="B377" s="130" t="s">
        <v>4458</v>
      </c>
      <c r="C377" s="126" t="s">
        <v>4453</v>
      </c>
      <c r="D377" s="42">
        <v>1</v>
      </c>
      <c r="F377" s="131"/>
    </row>
    <row r="378" spans="1:6" ht="14.4">
      <c r="A378" s="110"/>
      <c r="B378" s="128" t="s">
        <v>4459</v>
      </c>
      <c r="C378" s="126"/>
      <c r="D378" s="133"/>
      <c r="F378" s="111"/>
    </row>
    <row r="379" spans="1:6" ht="14.4">
      <c r="A379" s="129">
        <v>82024</v>
      </c>
      <c r="B379" s="130" t="s">
        <v>4460</v>
      </c>
      <c r="C379" s="126" t="s">
        <v>4461</v>
      </c>
      <c r="D379" s="42">
        <v>1</v>
      </c>
      <c r="F379" s="131"/>
    </row>
    <row r="380" spans="1:6" ht="14.4">
      <c r="A380" s="129">
        <v>82022</v>
      </c>
      <c r="B380" s="130" t="s">
        <v>4462</v>
      </c>
      <c r="C380" s="126" t="s">
        <v>4463</v>
      </c>
      <c r="D380" s="42">
        <v>1</v>
      </c>
      <c r="F380" s="131"/>
    </row>
    <row r="381" spans="1:6" ht="14.4">
      <c r="A381" s="129">
        <v>82059</v>
      </c>
      <c r="B381" s="130" t="s">
        <v>3826</v>
      </c>
      <c r="C381" s="126" t="s">
        <v>4464</v>
      </c>
      <c r="D381" s="42">
        <v>1</v>
      </c>
      <c r="F381" s="131"/>
    </row>
    <row r="382" spans="1:6" ht="14.4">
      <c r="A382" s="129">
        <v>82022</v>
      </c>
      <c r="B382" s="130" t="s">
        <v>4465</v>
      </c>
      <c r="C382" s="126" t="s">
        <v>4463</v>
      </c>
      <c r="D382" s="42">
        <v>1</v>
      </c>
      <c r="F382" s="131"/>
    </row>
    <row r="383" spans="1:6" ht="14.4">
      <c r="A383" s="110"/>
      <c r="B383" s="128" t="s">
        <v>4466</v>
      </c>
      <c r="C383" s="126"/>
      <c r="D383" s="133"/>
      <c r="F383" s="111"/>
    </row>
    <row r="384" spans="1:6" ht="14.4">
      <c r="A384" s="129">
        <v>79012</v>
      </c>
      <c r="B384" s="130" t="s">
        <v>4467</v>
      </c>
      <c r="C384" s="126" t="s">
        <v>4468</v>
      </c>
      <c r="D384" s="42">
        <v>1</v>
      </c>
      <c r="F384" s="131"/>
    </row>
    <row r="385" spans="1:6" ht="14.4">
      <c r="A385" s="129">
        <v>79013</v>
      </c>
      <c r="B385" s="130" t="s">
        <v>3602</v>
      </c>
      <c r="C385" s="126" t="s">
        <v>4469</v>
      </c>
      <c r="D385" s="42">
        <v>1</v>
      </c>
      <c r="F385" s="131"/>
    </row>
    <row r="386" spans="1:6" ht="14.4">
      <c r="A386" s="110"/>
      <c r="B386" s="139" t="s">
        <v>4470</v>
      </c>
      <c r="C386" s="126"/>
      <c r="D386" s="133"/>
      <c r="F386" s="111"/>
    </row>
    <row r="387" spans="1:6" ht="14.4">
      <c r="A387" s="129">
        <v>69005</v>
      </c>
      <c r="B387" s="130" t="s">
        <v>4471</v>
      </c>
      <c r="C387" s="126" t="s">
        <v>4472</v>
      </c>
      <c r="D387" s="42">
        <v>1</v>
      </c>
      <c r="F387" s="131"/>
    </row>
    <row r="388" spans="1:6" ht="14.4">
      <c r="A388" s="110"/>
      <c r="B388" s="139" t="s">
        <v>4473</v>
      </c>
      <c r="C388" s="126"/>
      <c r="D388" s="133"/>
      <c r="F388" s="111"/>
    </row>
    <row r="389" spans="1:6" ht="14.4">
      <c r="A389" s="129">
        <v>70048</v>
      </c>
      <c r="B389" s="130" t="s">
        <v>3386</v>
      </c>
      <c r="C389" s="126" t="s">
        <v>4474</v>
      </c>
      <c r="D389" s="42">
        <v>1</v>
      </c>
      <c r="F389" s="131"/>
    </row>
    <row r="390" spans="1:6" ht="14.4">
      <c r="A390" s="129">
        <v>70043</v>
      </c>
      <c r="B390" s="130" t="s">
        <v>4475</v>
      </c>
      <c r="C390" s="126" t="s">
        <v>4476</v>
      </c>
      <c r="D390" s="42">
        <v>1</v>
      </c>
      <c r="F390" s="131"/>
    </row>
    <row r="391" spans="1:6" ht="14.4">
      <c r="A391" s="110"/>
      <c r="B391" s="139" t="s">
        <v>4477</v>
      </c>
      <c r="C391" s="126"/>
      <c r="D391" s="133"/>
      <c r="F391" s="111"/>
    </row>
    <row r="392" spans="1:6" ht="14.4">
      <c r="A392" s="129">
        <v>83003</v>
      </c>
      <c r="B392" s="130" t="s">
        <v>4478</v>
      </c>
      <c r="C392" s="126" t="s">
        <v>4479</v>
      </c>
      <c r="D392" s="42">
        <v>1</v>
      </c>
      <c r="F392" s="131"/>
    </row>
    <row r="393" spans="1:6" ht="14.4">
      <c r="A393" s="129">
        <v>83003</v>
      </c>
      <c r="B393" s="130" t="s">
        <v>4480</v>
      </c>
      <c r="C393" s="126" t="s">
        <v>4479</v>
      </c>
      <c r="D393" s="42">
        <v>1</v>
      </c>
      <c r="F393" s="131"/>
    </row>
    <row r="394" spans="1:6" ht="14.4">
      <c r="A394" s="129">
        <v>83003</v>
      </c>
      <c r="B394" s="130" t="s">
        <v>4481</v>
      </c>
      <c r="C394" s="126" t="s">
        <v>4479</v>
      </c>
      <c r="D394" s="42">
        <v>1</v>
      </c>
      <c r="F394" s="131"/>
    </row>
    <row r="395" spans="1:6" ht="14.4">
      <c r="A395" s="110"/>
      <c r="B395" s="128" t="s">
        <v>4268</v>
      </c>
      <c r="C395" s="126"/>
      <c r="D395" s="133"/>
      <c r="F395" s="111"/>
    </row>
    <row r="396" spans="1:6" ht="14.4">
      <c r="A396" s="136"/>
      <c r="B396" s="137" t="s">
        <v>4482</v>
      </c>
      <c r="C396" s="136"/>
      <c r="D396" s="138"/>
      <c r="F396" s="136"/>
    </row>
    <row r="397" spans="1:6" ht="14.4">
      <c r="A397" s="129">
        <v>81049</v>
      </c>
      <c r="B397" s="130" t="s">
        <v>4483</v>
      </c>
      <c r="C397" s="126" t="s">
        <v>4484</v>
      </c>
      <c r="D397" s="42">
        <v>1</v>
      </c>
      <c r="F397" s="131"/>
    </row>
    <row r="398" spans="1:6" ht="14.4">
      <c r="A398" s="129">
        <v>81005</v>
      </c>
      <c r="B398" s="130" t="s">
        <v>4485</v>
      </c>
      <c r="C398" s="126" t="s">
        <v>4486</v>
      </c>
      <c r="D398" s="42">
        <v>1</v>
      </c>
      <c r="F398" s="131"/>
    </row>
    <row r="399" spans="1:6" ht="14.4">
      <c r="A399" s="136"/>
      <c r="B399" s="137" t="s">
        <v>4487</v>
      </c>
      <c r="C399" s="136"/>
      <c r="D399" s="138"/>
      <c r="F399" s="136"/>
    </row>
    <row r="400" spans="1:6" ht="14.4">
      <c r="A400" s="129">
        <v>70048</v>
      </c>
      <c r="B400" s="130" t="s">
        <v>4488</v>
      </c>
      <c r="C400" s="126" t="s">
        <v>4474</v>
      </c>
      <c r="D400" s="42">
        <v>1</v>
      </c>
      <c r="F400" s="131"/>
    </row>
    <row r="401" spans="1:6" ht="14.4">
      <c r="A401" s="129">
        <v>70053</v>
      </c>
      <c r="B401" s="130" t="s">
        <v>4489</v>
      </c>
      <c r="C401" s="126" t="s">
        <v>4490</v>
      </c>
      <c r="D401" s="42">
        <v>1</v>
      </c>
      <c r="F401" s="131"/>
    </row>
    <row r="402" spans="1:6" ht="14.4">
      <c r="A402" s="129">
        <v>70045</v>
      </c>
      <c r="B402" s="130" t="s">
        <v>4491</v>
      </c>
      <c r="C402" s="126" t="s">
        <v>4492</v>
      </c>
      <c r="D402" s="42">
        <v>1</v>
      </c>
      <c r="F402" s="131"/>
    </row>
    <row r="403" spans="1:6" ht="14.4">
      <c r="A403" s="129">
        <v>70044</v>
      </c>
      <c r="B403" s="130" t="s">
        <v>4493</v>
      </c>
      <c r="C403" s="126" t="s">
        <v>4494</v>
      </c>
      <c r="D403" s="42">
        <v>1</v>
      </c>
      <c r="F403" s="131"/>
    </row>
    <row r="404" spans="1:6" ht="14.4">
      <c r="A404" s="129">
        <v>70053</v>
      </c>
      <c r="B404" s="130" t="s">
        <v>4495</v>
      </c>
      <c r="C404" s="126" t="s">
        <v>4490</v>
      </c>
      <c r="D404" s="42">
        <v>1</v>
      </c>
      <c r="F404" s="131"/>
    </row>
    <row r="405" spans="1:6" ht="14.4">
      <c r="A405" s="136"/>
      <c r="B405" s="137" t="s">
        <v>4496</v>
      </c>
      <c r="C405" s="136"/>
      <c r="D405" s="138"/>
      <c r="F405" s="136"/>
    </row>
    <row r="406" spans="1:6" ht="14.4">
      <c r="A406" s="129">
        <v>70038</v>
      </c>
      <c r="B406" s="130" t="s">
        <v>3383</v>
      </c>
      <c r="C406" s="126" t="s">
        <v>4497</v>
      </c>
      <c r="D406" s="42">
        <v>1</v>
      </c>
      <c r="F406" s="131"/>
    </row>
    <row r="407" spans="1:6" ht="14.4">
      <c r="A407" s="129">
        <v>79010</v>
      </c>
      <c r="B407" s="130" t="s">
        <v>3595</v>
      </c>
      <c r="C407" s="126" t="s">
        <v>4498</v>
      </c>
      <c r="D407" s="42">
        <v>1</v>
      </c>
      <c r="F407" s="131"/>
    </row>
    <row r="408" spans="1:6" ht="14.4">
      <c r="A408" s="136"/>
      <c r="B408" s="137" t="s">
        <v>4499</v>
      </c>
      <c r="C408" s="136"/>
      <c r="D408" s="138"/>
      <c r="F408" s="136"/>
    </row>
    <row r="409" spans="1:6" ht="14.4">
      <c r="A409" s="129">
        <v>80034</v>
      </c>
      <c r="B409" s="130" t="s">
        <v>4500</v>
      </c>
      <c r="C409" s="126" t="s">
        <v>4501</v>
      </c>
      <c r="D409" s="42">
        <v>1</v>
      </c>
      <c r="F409" s="131"/>
    </row>
    <row r="410" spans="1:6" ht="14.4">
      <c r="A410" s="129">
        <v>80034</v>
      </c>
      <c r="B410" s="130" t="s">
        <v>4502</v>
      </c>
      <c r="C410" s="126" t="s">
        <v>4501</v>
      </c>
      <c r="D410" s="42">
        <v>1</v>
      </c>
      <c r="F410" s="131"/>
    </row>
    <row r="411" spans="1:6" ht="14.4">
      <c r="A411" s="129">
        <v>80034</v>
      </c>
      <c r="B411" s="130" t="s">
        <v>4503</v>
      </c>
      <c r="C411" s="126" t="s">
        <v>4501</v>
      </c>
      <c r="D411" s="42">
        <v>1</v>
      </c>
      <c r="F411" s="131"/>
    </row>
    <row r="412" spans="1:6" ht="14.4">
      <c r="A412" s="136"/>
      <c r="B412" s="137" t="s">
        <v>3626</v>
      </c>
      <c r="C412" s="136"/>
      <c r="D412" s="138"/>
      <c r="F412" s="136"/>
    </row>
    <row r="413" spans="1:6" ht="14.4">
      <c r="A413" s="143">
        <v>79029</v>
      </c>
      <c r="B413" s="144" t="s">
        <v>3626</v>
      </c>
      <c r="C413" s="145" t="s">
        <v>4504</v>
      </c>
      <c r="D413" s="146">
        <v>1</v>
      </c>
      <c r="F413" s="145"/>
    </row>
  </sheetData>
  <mergeCells count="7">
    <mergeCell ref="A7:D7"/>
    <mergeCell ref="A8:B8"/>
    <mergeCell ref="A1:B1"/>
    <mergeCell ref="A2:B2"/>
    <mergeCell ref="A4:D4"/>
    <mergeCell ref="A5:D5"/>
    <mergeCell ref="A6:D6"/>
  </mergeCells>
  <pageMargins left="0.511811024" right="0.511811024" top="0.78740157499999996" bottom="0.78740157499999996" header="0.31496062000000002" footer="0.3149606200000000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I7"/>
  <sheetViews>
    <sheetView workbookViewId="0"/>
  </sheetViews>
  <sheetFormatPr defaultColWidth="12.6640625" defaultRowHeight="15.75" customHeight="1"/>
  <sheetData>
    <row r="1" spans="1:9">
      <c r="A1" s="10" t="s">
        <v>1043</v>
      </c>
      <c r="B1" s="10" t="s">
        <v>4505</v>
      </c>
      <c r="C1" s="10" t="s">
        <v>4506</v>
      </c>
      <c r="D1" s="10" t="s">
        <v>1727</v>
      </c>
      <c r="E1" s="10" t="s">
        <v>4507</v>
      </c>
      <c r="F1" s="10" t="s">
        <v>4508</v>
      </c>
      <c r="G1" s="10" t="s">
        <v>4509</v>
      </c>
      <c r="H1" s="10" t="s">
        <v>4510</v>
      </c>
      <c r="I1" s="10" t="s">
        <v>4511</v>
      </c>
    </row>
    <row r="2" spans="1:9">
      <c r="A2" s="10" t="s">
        <v>4512</v>
      </c>
      <c r="B2" s="10" t="s">
        <v>4513</v>
      </c>
      <c r="C2" s="10" t="s">
        <v>4514</v>
      </c>
      <c r="D2" s="10" t="s">
        <v>4515</v>
      </c>
      <c r="E2" s="10">
        <v>1400</v>
      </c>
      <c r="F2" s="10">
        <v>1</v>
      </c>
      <c r="G2" s="10">
        <v>59.9</v>
      </c>
      <c r="H2" s="10" t="s">
        <v>4516</v>
      </c>
      <c r="I2" s="10">
        <v>28</v>
      </c>
    </row>
    <row r="3" spans="1:9">
      <c r="A3" s="10" t="s">
        <v>4517</v>
      </c>
      <c r="B3" s="10" t="s">
        <v>4518</v>
      </c>
      <c r="C3" s="10" t="s">
        <v>4519</v>
      </c>
      <c r="D3" s="147" t="s">
        <v>4520</v>
      </c>
      <c r="E3" s="10">
        <v>1500</v>
      </c>
      <c r="F3" s="10">
        <v>1</v>
      </c>
      <c r="G3" s="10">
        <v>59.9</v>
      </c>
      <c r="H3" s="10" t="s">
        <v>4521</v>
      </c>
      <c r="I3" s="10">
        <v>5</v>
      </c>
    </row>
    <row r="4" spans="1:9">
      <c r="A4" s="10" t="s">
        <v>4522</v>
      </c>
      <c r="B4" s="10" t="s">
        <v>4523</v>
      </c>
      <c r="C4" s="148" t="s">
        <v>4524</v>
      </c>
      <c r="D4" s="147" t="s">
        <v>4525</v>
      </c>
      <c r="E4" s="149">
        <v>1100</v>
      </c>
      <c r="F4" s="10">
        <v>1</v>
      </c>
      <c r="G4" s="10">
        <v>59.9</v>
      </c>
      <c r="H4" s="10" t="s">
        <v>4526</v>
      </c>
      <c r="I4" s="10">
        <v>2.7</v>
      </c>
    </row>
    <row r="5" spans="1:9">
      <c r="A5" s="10" t="s">
        <v>4527</v>
      </c>
      <c r="B5" s="10" t="s">
        <v>4513</v>
      </c>
      <c r="C5" s="10" t="s">
        <v>4528</v>
      </c>
      <c r="D5" s="147" t="s">
        <v>4529</v>
      </c>
      <c r="E5" s="10">
        <v>900</v>
      </c>
      <c r="F5" s="10">
        <v>1</v>
      </c>
      <c r="G5" s="10">
        <v>59.9</v>
      </c>
      <c r="H5" s="10" t="s">
        <v>4530</v>
      </c>
      <c r="I5" s="10">
        <v>4</v>
      </c>
    </row>
    <row r="6" spans="1:9">
      <c r="A6" s="10" t="s">
        <v>4531</v>
      </c>
      <c r="B6" s="10" t="s">
        <v>4532</v>
      </c>
      <c r="C6" s="10" t="s">
        <v>4533</v>
      </c>
      <c r="D6" s="147" t="s">
        <v>4534</v>
      </c>
      <c r="E6" s="10">
        <v>2100</v>
      </c>
      <c r="F6" s="10">
        <v>0.63</v>
      </c>
      <c r="G6" s="10" t="s">
        <v>1737</v>
      </c>
      <c r="H6" s="10" t="s">
        <v>1737</v>
      </c>
      <c r="I6" s="10">
        <v>70</v>
      </c>
    </row>
    <row r="7" spans="1:9">
      <c r="A7" s="10" t="s">
        <v>4535</v>
      </c>
      <c r="B7" s="10" t="s">
        <v>4532</v>
      </c>
      <c r="C7" s="10" t="s">
        <v>4533</v>
      </c>
      <c r="D7" s="150" t="s">
        <v>4536</v>
      </c>
      <c r="E7" s="10" t="s">
        <v>1737</v>
      </c>
      <c r="F7" s="10">
        <v>0.63</v>
      </c>
      <c r="G7" s="10" t="s">
        <v>1737</v>
      </c>
      <c r="H7" s="10" t="s">
        <v>1737</v>
      </c>
      <c r="I7" s="10" t="s">
        <v>1737</v>
      </c>
    </row>
  </sheetData>
  <hyperlinks>
    <hyperlink ref="D3" r:id="rId1" xr:uid="{00000000-0004-0000-0D00-000000000000}"/>
    <hyperlink ref="D4" r:id="rId2" xr:uid="{00000000-0004-0000-0D00-000001000000}"/>
    <hyperlink ref="D5" r:id="rId3" xr:uid="{00000000-0004-0000-0D00-000002000000}"/>
    <hyperlink ref="D6" r:id="rId4" xr:uid="{00000000-0004-0000-0D00-000003000000}"/>
    <hyperlink ref="D7" r:id="rId5" xr:uid="{00000000-0004-0000-0D00-000004000000}"/>
  </hyperlinks>
  <pageMargins left="0.511811024" right="0.511811024" top="0.78740157499999996" bottom="0.78740157499999996" header="0.31496062000000002" footer="0.3149606200000000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E665"/>
  <sheetViews>
    <sheetView workbookViewId="0"/>
  </sheetViews>
  <sheetFormatPr defaultColWidth="12.6640625" defaultRowHeight="15.75" customHeight="1"/>
  <sheetData>
    <row r="1" spans="1:5">
      <c r="A1" s="151" t="s">
        <v>4537</v>
      </c>
      <c r="B1" s="151" t="s">
        <v>4538</v>
      </c>
      <c r="C1" s="151" t="s">
        <v>4539</v>
      </c>
      <c r="D1" s="151" t="s">
        <v>4540</v>
      </c>
      <c r="E1" s="152" t="s">
        <v>4541</v>
      </c>
    </row>
    <row r="2" spans="1:5">
      <c r="A2" s="153" t="s">
        <v>4542</v>
      </c>
      <c r="B2" s="154"/>
      <c r="C2" s="154"/>
      <c r="D2" s="155"/>
      <c r="E2" s="156"/>
    </row>
    <row r="3" spans="1:5">
      <c r="A3" s="157" t="s">
        <v>4543</v>
      </c>
      <c r="B3" s="158" t="s">
        <v>4544</v>
      </c>
      <c r="C3" s="158" t="s">
        <v>4545</v>
      </c>
      <c r="D3" s="157" t="s">
        <v>4546</v>
      </c>
      <c r="E3" s="159" t="s">
        <v>4547</v>
      </c>
    </row>
    <row r="4" spans="1:5">
      <c r="A4" s="157" t="s">
        <v>4548</v>
      </c>
      <c r="B4" s="158" t="s">
        <v>4544</v>
      </c>
      <c r="C4" s="158" t="s">
        <v>4545</v>
      </c>
      <c r="D4" s="157" t="s">
        <v>4546</v>
      </c>
      <c r="E4" s="159" t="s">
        <v>4547</v>
      </c>
    </row>
    <row r="5" spans="1:5">
      <c r="A5" s="157" t="s">
        <v>4549</v>
      </c>
      <c r="B5" s="158" t="s">
        <v>4544</v>
      </c>
      <c r="C5" s="158" t="s">
        <v>4545</v>
      </c>
      <c r="D5" s="157" t="s">
        <v>4546</v>
      </c>
      <c r="E5" s="159" t="s">
        <v>4547</v>
      </c>
    </row>
    <row r="6" spans="1:5">
      <c r="A6" s="157" t="s">
        <v>4550</v>
      </c>
      <c r="B6" s="158" t="s">
        <v>4551</v>
      </c>
      <c r="C6" s="158" t="s">
        <v>4551</v>
      </c>
      <c r="D6" s="157" t="s">
        <v>4546</v>
      </c>
      <c r="E6" s="159" t="s">
        <v>4547</v>
      </c>
    </row>
    <row r="7" spans="1:5">
      <c r="A7" s="157" t="s">
        <v>4552</v>
      </c>
      <c r="B7" s="158" t="s">
        <v>4545</v>
      </c>
      <c r="C7" s="158" t="s">
        <v>4545</v>
      </c>
      <c r="D7" s="157" t="s">
        <v>4546</v>
      </c>
      <c r="E7" s="159" t="s">
        <v>4547</v>
      </c>
    </row>
    <row r="8" spans="1:5">
      <c r="A8" s="157" t="s">
        <v>4553</v>
      </c>
      <c r="B8" s="158" t="s">
        <v>4554</v>
      </c>
      <c r="C8" s="158" t="s">
        <v>4555</v>
      </c>
      <c r="D8" s="157" t="s">
        <v>4546</v>
      </c>
      <c r="E8" s="159" t="s">
        <v>4547</v>
      </c>
    </row>
    <row r="9" spans="1:5">
      <c r="A9" s="157" t="s">
        <v>4556</v>
      </c>
      <c r="B9" s="158"/>
      <c r="C9" s="158" t="s">
        <v>4557</v>
      </c>
      <c r="D9" s="157" t="s">
        <v>4558</v>
      </c>
      <c r="E9" s="159"/>
    </row>
    <row r="10" spans="1:5">
      <c r="A10" s="157" t="s">
        <v>4559</v>
      </c>
      <c r="B10" s="158"/>
      <c r="C10" s="158" t="s">
        <v>4560</v>
      </c>
      <c r="D10" s="157" t="s">
        <v>4558</v>
      </c>
      <c r="E10" s="159"/>
    </row>
    <row r="11" spans="1:5">
      <c r="A11" s="157" t="s">
        <v>4561</v>
      </c>
      <c r="B11" s="158" t="s">
        <v>4554</v>
      </c>
      <c r="C11" s="158"/>
      <c r="D11" s="157" t="s">
        <v>4562</v>
      </c>
      <c r="E11" s="159"/>
    </row>
    <row r="12" spans="1:5">
      <c r="A12" s="157" t="s">
        <v>4563</v>
      </c>
      <c r="B12" s="158"/>
      <c r="C12" s="158" t="s">
        <v>4564</v>
      </c>
      <c r="D12" s="157" t="s">
        <v>4558</v>
      </c>
      <c r="E12" s="159"/>
    </row>
    <row r="13" spans="1:5">
      <c r="A13" s="157" t="s">
        <v>4565</v>
      </c>
      <c r="B13" s="158"/>
      <c r="C13" s="158" t="s">
        <v>4566</v>
      </c>
      <c r="D13" s="157" t="s">
        <v>4558</v>
      </c>
      <c r="E13" s="159"/>
    </row>
    <row r="14" spans="1:5">
      <c r="A14" s="157" t="s">
        <v>4567</v>
      </c>
      <c r="B14" s="158" t="s">
        <v>4568</v>
      </c>
      <c r="C14" s="158"/>
      <c r="D14" s="157" t="s">
        <v>4569</v>
      </c>
      <c r="E14" s="159"/>
    </row>
    <row r="15" spans="1:5">
      <c r="A15" s="157" t="s">
        <v>4570</v>
      </c>
      <c r="B15" s="158" t="s">
        <v>4554</v>
      </c>
      <c r="C15" s="158" t="s">
        <v>4555</v>
      </c>
      <c r="D15" s="157" t="s">
        <v>4546</v>
      </c>
      <c r="E15" s="159" t="s">
        <v>4547</v>
      </c>
    </row>
    <row r="16" spans="1:5">
      <c r="A16" s="157" t="s">
        <v>4571</v>
      </c>
      <c r="B16" s="158" t="s">
        <v>4554</v>
      </c>
      <c r="C16" s="158" t="s">
        <v>4555</v>
      </c>
      <c r="D16" s="157" t="s">
        <v>4546</v>
      </c>
      <c r="E16" s="159" t="s">
        <v>4547</v>
      </c>
    </row>
    <row r="17" spans="1:5">
      <c r="A17" s="157" t="s">
        <v>4572</v>
      </c>
      <c r="B17" s="158" t="s">
        <v>4551</v>
      </c>
      <c r="C17" s="158" t="s">
        <v>4551</v>
      </c>
      <c r="D17" s="157" t="s">
        <v>4546</v>
      </c>
      <c r="E17" s="159" t="s">
        <v>4547</v>
      </c>
    </row>
    <row r="18" spans="1:5">
      <c r="A18" s="157" t="s">
        <v>4573</v>
      </c>
      <c r="B18" s="158" t="s">
        <v>4551</v>
      </c>
      <c r="C18" s="158" t="s">
        <v>4551</v>
      </c>
      <c r="D18" s="157" t="s">
        <v>4546</v>
      </c>
      <c r="E18" s="159" t="s">
        <v>4547</v>
      </c>
    </row>
    <row r="19" spans="1:5">
      <c r="A19" s="157" t="s">
        <v>4574</v>
      </c>
      <c r="B19" s="158" t="s">
        <v>4575</v>
      </c>
      <c r="C19" s="158"/>
      <c r="D19" s="157" t="s">
        <v>4576</v>
      </c>
      <c r="E19" s="159" t="s">
        <v>4547</v>
      </c>
    </row>
    <row r="20" spans="1:5">
      <c r="A20" s="157" t="s">
        <v>4577</v>
      </c>
      <c r="B20" s="158" t="s">
        <v>4545</v>
      </c>
      <c r="C20" s="158" t="s">
        <v>4545</v>
      </c>
      <c r="D20" s="157" t="s">
        <v>4546</v>
      </c>
      <c r="E20" s="159"/>
    </row>
    <row r="21" spans="1:5">
      <c r="A21" s="157" t="s">
        <v>4578</v>
      </c>
      <c r="B21" s="158" t="s">
        <v>4545</v>
      </c>
      <c r="C21" s="158" t="s">
        <v>4545</v>
      </c>
      <c r="D21" s="157" t="s">
        <v>4546</v>
      </c>
      <c r="E21" s="159"/>
    </row>
    <row r="22" spans="1:5">
      <c r="A22" s="157" t="s">
        <v>4579</v>
      </c>
      <c r="B22" s="158" t="s">
        <v>4580</v>
      </c>
      <c r="C22" s="158" t="s">
        <v>4580</v>
      </c>
      <c r="D22" s="157" t="s">
        <v>4546</v>
      </c>
      <c r="E22" s="159"/>
    </row>
    <row r="23" spans="1:5">
      <c r="A23" s="157" t="s">
        <v>4581</v>
      </c>
      <c r="B23" s="158" t="s">
        <v>4582</v>
      </c>
      <c r="C23" s="158" t="s">
        <v>4582</v>
      </c>
      <c r="D23" s="157" t="s">
        <v>4546</v>
      </c>
      <c r="E23" s="159"/>
    </row>
    <row r="24" spans="1:5">
      <c r="A24" s="157" t="s">
        <v>4583</v>
      </c>
      <c r="B24" s="158"/>
      <c r="C24" s="158" t="s">
        <v>4584</v>
      </c>
      <c r="D24" s="157" t="s">
        <v>4558</v>
      </c>
      <c r="E24" s="159"/>
    </row>
    <row r="25" spans="1:5">
      <c r="A25" s="157" t="s">
        <v>4585</v>
      </c>
      <c r="B25" s="158" t="s">
        <v>3994</v>
      </c>
      <c r="C25" s="158" t="s">
        <v>3994</v>
      </c>
      <c r="D25" s="157" t="s">
        <v>4546</v>
      </c>
      <c r="E25" s="159" t="s">
        <v>4547</v>
      </c>
    </row>
    <row r="26" spans="1:5">
      <c r="A26" s="157" t="s">
        <v>4586</v>
      </c>
      <c r="B26" s="158" t="s">
        <v>4544</v>
      </c>
      <c r="C26" s="158" t="s">
        <v>4544</v>
      </c>
      <c r="D26" s="157" t="s">
        <v>4546</v>
      </c>
      <c r="E26" s="159" t="s">
        <v>4547</v>
      </c>
    </row>
    <row r="27" spans="1:5">
      <c r="A27" s="157" t="s">
        <v>4587</v>
      </c>
      <c r="B27" s="158" t="s">
        <v>4588</v>
      </c>
      <c r="C27" s="158"/>
      <c r="D27" s="157" t="s">
        <v>4569</v>
      </c>
      <c r="E27" s="159"/>
    </row>
    <row r="28" spans="1:5">
      <c r="A28" s="157" t="s">
        <v>4589</v>
      </c>
      <c r="B28" s="158" t="s">
        <v>4588</v>
      </c>
      <c r="C28" s="158"/>
      <c r="D28" s="157" t="s">
        <v>4569</v>
      </c>
      <c r="E28" s="159"/>
    </row>
    <row r="29" spans="1:5">
      <c r="A29" s="157" t="s">
        <v>4590</v>
      </c>
      <c r="B29" s="158" t="s">
        <v>4544</v>
      </c>
      <c r="C29" s="158" t="s">
        <v>4545</v>
      </c>
      <c r="D29" s="157" t="s">
        <v>4546</v>
      </c>
      <c r="E29" s="159" t="s">
        <v>4547</v>
      </c>
    </row>
    <row r="30" spans="1:5">
      <c r="A30" s="157" t="s">
        <v>4591</v>
      </c>
      <c r="B30" s="158" t="s">
        <v>4592</v>
      </c>
      <c r="C30" s="158"/>
      <c r="D30" s="157" t="s">
        <v>4569</v>
      </c>
      <c r="E30" s="159"/>
    </row>
    <row r="31" spans="1:5">
      <c r="A31" s="157" t="s">
        <v>4593</v>
      </c>
      <c r="B31" s="158" t="s">
        <v>3994</v>
      </c>
      <c r="C31" s="158" t="s">
        <v>3994</v>
      </c>
      <c r="D31" s="157" t="s">
        <v>4546</v>
      </c>
      <c r="E31" s="159" t="s">
        <v>4547</v>
      </c>
    </row>
    <row r="32" spans="1:5">
      <c r="A32" s="157" t="s">
        <v>4594</v>
      </c>
      <c r="B32" s="158"/>
      <c r="C32" s="158" t="s">
        <v>4564</v>
      </c>
      <c r="D32" s="157" t="s">
        <v>4558</v>
      </c>
      <c r="E32" s="159"/>
    </row>
    <row r="33" spans="1:5">
      <c r="A33" s="157" t="s">
        <v>4595</v>
      </c>
      <c r="B33" s="158" t="s">
        <v>4596</v>
      </c>
      <c r="C33" s="158"/>
      <c r="D33" s="157" t="s">
        <v>4569</v>
      </c>
      <c r="E33" s="159"/>
    </row>
    <row r="34" spans="1:5">
      <c r="A34" s="157" t="s">
        <v>4597</v>
      </c>
      <c r="B34" s="158"/>
      <c r="C34" s="158" t="s">
        <v>4598</v>
      </c>
      <c r="D34" s="157" t="s">
        <v>4558</v>
      </c>
      <c r="E34" s="159"/>
    </row>
    <row r="35" spans="1:5">
      <c r="A35" s="157" t="s">
        <v>4599</v>
      </c>
      <c r="B35" s="158"/>
      <c r="C35" s="158" t="s">
        <v>4600</v>
      </c>
      <c r="D35" s="157" t="s">
        <v>4558</v>
      </c>
      <c r="E35" s="159"/>
    </row>
    <row r="36" spans="1:5">
      <c r="A36" s="157" t="s">
        <v>4601</v>
      </c>
      <c r="B36" s="158" t="s">
        <v>4602</v>
      </c>
      <c r="C36" s="158"/>
      <c r="D36" s="157" t="s">
        <v>4562</v>
      </c>
      <c r="E36" s="159"/>
    </row>
    <row r="37" spans="1:5">
      <c r="A37" s="157" t="s">
        <v>4603</v>
      </c>
      <c r="B37" s="158" t="s">
        <v>4545</v>
      </c>
      <c r="C37" s="158"/>
      <c r="D37" s="157" t="s">
        <v>4604</v>
      </c>
      <c r="E37" s="159" t="s">
        <v>4547</v>
      </c>
    </row>
    <row r="38" spans="1:5">
      <c r="A38" s="157" t="s">
        <v>4605</v>
      </c>
      <c r="B38" s="158" t="s">
        <v>4545</v>
      </c>
      <c r="C38" s="158"/>
      <c r="D38" s="157" t="s">
        <v>4604</v>
      </c>
      <c r="E38" s="159" t="s">
        <v>4547</v>
      </c>
    </row>
    <row r="39" spans="1:5">
      <c r="A39" s="157" t="s">
        <v>4606</v>
      </c>
      <c r="B39" s="158" t="s">
        <v>4607</v>
      </c>
      <c r="C39" s="158" t="s">
        <v>4607</v>
      </c>
      <c r="D39" s="157" t="s">
        <v>4546</v>
      </c>
      <c r="E39" s="159" t="s">
        <v>4547</v>
      </c>
    </row>
    <row r="40" spans="1:5">
      <c r="A40" s="157" t="s">
        <v>4608</v>
      </c>
      <c r="B40" s="158" t="s">
        <v>4607</v>
      </c>
      <c r="C40" s="158" t="s">
        <v>4607</v>
      </c>
      <c r="D40" s="157" t="s">
        <v>4546</v>
      </c>
      <c r="E40" s="159" t="s">
        <v>4547</v>
      </c>
    </row>
    <row r="41" spans="1:5">
      <c r="A41" s="157" t="s">
        <v>4609</v>
      </c>
      <c r="B41" s="158" t="s">
        <v>4610</v>
      </c>
      <c r="C41" s="158" t="s">
        <v>4610</v>
      </c>
      <c r="D41" s="157" t="s">
        <v>4546</v>
      </c>
      <c r="E41" s="159" t="s">
        <v>4547</v>
      </c>
    </row>
    <row r="42" spans="1:5">
      <c r="A42" s="157" t="s">
        <v>729</v>
      </c>
      <c r="B42" s="158"/>
      <c r="C42" s="158" t="s">
        <v>4611</v>
      </c>
      <c r="D42" s="157" t="s">
        <v>4612</v>
      </c>
      <c r="E42" s="159" t="s">
        <v>4547</v>
      </c>
    </row>
    <row r="43" spans="1:5">
      <c r="A43" s="160" t="s">
        <v>4613</v>
      </c>
      <c r="B43" s="161" t="s">
        <v>4614</v>
      </c>
      <c r="C43" s="158"/>
      <c r="D43" s="157" t="s">
        <v>4615</v>
      </c>
      <c r="E43" s="159"/>
    </row>
    <row r="44" spans="1:5">
      <c r="A44" s="160" t="s">
        <v>4616</v>
      </c>
      <c r="B44" s="161" t="s">
        <v>4617</v>
      </c>
      <c r="C44" s="158"/>
      <c r="D44" s="157" t="s">
        <v>4615</v>
      </c>
      <c r="E44" s="159"/>
    </row>
    <row r="45" spans="1:5">
      <c r="A45" s="160" t="s">
        <v>4618</v>
      </c>
      <c r="B45" s="161" t="s">
        <v>4619</v>
      </c>
      <c r="C45" s="158"/>
      <c r="D45" s="157" t="s">
        <v>4615</v>
      </c>
      <c r="E45" s="159"/>
    </row>
    <row r="46" spans="1:5">
      <c r="A46" s="160" t="s">
        <v>4620</v>
      </c>
      <c r="B46" s="161" t="s">
        <v>4621</v>
      </c>
      <c r="C46" s="158"/>
      <c r="D46" s="157" t="s">
        <v>4622</v>
      </c>
      <c r="E46" s="159"/>
    </row>
    <row r="47" spans="1:5">
      <c r="A47" s="153" t="s">
        <v>4623</v>
      </c>
      <c r="B47" s="162"/>
      <c r="C47" s="162"/>
      <c r="D47" s="153"/>
      <c r="E47" s="163"/>
    </row>
    <row r="48" spans="1:5">
      <c r="A48" s="157" t="s">
        <v>4624</v>
      </c>
      <c r="B48" s="158" t="s">
        <v>4611</v>
      </c>
      <c r="C48" s="158"/>
      <c r="D48" s="157" t="s">
        <v>4562</v>
      </c>
      <c r="E48" s="159"/>
    </row>
    <row r="49" spans="1:5">
      <c r="A49" s="157" t="s">
        <v>4625</v>
      </c>
      <c r="B49" s="158" t="s">
        <v>4611</v>
      </c>
      <c r="C49" s="158"/>
      <c r="D49" s="157" t="s">
        <v>4562</v>
      </c>
      <c r="E49" s="159"/>
    </row>
    <row r="50" spans="1:5">
      <c r="A50" s="157" t="s">
        <v>4626</v>
      </c>
      <c r="B50" s="158" t="s">
        <v>4627</v>
      </c>
      <c r="C50" s="158" t="s">
        <v>4627</v>
      </c>
      <c r="D50" s="157" t="s">
        <v>4576</v>
      </c>
      <c r="E50" s="159" t="s">
        <v>4547</v>
      </c>
    </row>
    <row r="51" spans="1:5">
      <c r="A51" s="157" t="s">
        <v>4628</v>
      </c>
      <c r="B51" s="158" t="s">
        <v>4629</v>
      </c>
      <c r="C51" s="158"/>
      <c r="D51" s="157" t="s">
        <v>4630</v>
      </c>
      <c r="E51" s="159"/>
    </row>
    <row r="52" spans="1:5">
      <c r="A52" s="157" t="s">
        <v>4631</v>
      </c>
      <c r="B52" s="158" t="s">
        <v>4632</v>
      </c>
      <c r="C52" s="158" t="s">
        <v>4632</v>
      </c>
      <c r="D52" s="157" t="s">
        <v>4576</v>
      </c>
      <c r="E52" s="159" t="s">
        <v>4547</v>
      </c>
    </row>
    <row r="53" spans="1:5">
      <c r="A53" s="157" t="s">
        <v>4633</v>
      </c>
      <c r="B53" s="158" t="s">
        <v>4554</v>
      </c>
      <c r="C53" s="158"/>
      <c r="D53" s="157" t="s">
        <v>4562</v>
      </c>
      <c r="E53" s="159"/>
    </row>
    <row r="54" spans="1:5">
      <c r="A54" s="157" t="s">
        <v>4634</v>
      </c>
      <c r="B54" s="158" t="s">
        <v>4635</v>
      </c>
      <c r="C54" s="158"/>
      <c r="D54" s="157" t="s">
        <v>4630</v>
      </c>
      <c r="E54" s="159"/>
    </row>
    <row r="55" spans="1:5">
      <c r="A55" s="157" t="s">
        <v>4636</v>
      </c>
      <c r="B55" s="158" t="s">
        <v>4637</v>
      </c>
      <c r="C55" s="158"/>
      <c r="D55" s="157" t="s">
        <v>4604</v>
      </c>
      <c r="E55" s="159" t="s">
        <v>4547</v>
      </c>
    </row>
    <row r="56" spans="1:5">
      <c r="A56" s="157" t="s">
        <v>4638</v>
      </c>
      <c r="B56" s="158" t="s">
        <v>4639</v>
      </c>
      <c r="C56" s="158"/>
      <c r="D56" s="157" t="s">
        <v>4604</v>
      </c>
      <c r="E56" s="159" t="s">
        <v>4547</v>
      </c>
    </row>
    <row r="57" spans="1:5">
      <c r="A57" s="157" t="s">
        <v>4640</v>
      </c>
      <c r="B57" s="158" t="s">
        <v>4611</v>
      </c>
      <c r="C57" s="158"/>
      <c r="D57" s="157" t="s">
        <v>4604</v>
      </c>
      <c r="E57" s="159" t="s">
        <v>4547</v>
      </c>
    </row>
    <row r="58" spans="1:5">
      <c r="A58" s="157" t="s">
        <v>4641</v>
      </c>
      <c r="B58" s="158" t="s">
        <v>4642</v>
      </c>
      <c r="C58" s="158"/>
      <c r="D58" s="157" t="s">
        <v>4604</v>
      </c>
      <c r="E58" s="159" t="s">
        <v>4547</v>
      </c>
    </row>
    <row r="59" spans="1:5">
      <c r="A59" s="157" t="s">
        <v>4643</v>
      </c>
      <c r="B59" s="158" t="s">
        <v>4644</v>
      </c>
      <c r="C59" s="158"/>
      <c r="D59" s="157" t="s">
        <v>4576</v>
      </c>
      <c r="E59" s="159" t="s">
        <v>4547</v>
      </c>
    </row>
    <row r="60" spans="1:5">
      <c r="A60" s="157" t="s">
        <v>4645</v>
      </c>
      <c r="B60" s="158" t="s">
        <v>4646</v>
      </c>
      <c r="C60" s="158"/>
      <c r="D60" s="157" t="s">
        <v>4576</v>
      </c>
      <c r="E60" s="159" t="s">
        <v>4547</v>
      </c>
    </row>
    <row r="61" spans="1:5">
      <c r="A61" s="157" t="s">
        <v>4647</v>
      </c>
      <c r="B61" s="158" t="s">
        <v>4611</v>
      </c>
      <c r="C61" s="158"/>
      <c r="D61" s="157" t="s">
        <v>4562</v>
      </c>
      <c r="E61" s="159"/>
    </row>
    <row r="62" spans="1:5">
      <c r="A62" s="157" t="s">
        <v>4648</v>
      </c>
      <c r="B62" s="158" t="s">
        <v>4611</v>
      </c>
      <c r="C62" s="158"/>
      <c r="D62" s="157" t="s">
        <v>4604</v>
      </c>
      <c r="E62" s="159" t="s">
        <v>4547</v>
      </c>
    </row>
    <row r="63" spans="1:5">
      <c r="A63" s="157" t="s">
        <v>4649</v>
      </c>
      <c r="B63" s="158" t="s">
        <v>4607</v>
      </c>
      <c r="C63" s="158" t="s">
        <v>4544</v>
      </c>
      <c r="D63" s="157" t="s">
        <v>4546</v>
      </c>
      <c r="E63" s="159" t="s">
        <v>4547</v>
      </c>
    </row>
    <row r="64" spans="1:5">
      <c r="A64" s="157" t="s">
        <v>4650</v>
      </c>
      <c r="B64" s="158" t="s">
        <v>4607</v>
      </c>
      <c r="C64" s="158" t="s">
        <v>4607</v>
      </c>
      <c r="D64" s="157" t="s">
        <v>4546</v>
      </c>
      <c r="E64" s="159" t="s">
        <v>4547</v>
      </c>
    </row>
    <row r="65" spans="1:5">
      <c r="A65" s="157" t="s">
        <v>4651</v>
      </c>
      <c r="B65" s="158" t="s">
        <v>4607</v>
      </c>
      <c r="C65" s="158" t="s">
        <v>4544</v>
      </c>
      <c r="D65" s="157" t="s">
        <v>4546</v>
      </c>
      <c r="E65" s="159" t="s">
        <v>4547</v>
      </c>
    </row>
    <row r="66" spans="1:5">
      <c r="A66" s="153" t="s">
        <v>4652</v>
      </c>
      <c r="B66" s="162"/>
      <c r="C66" s="162"/>
      <c r="D66" s="153"/>
      <c r="E66" s="163"/>
    </row>
    <row r="67" spans="1:5">
      <c r="A67" s="164" t="s">
        <v>4653</v>
      </c>
      <c r="B67" s="165"/>
      <c r="C67" s="165"/>
      <c r="D67" s="166"/>
      <c r="E67" s="167"/>
    </row>
    <row r="68" spans="1:5">
      <c r="A68" s="157" t="s">
        <v>4654</v>
      </c>
      <c r="B68" s="158"/>
      <c r="C68" s="158" t="s">
        <v>4655</v>
      </c>
      <c r="D68" s="157" t="s">
        <v>4558</v>
      </c>
      <c r="E68" s="159"/>
    </row>
    <row r="69" spans="1:5">
      <c r="A69" s="157" t="s">
        <v>4656</v>
      </c>
      <c r="B69" s="158" t="s">
        <v>3994</v>
      </c>
      <c r="C69" s="158" t="s">
        <v>3994</v>
      </c>
      <c r="D69" s="157" t="s">
        <v>4546</v>
      </c>
      <c r="E69" s="159" t="s">
        <v>4547</v>
      </c>
    </row>
    <row r="70" spans="1:5">
      <c r="A70" s="157" t="s">
        <v>4657</v>
      </c>
      <c r="B70" s="158" t="s">
        <v>3994</v>
      </c>
      <c r="C70" s="158" t="s">
        <v>3994</v>
      </c>
      <c r="D70" s="157" t="s">
        <v>4546</v>
      </c>
      <c r="E70" s="159" t="s">
        <v>4547</v>
      </c>
    </row>
    <row r="71" spans="1:5">
      <c r="A71" s="157" t="s">
        <v>4658</v>
      </c>
      <c r="B71" s="158" t="s">
        <v>3994</v>
      </c>
      <c r="C71" s="158" t="s">
        <v>3994</v>
      </c>
      <c r="D71" s="157" t="s">
        <v>4546</v>
      </c>
      <c r="E71" s="159" t="s">
        <v>4547</v>
      </c>
    </row>
    <row r="72" spans="1:5">
      <c r="A72" s="157" t="s">
        <v>4659</v>
      </c>
      <c r="B72" s="158" t="s">
        <v>3994</v>
      </c>
      <c r="C72" s="158" t="s">
        <v>3994</v>
      </c>
      <c r="D72" s="157" t="s">
        <v>4546</v>
      </c>
      <c r="E72" s="159" t="s">
        <v>4547</v>
      </c>
    </row>
    <row r="73" spans="1:5">
      <c r="A73" s="157" t="s">
        <v>4660</v>
      </c>
      <c r="B73" s="158" t="s">
        <v>4661</v>
      </c>
      <c r="C73" s="158"/>
      <c r="D73" s="157" t="s">
        <v>4604</v>
      </c>
      <c r="E73" s="159" t="s">
        <v>4547</v>
      </c>
    </row>
    <row r="74" spans="1:5">
      <c r="A74" s="157" t="s">
        <v>4662</v>
      </c>
      <c r="B74" s="158"/>
      <c r="C74" s="158" t="s">
        <v>4663</v>
      </c>
      <c r="D74" s="157" t="s">
        <v>4558</v>
      </c>
      <c r="E74" s="159"/>
    </row>
    <row r="75" spans="1:5">
      <c r="A75" s="160" t="s">
        <v>4664</v>
      </c>
      <c r="B75" s="161" t="s">
        <v>4665</v>
      </c>
      <c r="C75" s="158"/>
      <c r="D75" s="157" t="s">
        <v>4622</v>
      </c>
      <c r="E75" s="159"/>
    </row>
    <row r="76" spans="1:5">
      <c r="A76" s="160" t="s">
        <v>4666</v>
      </c>
      <c r="B76" s="161" t="s">
        <v>4667</v>
      </c>
      <c r="C76" s="158"/>
      <c r="D76" s="157" t="s">
        <v>4615</v>
      </c>
      <c r="E76" s="159"/>
    </row>
    <row r="77" spans="1:5">
      <c r="A77" s="157" t="s">
        <v>4668</v>
      </c>
      <c r="B77" s="158" t="s">
        <v>4610</v>
      </c>
      <c r="C77" s="158" t="s">
        <v>4610</v>
      </c>
      <c r="D77" s="157" t="s">
        <v>4546</v>
      </c>
      <c r="E77" s="159" t="s">
        <v>4547</v>
      </c>
    </row>
    <row r="78" spans="1:5">
      <c r="A78" s="157" t="s">
        <v>4669</v>
      </c>
      <c r="B78" s="158" t="s">
        <v>3994</v>
      </c>
      <c r="C78" s="158" t="s">
        <v>4610</v>
      </c>
      <c r="D78" s="157" t="s">
        <v>4546</v>
      </c>
      <c r="E78" s="159" t="s">
        <v>4547</v>
      </c>
    </row>
    <row r="79" spans="1:5">
      <c r="A79" s="157" t="s">
        <v>4670</v>
      </c>
      <c r="B79" s="158"/>
      <c r="C79" s="158" t="s">
        <v>4671</v>
      </c>
      <c r="D79" s="157" t="s">
        <v>4558</v>
      </c>
      <c r="E79" s="159"/>
    </row>
    <row r="80" spans="1:5">
      <c r="A80" s="157" t="s">
        <v>4672</v>
      </c>
      <c r="B80" s="158"/>
      <c r="C80" s="158" t="s">
        <v>4673</v>
      </c>
      <c r="D80" s="157" t="s">
        <v>4558</v>
      </c>
      <c r="E80" s="159"/>
    </row>
    <row r="81" spans="1:5">
      <c r="A81" s="157" t="s">
        <v>4674</v>
      </c>
      <c r="B81" s="158"/>
      <c r="C81" s="158" t="s">
        <v>4675</v>
      </c>
      <c r="D81" s="157" t="s">
        <v>4558</v>
      </c>
      <c r="E81" s="159"/>
    </row>
    <row r="82" spans="1:5">
      <c r="A82" s="157" t="s">
        <v>4676</v>
      </c>
      <c r="B82" s="158"/>
      <c r="C82" s="158" t="s">
        <v>4667</v>
      </c>
      <c r="D82" s="157" t="s">
        <v>4558</v>
      </c>
      <c r="E82" s="159"/>
    </row>
    <row r="83" spans="1:5">
      <c r="A83" s="157" t="s">
        <v>4677</v>
      </c>
      <c r="B83" s="158"/>
      <c r="C83" s="158" t="s">
        <v>4678</v>
      </c>
      <c r="D83" s="157" t="s">
        <v>4558</v>
      </c>
      <c r="E83" s="159"/>
    </row>
    <row r="84" spans="1:5">
      <c r="A84" s="157" t="s">
        <v>4679</v>
      </c>
      <c r="B84" s="158"/>
      <c r="C84" s="158" t="s">
        <v>4680</v>
      </c>
      <c r="D84" s="157" t="s">
        <v>4558</v>
      </c>
      <c r="E84" s="159"/>
    </row>
    <row r="85" spans="1:5">
      <c r="A85" s="157" t="s">
        <v>4681</v>
      </c>
      <c r="B85" s="158"/>
      <c r="C85" s="158" t="s">
        <v>4682</v>
      </c>
      <c r="D85" s="157" t="s">
        <v>4558</v>
      </c>
      <c r="E85" s="159"/>
    </row>
    <row r="86" spans="1:5">
      <c r="A86" s="157" t="s">
        <v>4683</v>
      </c>
      <c r="B86" s="158" t="s">
        <v>4684</v>
      </c>
      <c r="C86" s="158"/>
      <c r="D86" s="157" t="s">
        <v>4604</v>
      </c>
      <c r="E86" s="159" t="s">
        <v>4547</v>
      </c>
    </row>
    <row r="87" spans="1:5">
      <c r="A87" s="164" t="s">
        <v>4685</v>
      </c>
      <c r="B87" s="158"/>
      <c r="C87" s="158"/>
      <c r="D87" s="157"/>
      <c r="E87" s="159"/>
    </row>
    <row r="88" spans="1:5">
      <c r="A88" s="157" t="s">
        <v>4686</v>
      </c>
      <c r="B88" s="158" t="s">
        <v>4687</v>
      </c>
      <c r="C88" s="158"/>
      <c r="D88" s="157" t="s">
        <v>4615</v>
      </c>
      <c r="E88" s="159"/>
    </row>
    <row r="89" spans="1:5">
      <c r="A89" s="157" t="s">
        <v>4688</v>
      </c>
      <c r="B89" s="158"/>
      <c r="C89" s="158" t="s">
        <v>4689</v>
      </c>
      <c r="D89" s="157" t="s">
        <v>4612</v>
      </c>
      <c r="E89" s="159" t="s">
        <v>4547</v>
      </c>
    </row>
    <row r="90" spans="1:5">
      <c r="A90" s="157" t="s">
        <v>4690</v>
      </c>
      <c r="B90" s="158"/>
      <c r="C90" s="158" t="s">
        <v>4602</v>
      </c>
      <c r="D90" s="157" t="s">
        <v>4612</v>
      </c>
      <c r="E90" s="159" t="s">
        <v>4547</v>
      </c>
    </row>
    <row r="91" spans="1:5">
      <c r="A91" s="157" t="s">
        <v>4691</v>
      </c>
      <c r="B91" s="158"/>
      <c r="C91" s="158" t="s">
        <v>4692</v>
      </c>
      <c r="D91" s="157" t="s">
        <v>4612</v>
      </c>
      <c r="E91" s="159" t="s">
        <v>4547</v>
      </c>
    </row>
    <row r="92" spans="1:5">
      <c r="A92" s="157" t="s">
        <v>4693</v>
      </c>
      <c r="B92" s="158"/>
      <c r="C92" s="158" t="s">
        <v>4554</v>
      </c>
      <c r="D92" s="157" t="s">
        <v>4612</v>
      </c>
      <c r="E92" s="159" t="s">
        <v>4547</v>
      </c>
    </row>
    <row r="93" spans="1:5">
      <c r="A93" s="157" t="s">
        <v>4694</v>
      </c>
      <c r="B93" s="158"/>
      <c r="C93" s="158" t="s">
        <v>4695</v>
      </c>
      <c r="D93" s="157" t="s">
        <v>4612</v>
      </c>
      <c r="E93" s="159" t="s">
        <v>4547</v>
      </c>
    </row>
    <row r="94" spans="1:5">
      <c r="A94" s="157" t="s">
        <v>4696</v>
      </c>
      <c r="B94" s="158"/>
      <c r="C94" s="158" t="s">
        <v>4545</v>
      </c>
      <c r="D94" s="157" t="s">
        <v>4612</v>
      </c>
      <c r="E94" s="159" t="s">
        <v>4547</v>
      </c>
    </row>
    <row r="95" spans="1:5">
      <c r="A95" s="157" t="s">
        <v>4697</v>
      </c>
      <c r="B95" s="158"/>
      <c r="C95" s="158" t="s">
        <v>4544</v>
      </c>
      <c r="D95" s="157" t="s">
        <v>4612</v>
      </c>
      <c r="E95" s="159" t="s">
        <v>4547</v>
      </c>
    </row>
    <row r="96" spans="1:5">
      <c r="A96" s="157" t="s">
        <v>4698</v>
      </c>
      <c r="B96" s="158"/>
      <c r="C96" s="158" t="s">
        <v>4555</v>
      </c>
      <c r="D96" s="157" t="s">
        <v>4612</v>
      </c>
      <c r="E96" s="159" t="s">
        <v>4547</v>
      </c>
    </row>
    <row r="97" spans="1:5">
      <c r="A97" s="157" t="s">
        <v>4699</v>
      </c>
      <c r="B97" s="158"/>
      <c r="C97" s="158" t="s">
        <v>4554</v>
      </c>
      <c r="D97" s="157" t="s">
        <v>4612</v>
      </c>
      <c r="E97" s="159" t="s">
        <v>4547</v>
      </c>
    </row>
    <row r="98" spans="1:5">
      <c r="A98" s="157" t="s">
        <v>4700</v>
      </c>
      <c r="B98" s="158"/>
      <c r="C98" s="158" t="s">
        <v>4689</v>
      </c>
      <c r="D98" s="157" t="s">
        <v>4612</v>
      </c>
      <c r="E98" s="159" t="s">
        <v>4547</v>
      </c>
    </row>
    <row r="99" spans="1:5">
      <c r="A99" s="157" t="s">
        <v>4701</v>
      </c>
      <c r="B99" s="158"/>
      <c r="C99" s="158" t="s">
        <v>4702</v>
      </c>
      <c r="D99" s="157" t="s">
        <v>4612</v>
      </c>
      <c r="E99" s="159" t="s">
        <v>4547</v>
      </c>
    </row>
    <row r="100" spans="1:5">
      <c r="A100" s="157" t="s">
        <v>4703</v>
      </c>
      <c r="B100" s="158"/>
      <c r="C100" s="158" t="s">
        <v>4544</v>
      </c>
      <c r="D100" s="157" t="s">
        <v>4612</v>
      </c>
      <c r="E100" s="159" t="s">
        <v>4547</v>
      </c>
    </row>
    <row r="101" spans="1:5">
      <c r="A101" s="157" t="s">
        <v>4704</v>
      </c>
      <c r="B101" s="158"/>
      <c r="C101" s="158" t="s">
        <v>4554</v>
      </c>
      <c r="D101" s="157" t="s">
        <v>4612</v>
      </c>
      <c r="E101" s="159" t="s">
        <v>4547</v>
      </c>
    </row>
    <row r="102" spans="1:5">
      <c r="A102" s="157" t="s">
        <v>4705</v>
      </c>
      <c r="B102" s="158"/>
      <c r="C102" s="158" t="s">
        <v>4554</v>
      </c>
      <c r="D102" s="157" t="s">
        <v>4612</v>
      </c>
      <c r="E102" s="159" t="s">
        <v>4547</v>
      </c>
    </row>
    <row r="103" spans="1:5">
      <c r="A103" s="157" t="s">
        <v>4706</v>
      </c>
      <c r="B103" s="158"/>
      <c r="C103" s="158" t="s">
        <v>4707</v>
      </c>
      <c r="D103" s="157" t="s">
        <v>4612</v>
      </c>
      <c r="E103" s="159" t="s">
        <v>4547</v>
      </c>
    </row>
    <row r="104" spans="1:5">
      <c r="A104" s="157" t="s">
        <v>4708</v>
      </c>
      <c r="B104" s="158"/>
      <c r="C104" s="158" t="s">
        <v>4709</v>
      </c>
      <c r="D104" s="157" t="s">
        <v>4612</v>
      </c>
      <c r="E104" s="159" t="s">
        <v>4547</v>
      </c>
    </row>
    <row r="105" spans="1:5">
      <c r="A105" s="157" t="s">
        <v>4710</v>
      </c>
      <c r="B105" s="158"/>
      <c r="C105" s="158" t="s">
        <v>4544</v>
      </c>
      <c r="D105" s="157" t="s">
        <v>4612</v>
      </c>
      <c r="E105" s="159" t="s">
        <v>4547</v>
      </c>
    </row>
    <row r="106" spans="1:5">
      <c r="A106" s="157" t="s">
        <v>4711</v>
      </c>
      <c r="B106" s="158"/>
      <c r="C106" s="158" t="s">
        <v>4712</v>
      </c>
      <c r="D106" s="157" t="s">
        <v>4612</v>
      </c>
      <c r="E106" s="159" t="s">
        <v>4547</v>
      </c>
    </row>
    <row r="107" spans="1:5">
      <c r="A107" s="157" t="s">
        <v>4713</v>
      </c>
      <c r="B107" s="158"/>
      <c r="C107" s="158" t="s">
        <v>4714</v>
      </c>
      <c r="D107" s="157" t="s">
        <v>4612</v>
      </c>
      <c r="E107" s="159" t="s">
        <v>4547</v>
      </c>
    </row>
    <row r="108" spans="1:5">
      <c r="A108" s="157" t="s">
        <v>4715</v>
      </c>
      <c r="B108" s="158"/>
      <c r="C108" s="158" t="s">
        <v>4714</v>
      </c>
      <c r="D108" s="157" t="s">
        <v>4612</v>
      </c>
      <c r="E108" s="159" t="s">
        <v>4547</v>
      </c>
    </row>
    <row r="109" spans="1:5">
      <c r="A109" s="157" t="s">
        <v>4716</v>
      </c>
      <c r="B109" s="158"/>
      <c r="C109" s="158" t="s">
        <v>4717</v>
      </c>
      <c r="D109" s="157" t="s">
        <v>4612</v>
      </c>
      <c r="E109" s="159" t="s">
        <v>4547</v>
      </c>
    </row>
    <row r="110" spans="1:5">
      <c r="A110" s="157" t="s">
        <v>4718</v>
      </c>
      <c r="B110" s="158"/>
      <c r="C110" s="158" t="s">
        <v>4719</v>
      </c>
      <c r="D110" s="157" t="s">
        <v>4612</v>
      </c>
      <c r="E110" s="159" t="s">
        <v>4547</v>
      </c>
    </row>
    <row r="111" spans="1:5">
      <c r="A111" s="157" t="s">
        <v>4720</v>
      </c>
      <c r="B111" s="158"/>
      <c r="C111" s="158" t="s">
        <v>4602</v>
      </c>
      <c r="D111" s="157" t="s">
        <v>4612</v>
      </c>
      <c r="E111" s="159" t="s">
        <v>4547</v>
      </c>
    </row>
    <row r="112" spans="1:5">
      <c r="A112" s="157" t="s">
        <v>4721</v>
      </c>
      <c r="B112" s="158"/>
      <c r="C112" s="158" t="s">
        <v>4602</v>
      </c>
      <c r="D112" s="157" t="s">
        <v>4612</v>
      </c>
      <c r="E112" s="159" t="s">
        <v>4547</v>
      </c>
    </row>
    <row r="113" spans="1:5">
      <c r="A113" s="157" t="s">
        <v>4722</v>
      </c>
      <c r="B113" s="158"/>
      <c r="C113" s="158" t="s">
        <v>4702</v>
      </c>
      <c r="D113" s="157" t="s">
        <v>4612</v>
      </c>
      <c r="E113" s="159" t="s">
        <v>4547</v>
      </c>
    </row>
    <row r="114" spans="1:5">
      <c r="A114" s="157" t="s">
        <v>4723</v>
      </c>
      <c r="B114" s="158"/>
      <c r="C114" s="158" t="s">
        <v>4610</v>
      </c>
      <c r="D114" s="157" t="s">
        <v>4612</v>
      </c>
      <c r="E114" s="159" t="s">
        <v>4547</v>
      </c>
    </row>
    <row r="115" spans="1:5">
      <c r="A115" s="157" t="s">
        <v>4724</v>
      </c>
      <c r="B115" s="158"/>
      <c r="C115" s="158" t="s">
        <v>4707</v>
      </c>
      <c r="D115" s="157" t="s">
        <v>4612</v>
      </c>
      <c r="E115" s="159" t="s">
        <v>4547</v>
      </c>
    </row>
    <row r="116" spans="1:5">
      <c r="A116" s="157" t="s">
        <v>4725</v>
      </c>
      <c r="B116" s="158"/>
      <c r="C116" s="158" t="s">
        <v>4544</v>
      </c>
      <c r="D116" s="157" t="s">
        <v>4612</v>
      </c>
      <c r="E116" s="159" t="s">
        <v>4547</v>
      </c>
    </row>
    <row r="117" spans="1:5">
      <c r="A117" s="157" t="s">
        <v>4726</v>
      </c>
      <c r="B117" s="158" t="s">
        <v>4727</v>
      </c>
      <c r="C117" s="158"/>
      <c r="D117" s="157" t="s">
        <v>4622</v>
      </c>
      <c r="E117" s="159"/>
    </row>
    <row r="118" spans="1:5">
      <c r="A118" s="157" t="s">
        <v>4728</v>
      </c>
      <c r="B118" s="158"/>
      <c r="C118" s="158" t="s">
        <v>4729</v>
      </c>
      <c r="D118" s="157" t="s">
        <v>4558</v>
      </c>
      <c r="E118" s="159"/>
    </row>
    <row r="119" spans="1:5">
      <c r="A119" s="157" t="s">
        <v>4730</v>
      </c>
      <c r="B119" s="158"/>
      <c r="C119" s="158" t="s">
        <v>4729</v>
      </c>
      <c r="D119" s="157" t="s">
        <v>4558</v>
      </c>
      <c r="E119" s="159"/>
    </row>
    <row r="120" spans="1:5">
      <c r="A120" s="157" t="s">
        <v>4731</v>
      </c>
      <c r="B120" s="158"/>
      <c r="C120" s="158" t="s">
        <v>4732</v>
      </c>
      <c r="D120" s="157" t="s">
        <v>4558</v>
      </c>
      <c r="E120" s="159"/>
    </row>
    <row r="121" spans="1:5">
      <c r="A121" s="157" t="s">
        <v>4733</v>
      </c>
      <c r="B121" s="158"/>
      <c r="C121" s="158" t="s">
        <v>4545</v>
      </c>
      <c r="D121" s="157" t="s">
        <v>4612</v>
      </c>
      <c r="E121" s="159" t="s">
        <v>4547</v>
      </c>
    </row>
    <row r="122" spans="1:5">
      <c r="A122" s="157" t="s">
        <v>4734</v>
      </c>
      <c r="B122" s="158"/>
      <c r="C122" s="158" t="s">
        <v>4602</v>
      </c>
      <c r="D122" s="157" t="s">
        <v>4612</v>
      </c>
      <c r="E122" s="159" t="s">
        <v>4547</v>
      </c>
    </row>
    <row r="123" spans="1:5">
      <c r="A123" s="157" t="s">
        <v>4735</v>
      </c>
      <c r="B123" s="158"/>
      <c r="C123" s="158" t="s">
        <v>4709</v>
      </c>
      <c r="D123" s="157" t="s">
        <v>4612</v>
      </c>
      <c r="E123" s="159" t="s">
        <v>4547</v>
      </c>
    </row>
    <row r="124" spans="1:5">
      <c r="A124" s="157" t="s">
        <v>4736</v>
      </c>
      <c r="B124" s="158"/>
      <c r="C124" s="158" t="s">
        <v>4554</v>
      </c>
      <c r="D124" s="157" t="s">
        <v>4612</v>
      </c>
      <c r="E124" s="159" t="s">
        <v>4547</v>
      </c>
    </row>
    <row r="125" spans="1:5">
      <c r="A125" s="157" t="s">
        <v>4737</v>
      </c>
      <c r="B125" s="158"/>
      <c r="C125" s="158" t="s">
        <v>4544</v>
      </c>
      <c r="D125" s="157" t="s">
        <v>4612</v>
      </c>
      <c r="E125" s="159" t="s">
        <v>4547</v>
      </c>
    </row>
    <row r="126" spans="1:5">
      <c r="A126" s="157" t="s">
        <v>4738</v>
      </c>
      <c r="B126" s="158"/>
      <c r="C126" s="158" t="s">
        <v>4544</v>
      </c>
      <c r="D126" s="157" t="s">
        <v>4612</v>
      </c>
      <c r="E126" s="159" t="s">
        <v>4547</v>
      </c>
    </row>
    <row r="127" spans="1:5">
      <c r="A127" s="157" t="s">
        <v>4739</v>
      </c>
      <c r="B127" s="158"/>
      <c r="C127" s="158" t="s">
        <v>4740</v>
      </c>
      <c r="D127" s="157" t="s">
        <v>4558</v>
      </c>
      <c r="E127" s="159"/>
    </row>
    <row r="128" spans="1:5">
      <c r="A128" s="157" t="s">
        <v>4741</v>
      </c>
      <c r="B128" s="158"/>
      <c r="C128" s="158" t="s">
        <v>4545</v>
      </c>
      <c r="D128" s="157" t="s">
        <v>4612</v>
      </c>
      <c r="E128" s="159" t="s">
        <v>4547</v>
      </c>
    </row>
    <row r="129" spans="1:5">
      <c r="A129" s="157" t="s">
        <v>4742</v>
      </c>
      <c r="B129" s="158"/>
      <c r="C129" s="158" t="s">
        <v>4596</v>
      </c>
      <c r="D129" s="157" t="s">
        <v>4558</v>
      </c>
      <c r="E129" s="159"/>
    </row>
    <row r="130" spans="1:5">
      <c r="A130" s="157" t="s">
        <v>4743</v>
      </c>
      <c r="B130" s="158"/>
      <c r="C130" s="158" t="s">
        <v>4619</v>
      </c>
      <c r="D130" s="157" t="s">
        <v>4558</v>
      </c>
      <c r="E130" s="159"/>
    </row>
    <row r="131" spans="1:5">
      <c r="A131" s="157" t="s">
        <v>4744</v>
      </c>
      <c r="B131" s="158"/>
      <c r="C131" s="158" t="s">
        <v>4682</v>
      </c>
      <c r="D131" s="157" t="s">
        <v>4558</v>
      </c>
      <c r="E131" s="159"/>
    </row>
    <row r="132" spans="1:5">
      <c r="A132" s="157" t="s">
        <v>4745</v>
      </c>
      <c r="B132" s="158"/>
      <c r="C132" s="158" t="s">
        <v>4544</v>
      </c>
      <c r="D132" s="157" t="s">
        <v>4612</v>
      </c>
      <c r="E132" s="159" t="s">
        <v>4547</v>
      </c>
    </row>
    <row r="133" spans="1:5">
      <c r="A133" s="157" t="s">
        <v>4746</v>
      </c>
      <c r="B133" s="158"/>
      <c r="C133" s="158" t="s">
        <v>4684</v>
      </c>
      <c r="D133" s="157" t="s">
        <v>4612</v>
      </c>
      <c r="E133" s="159" t="s">
        <v>4547</v>
      </c>
    </row>
    <row r="134" spans="1:5">
      <c r="A134" s="157" t="s">
        <v>4747</v>
      </c>
      <c r="B134" s="158"/>
      <c r="C134" s="158" t="s">
        <v>4748</v>
      </c>
      <c r="D134" s="157" t="s">
        <v>4558</v>
      </c>
      <c r="E134" s="159"/>
    </row>
    <row r="135" spans="1:5">
      <c r="A135" s="157" t="s">
        <v>4749</v>
      </c>
      <c r="B135" s="158" t="s">
        <v>4750</v>
      </c>
      <c r="C135" s="158"/>
      <c r="D135" s="157" t="s">
        <v>4622</v>
      </c>
      <c r="E135" s="159"/>
    </row>
    <row r="136" spans="1:5">
      <c r="A136" s="157" t="s">
        <v>4751</v>
      </c>
      <c r="B136" s="158" t="s">
        <v>4752</v>
      </c>
      <c r="C136" s="158"/>
      <c r="D136" s="157" t="s">
        <v>4622</v>
      </c>
      <c r="E136" s="159"/>
    </row>
    <row r="137" spans="1:5">
      <c r="A137" s="157" t="s">
        <v>4753</v>
      </c>
      <c r="B137" s="158" t="s">
        <v>4754</v>
      </c>
      <c r="C137" s="158"/>
      <c r="D137" s="157" t="s">
        <v>4622</v>
      </c>
      <c r="E137" s="159"/>
    </row>
    <row r="138" spans="1:5">
      <c r="A138" s="157" t="s">
        <v>4755</v>
      </c>
      <c r="B138" s="158"/>
      <c r="C138" s="158" t="s">
        <v>4707</v>
      </c>
      <c r="D138" s="157" t="s">
        <v>4612</v>
      </c>
      <c r="E138" s="159" t="s">
        <v>4547</v>
      </c>
    </row>
    <row r="139" spans="1:5">
      <c r="A139" s="157" t="s">
        <v>4756</v>
      </c>
      <c r="B139" s="158"/>
      <c r="C139" s="158" t="s">
        <v>4695</v>
      </c>
      <c r="D139" s="157" t="s">
        <v>4612</v>
      </c>
      <c r="E139" s="159" t="s">
        <v>4547</v>
      </c>
    </row>
    <row r="140" spans="1:5">
      <c r="A140" s="157" t="s">
        <v>4757</v>
      </c>
      <c r="B140" s="158"/>
      <c r="C140" s="158" t="s">
        <v>4695</v>
      </c>
      <c r="D140" s="157" t="s">
        <v>4612</v>
      </c>
      <c r="E140" s="159" t="s">
        <v>4547</v>
      </c>
    </row>
    <row r="141" spans="1:5">
      <c r="A141" s="157" t="s">
        <v>4758</v>
      </c>
      <c r="B141" s="158"/>
      <c r="C141" s="158" t="s">
        <v>4759</v>
      </c>
      <c r="D141" s="157" t="s">
        <v>4612</v>
      </c>
      <c r="E141" s="159" t="s">
        <v>4547</v>
      </c>
    </row>
    <row r="142" spans="1:5">
      <c r="A142" s="157" t="s">
        <v>4760</v>
      </c>
      <c r="B142" s="158"/>
      <c r="C142" s="158" t="s">
        <v>4655</v>
      </c>
      <c r="D142" s="157" t="s">
        <v>4558</v>
      </c>
      <c r="E142" s="159"/>
    </row>
    <row r="143" spans="1:5">
      <c r="A143" s="157" t="s">
        <v>4761</v>
      </c>
      <c r="B143" s="158"/>
      <c r="C143" s="158" t="s">
        <v>4762</v>
      </c>
      <c r="D143" s="157" t="s">
        <v>4558</v>
      </c>
      <c r="E143" s="159"/>
    </row>
    <row r="144" spans="1:5">
      <c r="A144" s="157" t="s">
        <v>4763</v>
      </c>
      <c r="B144" s="158"/>
      <c r="C144" s="158" t="s">
        <v>4714</v>
      </c>
      <c r="D144" s="157" t="s">
        <v>4612</v>
      </c>
      <c r="E144" s="159" t="s">
        <v>4547</v>
      </c>
    </row>
    <row r="145" spans="1:5">
      <c r="A145" s="157" t="s">
        <v>4764</v>
      </c>
      <c r="B145" s="158"/>
      <c r="C145" s="158" t="s">
        <v>4707</v>
      </c>
      <c r="D145" s="157" t="s">
        <v>4612</v>
      </c>
      <c r="E145" s="159" t="s">
        <v>4547</v>
      </c>
    </row>
    <row r="146" spans="1:5">
      <c r="A146" s="157" t="s">
        <v>4765</v>
      </c>
      <c r="B146" s="158"/>
      <c r="C146" s="158" t="s">
        <v>4554</v>
      </c>
      <c r="D146" s="157" t="s">
        <v>4612</v>
      </c>
      <c r="E146" s="159" t="s">
        <v>4547</v>
      </c>
    </row>
    <row r="147" spans="1:5">
      <c r="A147" s="164" t="s">
        <v>4766</v>
      </c>
      <c r="B147" s="158"/>
      <c r="C147" s="158"/>
      <c r="D147" s="157"/>
      <c r="E147" s="159"/>
    </row>
    <row r="148" spans="1:5">
      <c r="A148" s="157" t="s">
        <v>4767</v>
      </c>
      <c r="B148" s="158"/>
      <c r="C148" s="158" t="s">
        <v>4665</v>
      </c>
      <c r="D148" s="157" t="s">
        <v>4558</v>
      </c>
      <c r="E148" s="168"/>
    </row>
    <row r="149" spans="1:5">
      <c r="A149" s="157" t="s">
        <v>4768</v>
      </c>
      <c r="B149" s="158"/>
      <c r="C149" s="158" t="s">
        <v>4769</v>
      </c>
      <c r="D149" s="157" t="s">
        <v>4558</v>
      </c>
      <c r="E149" s="168"/>
    </row>
    <row r="150" spans="1:5">
      <c r="A150" s="157" t="s">
        <v>4770</v>
      </c>
      <c r="B150" s="158"/>
      <c r="C150" s="158" t="s">
        <v>4771</v>
      </c>
      <c r="D150" s="157" t="s">
        <v>4558</v>
      </c>
      <c r="E150" s="168"/>
    </row>
    <row r="151" spans="1:5">
      <c r="A151" s="157" t="s">
        <v>4772</v>
      </c>
      <c r="B151" s="158"/>
      <c r="C151" s="158" t="s">
        <v>4619</v>
      </c>
      <c r="D151" s="157" t="s">
        <v>4558</v>
      </c>
      <c r="E151" s="159"/>
    </row>
    <row r="152" spans="1:5">
      <c r="A152" s="157" t="s">
        <v>4773</v>
      </c>
      <c r="B152" s="158"/>
      <c r="C152" s="158" t="s">
        <v>4663</v>
      </c>
      <c r="D152" s="157" t="s">
        <v>4558</v>
      </c>
      <c r="E152" s="159"/>
    </row>
    <row r="153" spans="1:5">
      <c r="A153" s="157" t="s">
        <v>4774</v>
      </c>
      <c r="B153" s="158" t="s">
        <v>4775</v>
      </c>
      <c r="C153" s="158" t="s">
        <v>4775</v>
      </c>
      <c r="D153" s="157" t="s">
        <v>4546</v>
      </c>
      <c r="E153" s="159" t="s">
        <v>4547</v>
      </c>
    </row>
    <row r="154" spans="1:5">
      <c r="A154" s="157" t="s">
        <v>4776</v>
      </c>
      <c r="B154" s="158" t="s">
        <v>4775</v>
      </c>
      <c r="C154" s="158" t="s">
        <v>4775</v>
      </c>
      <c r="D154" s="157" t="s">
        <v>4546</v>
      </c>
      <c r="E154" s="159" t="s">
        <v>4547</v>
      </c>
    </row>
    <row r="155" spans="1:5">
      <c r="A155" s="157" t="s">
        <v>4777</v>
      </c>
      <c r="B155" s="158" t="s">
        <v>4775</v>
      </c>
      <c r="C155" s="158" t="s">
        <v>4775</v>
      </c>
      <c r="D155" s="157" t="s">
        <v>4546</v>
      </c>
      <c r="E155" s="159" t="s">
        <v>4547</v>
      </c>
    </row>
    <row r="156" spans="1:5">
      <c r="A156" s="157" t="s">
        <v>4778</v>
      </c>
      <c r="B156" s="158" t="s">
        <v>3994</v>
      </c>
      <c r="C156" s="158" t="s">
        <v>3994</v>
      </c>
      <c r="D156" s="157" t="s">
        <v>4546</v>
      </c>
      <c r="E156" s="159" t="s">
        <v>4547</v>
      </c>
    </row>
    <row r="157" spans="1:5">
      <c r="A157" s="157" t="s">
        <v>4779</v>
      </c>
      <c r="B157" s="158" t="s">
        <v>4775</v>
      </c>
      <c r="C157" s="158" t="s">
        <v>4775</v>
      </c>
      <c r="D157" s="157" t="s">
        <v>4546</v>
      </c>
      <c r="E157" s="159" t="s">
        <v>4547</v>
      </c>
    </row>
    <row r="158" spans="1:5">
      <c r="A158" s="157" t="s">
        <v>4780</v>
      </c>
      <c r="B158" s="158" t="s">
        <v>4775</v>
      </c>
      <c r="C158" s="158" t="s">
        <v>4775</v>
      </c>
      <c r="D158" s="157" t="s">
        <v>4546</v>
      </c>
      <c r="E158" s="159" t="s">
        <v>4547</v>
      </c>
    </row>
    <row r="159" spans="1:5">
      <c r="A159" s="157" t="s">
        <v>4781</v>
      </c>
      <c r="B159" s="158" t="s">
        <v>4775</v>
      </c>
      <c r="C159" s="158" t="s">
        <v>3994</v>
      </c>
      <c r="D159" s="157" t="s">
        <v>4546</v>
      </c>
      <c r="E159" s="159" t="s">
        <v>4547</v>
      </c>
    </row>
    <row r="160" spans="1:5">
      <c r="A160" s="157" t="s">
        <v>4782</v>
      </c>
      <c r="B160" s="158" t="s">
        <v>4775</v>
      </c>
      <c r="C160" s="158" t="s">
        <v>3994</v>
      </c>
      <c r="D160" s="157" t="s">
        <v>4546</v>
      </c>
      <c r="E160" s="159" t="s">
        <v>4547</v>
      </c>
    </row>
    <row r="161" spans="1:5">
      <c r="A161" s="157" t="s">
        <v>4783</v>
      </c>
      <c r="B161" s="158" t="s">
        <v>4775</v>
      </c>
      <c r="C161" s="158" t="s">
        <v>4775</v>
      </c>
      <c r="D161" s="157" t="s">
        <v>4546</v>
      </c>
      <c r="E161" s="159" t="s">
        <v>4547</v>
      </c>
    </row>
    <row r="162" spans="1:5">
      <c r="A162" s="157" t="s">
        <v>4784</v>
      </c>
      <c r="B162" s="158" t="s">
        <v>4775</v>
      </c>
      <c r="C162" s="158" t="s">
        <v>3994</v>
      </c>
      <c r="D162" s="157" t="s">
        <v>4546</v>
      </c>
      <c r="E162" s="159" t="s">
        <v>4547</v>
      </c>
    </row>
    <row r="163" spans="1:5">
      <c r="A163" s="157" t="s">
        <v>4785</v>
      </c>
      <c r="B163" s="158" t="s">
        <v>4775</v>
      </c>
      <c r="C163" s="158" t="s">
        <v>4775</v>
      </c>
      <c r="D163" s="157" t="s">
        <v>4546</v>
      </c>
      <c r="E163" s="159" t="s">
        <v>4547</v>
      </c>
    </row>
    <row r="164" spans="1:5">
      <c r="A164" s="157" t="s">
        <v>4786</v>
      </c>
      <c r="B164" s="158" t="s">
        <v>4775</v>
      </c>
      <c r="C164" s="158" t="s">
        <v>4775</v>
      </c>
      <c r="D164" s="157" t="s">
        <v>4546</v>
      </c>
      <c r="E164" s="159" t="s">
        <v>4547</v>
      </c>
    </row>
    <row r="165" spans="1:5">
      <c r="A165" s="157" t="s">
        <v>4787</v>
      </c>
      <c r="B165" s="158" t="s">
        <v>4775</v>
      </c>
      <c r="C165" s="158" t="s">
        <v>3994</v>
      </c>
      <c r="D165" s="157" t="s">
        <v>4546</v>
      </c>
      <c r="E165" s="159" t="s">
        <v>4547</v>
      </c>
    </row>
    <row r="166" spans="1:5">
      <c r="A166" s="157" t="s">
        <v>4788</v>
      </c>
      <c r="B166" s="158" t="s">
        <v>4775</v>
      </c>
      <c r="C166" s="158" t="s">
        <v>4775</v>
      </c>
      <c r="D166" s="157" t="s">
        <v>4546</v>
      </c>
      <c r="E166" s="159" t="s">
        <v>4547</v>
      </c>
    </row>
    <row r="167" spans="1:5">
      <c r="A167" s="157" t="s">
        <v>4789</v>
      </c>
      <c r="B167" s="158" t="s">
        <v>4775</v>
      </c>
      <c r="C167" s="158" t="s">
        <v>4775</v>
      </c>
      <c r="D167" s="157" t="s">
        <v>4546</v>
      </c>
      <c r="E167" s="159" t="s">
        <v>4547</v>
      </c>
    </row>
    <row r="168" spans="1:5">
      <c r="A168" s="157" t="s">
        <v>4790</v>
      </c>
      <c r="B168" s="158" t="s">
        <v>4775</v>
      </c>
      <c r="C168" s="158" t="s">
        <v>4775</v>
      </c>
      <c r="D168" s="157" t="s">
        <v>4546</v>
      </c>
      <c r="E168" s="159" t="s">
        <v>4547</v>
      </c>
    </row>
    <row r="169" spans="1:5">
      <c r="A169" s="157" t="s">
        <v>4791</v>
      </c>
      <c r="B169" s="158" t="s">
        <v>4775</v>
      </c>
      <c r="C169" s="158" t="s">
        <v>4775</v>
      </c>
      <c r="D169" s="157" t="s">
        <v>4546</v>
      </c>
      <c r="E169" s="159" t="s">
        <v>4547</v>
      </c>
    </row>
    <row r="170" spans="1:5">
      <c r="A170" s="157" t="s">
        <v>4792</v>
      </c>
      <c r="B170" s="158" t="s">
        <v>4775</v>
      </c>
      <c r="C170" s="158" t="s">
        <v>4775</v>
      </c>
      <c r="D170" s="157" t="s">
        <v>4546</v>
      </c>
      <c r="E170" s="159" t="s">
        <v>4547</v>
      </c>
    </row>
    <row r="171" spans="1:5">
      <c r="A171" s="157" t="s">
        <v>4793</v>
      </c>
      <c r="B171" s="158" t="s">
        <v>4775</v>
      </c>
      <c r="C171" s="158" t="s">
        <v>4775</v>
      </c>
      <c r="D171" s="157" t="s">
        <v>4546</v>
      </c>
      <c r="E171" s="159" t="s">
        <v>4547</v>
      </c>
    </row>
    <row r="172" spans="1:5">
      <c r="A172" s="157" t="s">
        <v>4794</v>
      </c>
      <c r="B172" s="158" t="s">
        <v>3994</v>
      </c>
      <c r="C172" s="158" t="s">
        <v>3994</v>
      </c>
      <c r="D172" s="157" t="s">
        <v>4546</v>
      </c>
      <c r="E172" s="159" t="s">
        <v>4547</v>
      </c>
    </row>
    <row r="173" spans="1:5">
      <c r="A173" s="157" t="s">
        <v>4795</v>
      </c>
      <c r="B173" s="158" t="s">
        <v>4775</v>
      </c>
      <c r="C173" s="158" t="s">
        <v>4775</v>
      </c>
      <c r="D173" s="157" t="s">
        <v>4546</v>
      </c>
      <c r="E173" s="159" t="s">
        <v>4547</v>
      </c>
    </row>
    <row r="174" spans="1:5">
      <c r="A174" s="157" t="s">
        <v>4796</v>
      </c>
      <c r="B174" s="158" t="s">
        <v>4775</v>
      </c>
      <c r="C174" s="158" t="s">
        <v>3994</v>
      </c>
      <c r="D174" s="157" t="s">
        <v>4546</v>
      </c>
      <c r="E174" s="159" t="s">
        <v>4547</v>
      </c>
    </row>
    <row r="175" spans="1:5">
      <c r="A175" s="157" t="s">
        <v>4797</v>
      </c>
      <c r="B175" s="158" t="s">
        <v>4544</v>
      </c>
      <c r="C175" s="158" t="s">
        <v>4544</v>
      </c>
      <c r="D175" s="157" t="s">
        <v>4546</v>
      </c>
      <c r="E175" s="159" t="s">
        <v>4547</v>
      </c>
    </row>
    <row r="176" spans="1:5">
      <c r="A176" s="157" t="s">
        <v>4798</v>
      </c>
      <c r="B176" s="158" t="s">
        <v>4607</v>
      </c>
      <c r="C176" s="158" t="s">
        <v>4607</v>
      </c>
      <c r="D176" s="157" t="s">
        <v>4546</v>
      </c>
      <c r="E176" s="159" t="s">
        <v>4547</v>
      </c>
    </row>
    <row r="177" spans="1:5">
      <c r="A177" s="157" t="s">
        <v>4799</v>
      </c>
      <c r="B177" s="158" t="s">
        <v>3994</v>
      </c>
      <c r="C177" s="158" t="s">
        <v>3994</v>
      </c>
      <c r="D177" s="157" t="s">
        <v>4546</v>
      </c>
      <c r="E177" s="159" t="s">
        <v>4547</v>
      </c>
    </row>
    <row r="178" spans="1:5">
      <c r="A178" s="157" t="s">
        <v>4800</v>
      </c>
      <c r="B178" s="158" t="s">
        <v>4610</v>
      </c>
      <c r="C178" s="158" t="s">
        <v>4610</v>
      </c>
      <c r="D178" s="157" t="s">
        <v>4546</v>
      </c>
      <c r="E178" s="159" t="s">
        <v>4547</v>
      </c>
    </row>
    <row r="179" spans="1:5">
      <c r="A179" s="157" t="s">
        <v>4801</v>
      </c>
      <c r="B179" s="158" t="s">
        <v>4775</v>
      </c>
      <c r="C179" s="158" t="s">
        <v>4775</v>
      </c>
      <c r="D179" s="157" t="s">
        <v>4546</v>
      </c>
      <c r="E179" s="159" t="s">
        <v>4547</v>
      </c>
    </row>
    <row r="180" spans="1:5">
      <c r="A180" s="157" t="s">
        <v>4802</v>
      </c>
      <c r="B180" s="158" t="s">
        <v>4775</v>
      </c>
      <c r="C180" s="158" t="s">
        <v>4775</v>
      </c>
      <c r="D180" s="157" t="s">
        <v>4546</v>
      </c>
      <c r="E180" s="159" t="s">
        <v>4547</v>
      </c>
    </row>
    <row r="181" spans="1:5">
      <c r="A181" s="157" t="s">
        <v>4803</v>
      </c>
      <c r="B181" s="158" t="s">
        <v>3994</v>
      </c>
      <c r="C181" s="158" t="s">
        <v>3994</v>
      </c>
      <c r="D181" s="157" t="s">
        <v>4546</v>
      </c>
      <c r="E181" s="159" t="s">
        <v>4547</v>
      </c>
    </row>
    <row r="182" spans="1:5">
      <c r="A182" s="157" t="s">
        <v>4804</v>
      </c>
      <c r="B182" s="158" t="s">
        <v>4775</v>
      </c>
      <c r="C182" s="158" t="s">
        <v>4775</v>
      </c>
      <c r="D182" s="157" t="s">
        <v>4546</v>
      </c>
      <c r="E182" s="159" t="s">
        <v>4547</v>
      </c>
    </row>
    <row r="183" spans="1:5">
      <c r="A183" s="157" t="s">
        <v>4805</v>
      </c>
      <c r="B183" s="158" t="s">
        <v>3994</v>
      </c>
      <c r="C183" s="158" t="s">
        <v>3994</v>
      </c>
      <c r="D183" s="157" t="s">
        <v>4546</v>
      </c>
      <c r="E183" s="159" t="s">
        <v>4547</v>
      </c>
    </row>
    <row r="184" spans="1:5">
      <c r="A184" s="157" t="s">
        <v>4806</v>
      </c>
      <c r="B184" s="158" t="s">
        <v>4807</v>
      </c>
      <c r="C184" s="158"/>
      <c r="D184" s="157" t="s">
        <v>4622</v>
      </c>
      <c r="E184" s="159"/>
    </row>
    <row r="185" spans="1:5">
      <c r="A185" s="157" t="s">
        <v>4808</v>
      </c>
      <c r="B185" s="158"/>
      <c r="C185" s="158" t="s">
        <v>4809</v>
      </c>
      <c r="D185" s="157" t="s">
        <v>4558</v>
      </c>
      <c r="E185" s="159"/>
    </row>
    <row r="186" spans="1:5">
      <c r="A186" s="157" t="s">
        <v>4810</v>
      </c>
      <c r="B186" s="158"/>
      <c r="C186" s="158" t="s">
        <v>4655</v>
      </c>
      <c r="D186" s="157" t="s">
        <v>4558</v>
      </c>
      <c r="E186" s="159"/>
    </row>
    <row r="187" spans="1:5">
      <c r="A187" s="157" t="s">
        <v>4811</v>
      </c>
      <c r="B187" s="158"/>
      <c r="C187" s="158" t="s">
        <v>4812</v>
      </c>
      <c r="D187" s="157" t="s">
        <v>4558</v>
      </c>
      <c r="E187" s="159"/>
    </row>
    <row r="188" spans="1:5">
      <c r="A188" s="153" t="s">
        <v>4813</v>
      </c>
      <c r="B188" s="162"/>
      <c r="C188" s="162"/>
      <c r="D188" s="153"/>
      <c r="E188" s="163"/>
    </row>
    <row r="189" spans="1:5">
      <c r="A189" s="164" t="s">
        <v>4814</v>
      </c>
      <c r="B189" s="169"/>
      <c r="C189" s="169"/>
      <c r="D189" s="164"/>
      <c r="E189" s="170"/>
    </row>
    <row r="190" spans="1:5">
      <c r="A190" s="160" t="s">
        <v>4815</v>
      </c>
      <c r="B190" s="158"/>
      <c r="C190" s="158" t="s">
        <v>4816</v>
      </c>
      <c r="D190" s="157" t="s">
        <v>4817</v>
      </c>
      <c r="E190" s="159" t="s">
        <v>4547</v>
      </c>
    </row>
    <row r="191" spans="1:5">
      <c r="A191" s="157" t="s">
        <v>4818</v>
      </c>
      <c r="B191" s="158" t="s">
        <v>4819</v>
      </c>
      <c r="C191" s="158"/>
      <c r="D191" s="157" t="s">
        <v>4576</v>
      </c>
      <c r="E191" s="159" t="s">
        <v>4547</v>
      </c>
    </row>
    <row r="192" spans="1:5">
      <c r="A192" s="157" t="s">
        <v>4820</v>
      </c>
      <c r="B192" s="158" t="s">
        <v>4819</v>
      </c>
      <c r="C192" s="158"/>
      <c r="D192" s="157" t="s">
        <v>4576</v>
      </c>
      <c r="E192" s="159" t="s">
        <v>4547</v>
      </c>
    </row>
    <row r="193" spans="1:5">
      <c r="A193" s="157" t="s">
        <v>4821</v>
      </c>
      <c r="B193" s="158" t="s">
        <v>4822</v>
      </c>
      <c r="C193" s="158"/>
      <c r="D193" s="157" t="s">
        <v>4576</v>
      </c>
      <c r="E193" s="159" t="s">
        <v>4547</v>
      </c>
    </row>
    <row r="194" spans="1:5">
      <c r="A194" s="157" t="s">
        <v>4823</v>
      </c>
      <c r="B194" s="158" t="s">
        <v>4611</v>
      </c>
      <c r="C194" s="158"/>
      <c r="D194" s="157" t="s">
        <v>4562</v>
      </c>
      <c r="E194" s="159"/>
    </row>
    <row r="195" spans="1:5">
      <c r="A195" s="157" t="s">
        <v>4824</v>
      </c>
      <c r="B195" s="158" t="s">
        <v>4610</v>
      </c>
      <c r="C195" s="158"/>
      <c r="D195" s="157" t="s">
        <v>4622</v>
      </c>
      <c r="E195" s="159"/>
    </row>
    <row r="196" spans="1:5">
      <c r="A196" s="157" t="s">
        <v>4825</v>
      </c>
      <c r="B196" s="158" t="s">
        <v>4826</v>
      </c>
      <c r="C196" s="158"/>
      <c r="D196" s="157" t="s">
        <v>4622</v>
      </c>
      <c r="E196" s="159"/>
    </row>
    <row r="197" spans="1:5">
      <c r="A197" s="157" t="s">
        <v>4827</v>
      </c>
      <c r="B197" s="158" t="s">
        <v>4828</v>
      </c>
      <c r="C197" s="158"/>
      <c r="D197" s="157" t="s">
        <v>4622</v>
      </c>
      <c r="E197" s="159"/>
    </row>
    <row r="198" spans="1:5">
      <c r="A198" s="157" t="s">
        <v>4829</v>
      </c>
      <c r="B198" s="158" t="s">
        <v>4544</v>
      </c>
      <c r="C198" s="158"/>
      <c r="D198" s="157" t="s">
        <v>4604</v>
      </c>
      <c r="E198" s="159" t="s">
        <v>4547</v>
      </c>
    </row>
    <row r="199" spans="1:5">
      <c r="A199" s="157" t="s">
        <v>4830</v>
      </c>
      <c r="B199" s="158"/>
      <c r="C199" s="158" t="s">
        <v>4555</v>
      </c>
      <c r="D199" s="157" t="s">
        <v>4558</v>
      </c>
      <c r="E199" s="159"/>
    </row>
    <row r="200" spans="1:5">
      <c r="A200" s="157" t="s">
        <v>4831</v>
      </c>
      <c r="B200" s="158" t="s">
        <v>4602</v>
      </c>
      <c r="C200" s="158"/>
      <c r="D200" s="157" t="s">
        <v>4562</v>
      </c>
      <c r="E200" s="159"/>
    </row>
    <row r="201" spans="1:5">
      <c r="A201" s="157" t="s">
        <v>4832</v>
      </c>
      <c r="B201" s="158"/>
      <c r="C201" s="158" t="s">
        <v>4607</v>
      </c>
      <c r="D201" s="157" t="s">
        <v>4558</v>
      </c>
      <c r="E201" s="159"/>
    </row>
    <row r="202" spans="1:5">
      <c r="A202" s="157" t="s">
        <v>4833</v>
      </c>
      <c r="B202" s="158" t="s">
        <v>4834</v>
      </c>
      <c r="C202" s="158"/>
      <c r="D202" s="157" t="s">
        <v>4622</v>
      </c>
      <c r="E202" s="159"/>
    </row>
    <row r="203" spans="1:5">
      <c r="A203" s="157" t="s">
        <v>4835</v>
      </c>
      <c r="B203" s="158" t="s">
        <v>4836</v>
      </c>
      <c r="C203" s="158"/>
      <c r="D203" s="157" t="s">
        <v>4615</v>
      </c>
      <c r="E203" s="159"/>
    </row>
    <row r="204" spans="1:5">
      <c r="A204" s="157" t="s">
        <v>4835</v>
      </c>
      <c r="B204" s="158" t="s">
        <v>4837</v>
      </c>
      <c r="C204" s="158"/>
      <c r="D204" s="157" t="s">
        <v>4622</v>
      </c>
      <c r="E204" s="159"/>
    </row>
    <row r="205" spans="1:5">
      <c r="A205" s="157" t="s">
        <v>4838</v>
      </c>
      <c r="B205" s="158" t="s">
        <v>4839</v>
      </c>
      <c r="C205" s="158"/>
      <c r="D205" s="157" t="s">
        <v>4615</v>
      </c>
      <c r="E205" s="159"/>
    </row>
    <row r="206" spans="1:5">
      <c r="A206" s="157" t="s">
        <v>4838</v>
      </c>
      <c r="B206" s="158" t="s">
        <v>4840</v>
      </c>
      <c r="C206" s="158"/>
      <c r="D206" s="157" t="s">
        <v>4622</v>
      </c>
      <c r="E206" s="159"/>
    </row>
    <row r="207" spans="1:5">
      <c r="A207" s="164" t="s">
        <v>4841</v>
      </c>
      <c r="B207" s="158"/>
      <c r="C207" s="158"/>
      <c r="D207" s="157"/>
      <c r="E207" s="159"/>
    </row>
    <row r="208" spans="1:5">
      <c r="A208" s="157" t="s">
        <v>4842</v>
      </c>
      <c r="B208" s="158" t="s">
        <v>4843</v>
      </c>
      <c r="C208" s="158"/>
      <c r="D208" s="157" t="s">
        <v>4615</v>
      </c>
      <c r="E208" s="159"/>
    </row>
    <row r="209" spans="1:5">
      <c r="A209" s="157" t="s">
        <v>4844</v>
      </c>
      <c r="B209" s="158" t="s">
        <v>4661</v>
      </c>
      <c r="C209" s="158"/>
      <c r="D209" s="157" t="s">
        <v>4630</v>
      </c>
      <c r="E209" s="159"/>
    </row>
    <row r="210" spans="1:5">
      <c r="A210" s="157" t="s">
        <v>4845</v>
      </c>
      <c r="B210" s="158" t="s">
        <v>2016</v>
      </c>
      <c r="C210" s="158"/>
      <c r="D210" s="157" t="s">
        <v>4576</v>
      </c>
      <c r="E210" s="159" t="s">
        <v>4547</v>
      </c>
    </row>
    <row r="211" spans="1:5">
      <c r="A211" s="157" t="s">
        <v>4846</v>
      </c>
      <c r="B211" s="158" t="s">
        <v>4847</v>
      </c>
      <c r="C211" s="158"/>
      <c r="D211" s="157" t="s">
        <v>4576</v>
      </c>
      <c r="E211" s="159" t="s">
        <v>4547</v>
      </c>
    </row>
    <row r="212" spans="1:5">
      <c r="A212" s="157" t="s">
        <v>4848</v>
      </c>
      <c r="B212" s="158" t="s">
        <v>4849</v>
      </c>
      <c r="C212" s="158"/>
      <c r="D212" s="157" t="s">
        <v>4630</v>
      </c>
      <c r="E212" s="159"/>
    </row>
    <row r="213" spans="1:5">
      <c r="A213" s="157" t="s">
        <v>4850</v>
      </c>
      <c r="B213" s="158" t="s">
        <v>4851</v>
      </c>
      <c r="C213" s="158"/>
      <c r="D213" s="157" t="s">
        <v>4622</v>
      </c>
      <c r="E213" s="159"/>
    </row>
    <row r="214" spans="1:5">
      <c r="A214" s="157" t="s">
        <v>4852</v>
      </c>
      <c r="B214" s="158" t="s">
        <v>4853</v>
      </c>
      <c r="C214" s="158"/>
      <c r="D214" s="157" t="s">
        <v>4622</v>
      </c>
      <c r="E214" s="159"/>
    </row>
    <row r="215" spans="1:5">
      <c r="A215" s="157" t="s">
        <v>4854</v>
      </c>
      <c r="B215" s="158" t="s">
        <v>4771</v>
      </c>
      <c r="C215" s="158"/>
      <c r="D215" s="157" t="s">
        <v>4622</v>
      </c>
      <c r="E215" s="159"/>
    </row>
    <row r="216" spans="1:5">
      <c r="A216" s="157" t="s">
        <v>4855</v>
      </c>
      <c r="B216" s="158"/>
      <c r="C216" s="158" t="s">
        <v>4856</v>
      </c>
      <c r="D216" s="157" t="s">
        <v>4558</v>
      </c>
      <c r="E216" s="159"/>
    </row>
    <row r="217" spans="1:5">
      <c r="A217" s="157" t="s">
        <v>4857</v>
      </c>
      <c r="B217" s="158" t="s">
        <v>4858</v>
      </c>
      <c r="C217" s="158"/>
      <c r="D217" s="157" t="s">
        <v>4615</v>
      </c>
      <c r="E217" s="159"/>
    </row>
    <row r="218" spans="1:5">
      <c r="A218" s="157" t="s">
        <v>4859</v>
      </c>
      <c r="B218" s="158" t="s">
        <v>4769</v>
      </c>
      <c r="C218" s="158"/>
      <c r="D218" s="157" t="s">
        <v>4615</v>
      </c>
      <c r="E218" s="159"/>
    </row>
    <row r="219" spans="1:5">
      <c r="A219" s="157" t="s">
        <v>4860</v>
      </c>
      <c r="B219" s="158"/>
      <c r="C219" s="158" t="s">
        <v>3994</v>
      </c>
      <c r="D219" s="157" t="s">
        <v>4558</v>
      </c>
      <c r="E219" s="159"/>
    </row>
    <row r="220" spans="1:5">
      <c r="A220" s="157" t="s">
        <v>4861</v>
      </c>
      <c r="B220" s="158" t="s">
        <v>4655</v>
      </c>
      <c r="C220" s="158"/>
      <c r="D220" s="157" t="s">
        <v>4622</v>
      </c>
      <c r="E220" s="159"/>
    </row>
    <row r="221" spans="1:5">
      <c r="A221" s="157" t="s">
        <v>4862</v>
      </c>
      <c r="B221" s="158" t="s">
        <v>4863</v>
      </c>
      <c r="C221" s="158"/>
      <c r="D221" s="157" t="s">
        <v>4622</v>
      </c>
      <c r="E221" s="159"/>
    </row>
    <row r="222" spans="1:5">
      <c r="A222" s="160" t="s">
        <v>4864</v>
      </c>
      <c r="B222" s="161" t="s">
        <v>4865</v>
      </c>
      <c r="C222" s="158"/>
      <c r="D222" s="157" t="s">
        <v>4569</v>
      </c>
      <c r="E222" s="159"/>
    </row>
    <row r="223" spans="1:5">
      <c r="A223" s="157" t="s">
        <v>4866</v>
      </c>
      <c r="B223" s="158"/>
      <c r="C223" s="158" t="s">
        <v>4661</v>
      </c>
      <c r="D223" s="157" t="s">
        <v>4558</v>
      </c>
      <c r="E223" s="159"/>
    </row>
    <row r="224" spans="1:5">
      <c r="A224" s="160" t="s">
        <v>4867</v>
      </c>
      <c r="B224" s="161" t="s">
        <v>4868</v>
      </c>
      <c r="C224" s="158"/>
      <c r="D224" s="157" t="s">
        <v>4569</v>
      </c>
      <c r="E224" s="159"/>
    </row>
    <row r="225" spans="1:5">
      <c r="A225" s="157" t="s">
        <v>4869</v>
      </c>
      <c r="B225" s="158"/>
      <c r="C225" s="158" t="s">
        <v>4870</v>
      </c>
      <c r="D225" s="157" t="s">
        <v>4558</v>
      </c>
      <c r="E225" s="159"/>
    </row>
    <row r="226" spans="1:5">
      <c r="A226" s="157" t="s">
        <v>4871</v>
      </c>
      <c r="B226" s="158" t="s">
        <v>4819</v>
      </c>
      <c r="C226" s="158"/>
      <c r="D226" s="157" t="s">
        <v>4562</v>
      </c>
      <c r="E226" s="159"/>
    </row>
    <row r="227" spans="1:5">
      <c r="A227" s="157" t="s">
        <v>4872</v>
      </c>
      <c r="B227" s="158" t="s">
        <v>4847</v>
      </c>
      <c r="C227" s="158"/>
      <c r="D227" s="157" t="s">
        <v>4562</v>
      </c>
      <c r="E227" s="159"/>
    </row>
    <row r="228" spans="1:5">
      <c r="A228" s="157" t="s">
        <v>4873</v>
      </c>
      <c r="B228" s="158" t="s">
        <v>4874</v>
      </c>
      <c r="C228" s="158"/>
      <c r="D228" s="157" t="s">
        <v>4562</v>
      </c>
      <c r="E228" s="159"/>
    </row>
    <row r="229" spans="1:5">
      <c r="A229" s="157" t="s">
        <v>4875</v>
      </c>
      <c r="B229" s="158"/>
      <c r="C229" s="158" t="s">
        <v>4876</v>
      </c>
      <c r="D229" s="157" t="s">
        <v>4558</v>
      </c>
      <c r="E229" s="159"/>
    </row>
    <row r="230" spans="1:5">
      <c r="A230" s="157" t="s">
        <v>4877</v>
      </c>
      <c r="B230" s="158" t="s">
        <v>4819</v>
      </c>
      <c r="C230" s="158"/>
      <c r="D230" s="157" t="s">
        <v>4562</v>
      </c>
      <c r="E230" s="159"/>
    </row>
    <row r="231" spans="1:5">
      <c r="A231" s="157" t="s">
        <v>4878</v>
      </c>
      <c r="B231" s="158" t="s">
        <v>4879</v>
      </c>
      <c r="C231" s="158"/>
      <c r="D231" s="157" t="s">
        <v>4562</v>
      </c>
      <c r="E231" s="159"/>
    </row>
    <row r="232" spans="1:5">
      <c r="A232" s="157" t="s">
        <v>4880</v>
      </c>
      <c r="B232" s="158" t="s">
        <v>4759</v>
      </c>
      <c r="C232" s="158"/>
      <c r="D232" s="157" t="s">
        <v>4604</v>
      </c>
      <c r="E232" s="159" t="s">
        <v>4547</v>
      </c>
    </row>
    <row r="233" spans="1:5">
      <c r="A233" s="157" t="s">
        <v>4881</v>
      </c>
      <c r="B233" s="158" t="s">
        <v>4554</v>
      </c>
      <c r="C233" s="158"/>
      <c r="D233" s="157" t="s">
        <v>4562</v>
      </c>
      <c r="E233" s="159"/>
    </row>
    <row r="234" spans="1:5">
      <c r="A234" s="157" t="s">
        <v>4882</v>
      </c>
      <c r="B234" s="158" t="s">
        <v>4883</v>
      </c>
      <c r="C234" s="158"/>
      <c r="D234" s="157" t="s">
        <v>4622</v>
      </c>
      <c r="E234" s="159"/>
    </row>
    <row r="235" spans="1:5">
      <c r="A235" s="157" t="s">
        <v>4884</v>
      </c>
      <c r="B235" s="158"/>
      <c r="C235" s="158" t="s">
        <v>4602</v>
      </c>
      <c r="D235" s="157" t="s">
        <v>4558</v>
      </c>
      <c r="E235" s="159"/>
    </row>
    <row r="236" spans="1:5">
      <c r="A236" s="157" t="s">
        <v>4885</v>
      </c>
      <c r="B236" s="158" t="s">
        <v>4554</v>
      </c>
      <c r="C236" s="158"/>
      <c r="D236" s="157" t="s">
        <v>4562</v>
      </c>
      <c r="E236" s="159"/>
    </row>
    <row r="237" spans="1:5">
      <c r="A237" s="157" t="s">
        <v>4885</v>
      </c>
      <c r="B237" s="158" t="s">
        <v>4840</v>
      </c>
      <c r="C237" s="158"/>
      <c r="D237" s="157" t="s">
        <v>4622</v>
      </c>
      <c r="E237" s="159"/>
    </row>
    <row r="238" spans="1:5">
      <c r="A238" s="157" t="s">
        <v>4886</v>
      </c>
      <c r="B238" s="158" t="s">
        <v>4602</v>
      </c>
      <c r="C238" s="158"/>
      <c r="D238" s="157" t="s">
        <v>4562</v>
      </c>
      <c r="E238" s="159"/>
    </row>
    <row r="239" spans="1:5">
      <c r="A239" s="153" t="s">
        <v>4887</v>
      </c>
      <c r="B239" s="162"/>
      <c r="C239" s="162"/>
      <c r="D239" s="153"/>
      <c r="E239" s="163"/>
    </row>
    <row r="240" spans="1:5">
      <c r="A240" s="171" t="s">
        <v>4888</v>
      </c>
      <c r="B240" s="158"/>
      <c r="C240" s="158"/>
      <c r="D240" s="157"/>
      <c r="E240" s="159"/>
    </row>
    <row r="241" spans="1:5">
      <c r="A241" s="160" t="s">
        <v>4889</v>
      </c>
      <c r="B241" s="158" t="s">
        <v>4890</v>
      </c>
      <c r="C241" s="158"/>
      <c r="D241" s="157" t="s">
        <v>4604</v>
      </c>
      <c r="E241" s="159" t="s">
        <v>4547</v>
      </c>
    </row>
    <row r="242" spans="1:5">
      <c r="A242" s="160" t="s">
        <v>4891</v>
      </c>
      <c r="B242" s="158" t="s">
        <v>4890</v>
      </c>
      <c r="C242" s="158"/>
      <c r="D242" s="157" t="s">
        <v>4604</v>
      </c>
      <c r="E242" s="159" t="s">
        <v>4547</v>
      </c>
    </row>
    <row r="243" spans="1:5">
      <c r="A243" s="160" t="s">
        <v>4892</v>
      </c>
      <c r="B243" s="158" t="s">
        <v>4890</v>
      </c>
      <c r="C243" s="158"/>
      <c r="D243" s="157" t="s">
        <v>4604</v>
      </c>
      <c r="E243" s="159" t="s">
        <v>4547</v>
      </c>
    </row>
    <row r="244" spans="1:5">
      <c r="A244" s="160" t="s">
        <v>4893</v>
      </c>
      <c r="B244" s="158"/>
      <c r="C244" s="158" t="s">
        <v>4894</v>
      </c>
      <c r="D244" s="157" t="s">
        <v>4817</v>
      </c>
      <c r="E244" s="159" t="s">
        <v>4547</v>
      </c>
    </row>
    <row r="245" spans="1:5">
      <c r="A245" s="160" t="s">
        <v>4895</v>
      </c>
      <c r="B245" s="158"/>
      <c r="C245" s="158" t="s">
        <v>4896</v>
      </c>
      <c r="D245" s="157" t="s">
        <v>4817</v>
      </c>
      <c r="E245" s="159" t="s">
        <v>4547</v>
      </c>
    </row>
    <row r="246" spans="1:5">
      <c r="A246" s="160" t="s">
        <v>4897</v>
      </c>
      <c r="B246" s="158"/>
      <c r="C246" s="158" t="s">
        <v>4898</v>
      </c>
      <c r="D246" s="157" t="s">
        <v>4817</v>
      </c>
      <c r="E246" s="159" t="s">
        <v>4547</v>
      </c>
    </row>
    <row r="247" spans="1:5">
      <c r="A247" s="160" t="s">
        <v>4899</v>
      </c>
      <c r="B247" s="158"/>
      <c r="C247" s="158" t="s">
        <v>4900</v>
      </c>
      <c r="D247" s="157" t="s">
        <v>4817</v>
      </c>
      <c r="E247" s="159" t="s">
        <v>4547</v>
      </c>
    </row>
    <row r="248" spans="1:5">
      <c r="A248" s="160" t="s">
        <v>4901</v>
      </c>
      <c r="B248" s="158"/>
      <c r="C248" s="158" t="s">
        <v>4902</v>
      </c>
      <c r="D248" s="157" t="s">
        <v>4817</v>
      </c>
      <c r="E248" s="159" t="s">
        <v>4547</v>
      </c>
    </row>
    <row r="249" spans="1:5">
      <c r="A249" s="160" t="s">
        <v>4903</v>
      </c>
      <c r="B249" s="158"/>
      <c r="C249" s="158" t="s">
        <v>4904</v>
      </c>
      <c r="D249" s="157" t="s">
        <v>4817</v>
      </c>
      <c r="E249" s="159" t="s">
        <v>4547</v>
      </c>
    </row>
    <row r="250" spans="1:5">
      <c r="A250" s="157" t="s">
        <v>4905</v>
      </c>
      <c r="B250" s="158" t="s">
        <v>4906</v>
      </c>
      <c r="C250" s="158"/>
      <c r="D250" s="157" t="s">
        <v>4622</v>
      </c>
      <c r="E250" s="159"/>
    </row>
    <row r="251" spans="1:5">
      <c r="A251" s="160" t="s">
        <v>4907</v>
      </c>
      <c r="B251" s="158"/>
      <c r="C251" s="158" t="s">
        <v>4896</v>
      </c>
      <c r="D251" s="157" t="s">
        <v>4817</v>
      </c>
      <c r="E251" s="159" t="s">
        <v>4547</v>
      </c>
    </row>
    <row r="252" spans="1:5">
      <c r="A252" s="157" t="s">
        <v>4908</v>
      </c>
      <c r="B252" s="158" t="s">
        <v>4909</v>
      </c>
      <c r="C252" s="158"/>
      <c r="D252" s="157" t="s">
        <v>4622</v>
      </c>
      <c r="E252" s="159"/>
    </row>
    <row r="253" spans="1:5">
      <c r="A253" s="160" t="s">
        <v>4910</v>
      </c>
      <c r="B253" s="158"/>
      <c r="C253" s="158" t="s">
        <v>4906</v>
      </c>
      <c r="D253" s="157" t="s">
        <v>4817</v>
      </c>
      <c r="E253" s="159" t="s">
        <v>4547</v>
      </c>
    </row>
    <row r="254" spans="1:5">
      <c r="A254" s="160" t="s">
        <v>4911</v>
      </c>
      <c r="B254" s="158"/>
      <c r="C254" s="158" t="s">
        <v>4906</v>
      </c>
      <c r="D254" s="157" t="s">
        <v>4817</v>
      </c>
      <c r="E254" s="159" t="s">
        <v>4547</v>
      </c>
    </row>
    <row r="255" spans="1:5">
      <c r="A255" s="160" t="s">
        <v>4912</v>
      </c>
      <c r="B255" s="158"/>
      <c r="C255" s="158" t="s">
        <v>4913</v>
      </c>
      <c r="D255" s="157" t="s">
        <v>4817</v>
      </c>
      <c r="E255" s="159" t="s">
        <v>4547</v>
      </c>
    </row>
    <row r="256" spans="1:5">
      <c r="A256" s="157" t="s">
        <v>4914</v>
      </c>
      <c r="B256" s="158" t="s">
        <v>4661</v>
      </c>
      <c r="C256" s="158"/>
      <c r="D256" s="157" t="s">
        <v>4630</v>
      </c>
      <c r="E256" s="159"/>
    </row>
    <row r="257" spans="1:5">
      <c r="A257" s="160" t="s">
        <v>4915</v>
      </c>
      <c r="B257" s="161" t="s">
        <v>4896</v>
      </c>
      <c r="C257" s="158"/>
      <c r="D257" s="157" t="s">
        <v>4615</v>
      </c>
      <c r="E257" s="159"/>
    </row>
    <row r="258" spans="1:5">
      <c r="A258" s="160" t="s">
        <v>4916</v>
      </c>
      <c r="B258" s="161" t="s">
        <v>4917</v>
      </c>
      <c r="C258" s="158"/>
      <c r="D258" s="157" t="s">
        <v>4615</v>
      </c>
      <c r="E258" s="159"/>
    </row>
    <row r="259" spans="1:5">
      <c r="A259" s="160" t="s">
        <v>4918</v>
      </c>
      <c r="B259" s="161" t="s">
        <v>4919</v>
      </c>
      <c r="C259" s="158"/>
      <c r="D259" s="157" t="s">
        <v>4615</v>
      </c>
      <c r="E259" s="159"/>
    </row>
    <row r="260" spans="1:5">
      <c r="A260" s="160" t="s">
        <v>4920</v>
      </c>
      <c r="B260" s="161" t="s">
        <v>4921</v>
      </c>
      <c r="C260" s="158"/>
      <c r="D260" s="157" t="s">
        <v>4615</v>
      </c>
      <c r="E260" s="159"/>
    </row>
    <row r="261" spans="1:5">
      <c r="A261" s="160" t="s">
        <v>4922</v>
      </c>
      <c r="B261" s="161" t="s">
        <v>4923</v>
      </c>
      <c r="C261" s="158"/>
      <c r="D261" s="157" t="s">
        <v>4615</v>
      </c>
      <c r="E261" s="159"/>
    </row>
    <row r="262" spans="1:5">
      <c r="A262" s="160" t="s">
        <v>4924</v>
      </c>
      <c r="B262" s="161" t="s">
        <v>4925</v>
      </c>
      <c r="C262" s="158"/>
      <c r="D262" s="157" t="s">
        <v>4615</v>
      </c>
      <c r="E262" s="159"/>
    </row>
    <row r="263" spans="1:5">
      <c r="A263" s="160" t="s">
        <v>4926</v>
      </c>
      <c r="B263" s="158"/>
      <c r="C263" s="158" t="s">
        <v>4927</v>
      </c>
      <c r="D263" s="157" t="s">
        <v>4817</v>
      </c>
      <c r="E263" s="159" t="s">
        <v>4547</v>
      </c>
    </row>
    <row r="264" spans="1:5">
      <c r="A264" s="171" t="s">
        <v>4928</v>
      </c>
      <c r="B264" s="158"/>
      <c r="C264" s="158"/>
      <c r="D264" s="157"/>
      <c r="E264" s="159"/>
    </row>
    <row r="265" spans="1:5">
      <c r="A265" s="157" t="s">
        <v>4929</v>
      </c>
      <c r="B265" s="158" t="s">
        <v>4930</v>
      </c>
      <c r="C265" s="158"/>
      <c r="D265" s="157" t="s">
        <v>4604</v>
      </c>
      <c r="E265" s="159" t="s">
        <v>4547</v>
      </c>
    </row>
    <row r="266" spans="1:5">
      <c r="A266" s="160" t="s">
        <v>4931</v>
      </c>
      <c r="B266" s="158" t="s">
        <v>4932</v>
      </c>
      <c r="C266" s="158"/>
      <c r="D266" s="157" t="s">
        <v>4615</v>
      </c>
      <c r="E266" s="159"/>
    </row>
    <row r="267" spans="1:5">
      <c r="A267" s="160" t="s">
        <v>4933</v>
      </c>
      <c r="B267" s="158"/>
      <c r="C267" s="158" t="s">
        <v>4661</v>
      </c>
      <c r="D267" s="157" t="s">
        <v>4817</v>
      </c>
      <c r="E267" s="159" t="s">
        <v>4547</v>
      </c>
    </row>
    <row r="268" spans="1:5">
      <c r="A268" s="160" t="s">
        <v>4934</v>
      </c>
      <c r="B268" s="158" t="s">
        <v>4611</v>
      </c>
      <c r="C268" s="158"/>
      <c r="D268" s="157" t="s">
        <v>4615</v>
      </c>
      <c r="E268" s="159"/>
    </row>
    <row r="269" spans="1:5">
      <c r="A269" s="160" t="s">
        <v>4935</v>
      </c>
      <c r="B269" s="158" t="s">
        <v>4936</v>
      </c>
      <c r="C269" s="158"/>
      <c r="D269" s="157" t="s">
        <v>4615</v>
      </c>
      <c r="E269" s="159"/>
    </row>
    <row r="270" spans="1:5">
      <c r="A270" s="160" t="s">
        <v>4937</v>
      </c>
      <c r="B270" s="158" t="s">
        <v>4938</v>
      </c>
      <c r="C270" s="158"/>
      <c r="D270" s="157" t="s">
        <v>4604</v>
      </c>
      <c r="E270" s="159" t="s">
        <v>4547</v>
      </c>
    </row>
    <row r="271" spans="1:5">
      <c r="A271" s="160" t="s">
        <v>4939</v>
      </c>
      <c r="B271" s="158" t="s">
        <v>4940</v>
      </c>
      <c r="C271" s="158"/>
      <c r="D271" s="157" t="s">
        <v>4604</v>
      </c>
      <c r="E271" s="159" t="s">
        <v>4547</v>
      </c>
    </row>
    <row r="272" spans="1:5">
      <c r="A272" s="153" t="s">
        <v>4941</v>
      </c>
      <c r="B272" s="162"/>
      <c r="C272" s="162"/>
      <c r="D272" s="153"/>
      <c r="E272" s="163"/>
    </row>
    <row r="273" spans="1:5">
      <c r="A273" s="157" t="s">
        <v>4942</v>
      </c>
      <c r="B273" s="158" t="s">
        <v>4879</v>
      </c>
      <c r="C273" s="158"/>
      <c r="D273" s="157" t="s">
        <v>4615</v>
      </c>
      <c r="E273" s="159"/>
    </row>
    <row r="274" spans="1:5">
      <c r="A274" s="157" t="s">
        <v>4943</v>
      </c>
      <c r="B274" s="158" t="s">
        <v>4944</v>
      </c>
      <c r="C274" s="158"/>
      <c r="D274" s="157" t="s">
        <v>4576</v>
      </c>
      <c r="E274" s="159" t="s">
        <v>4547</v>
      </c>
    </row>
    <row r="275" spans="1:5">
      <c r="A275" s="157" t="s">
        <v>4945</v>
      </c>
      <c r="B275" s="158" t="s">
        <v>4946</v>
      </c>
      <c r="C275" s="158"/>
      <c r="D275" s="157" t="s">
        <v>4576</v>
      </c>
      <c r="E275" s="159" t="s">
        <v>4547</v>
      </c>
    </row>
    <row r="276" spans="1:5">
      <c r="A276" s="157" t="s">
        <v>4947</v>
      </c>
      <c r="B276" s="158" t="s">
        <v>4948</v>
      </c>
      <c r="C276" s="158"/>
      <c r="D276" s="157" t="s">
        <v>4576</v>
      </c>
      <c r="E276" s="159" t="s">
        <v>4547</v>
      </c>
    </row>
    <row r="277" spans="1:5">
      <c r="A277" s="157" t="s">
        <v>4949</v>
      </c>
      <c r="B277" s="158" t="s">
        <v>4870</v>
      </c>
      <c r="C277" s="158"/>
      <c r="D277" s="157" t="s">
        <v>4576</v>
      </c>
      <c r="E277" s="159" t="s">
        <v>4547</v>
      </c>
    </row>
    <row r="278" spans="1:5">
      <c r="A278" s="157" t="s">
        <v>4950</v>
      </c>
      <c r="B278" s="158" t="s">
        <v>4951</v>
      </c>
      <c r="C278" s="158"/>
      <c r="D278" s="157" t="s">
        <v>4576</v>
      </c>
      <c r="E278" s="159" t="s">
        <v>4547</v>
      </c>
    </row>
    <row r="279" spans="1:5">
      <c r="A279" s="157" t="s">
        <v>4952</v>
      </c>
      <c r="B279" s="158" t="s">
        <v>4953</v>
      </c>
      <c r="C279" s="158"/>
      <c r="D279" s="157" t="s">
        <v>4576</v>
      </c>
      <c r="E279" s="159" t="s">
        <v>4547</v>
      </c>
    </row>
    <row r="280" spans="1:5">
      <c r="A280" s="157" t="s">
        <v>4954</v>
      </c>
      <c r="B280" s="158" t="s">
        <v>4955</v>
      </c>
      <c r="C280" s="158"/>
      <c r="D280" s="157" t="s">
        <v>4576</v>
      </c>
      <c r="E280" s="159" t="s">
        <v>4547</v>
      </c>
    </row>
    <row r="281" spans="1:5">
      <c r="A281" s="157" t="s">
        <v>4956</v>
      </c>
      <c r="B281" s="158" t="s">
        <v>4957</v>
      </c>
      <c r="C281" s="158"/>
      <c r="D281" s="157" t="s">
        <v>4576</v>
      </c>
      <c r="E281" s="159" t="s">
        <v>4547</v>
      </c>
    </row>
    <row r="282" spans="1:5">
      <c r="A282" s="157" t="s">
        <v>4958</v>
      </c>
      <c r="B282" s="158" t="s">
        <v>4959</v>
      </c>
      <c r="C282" s="158"/>
      <c r="D282" s="157" t="s">
        <v>4576</v>
      </c>
      <c r="E282" s="159" t="s">
        <v>4547</v>
      </c>
    </row>
    <row r="283" spans="1:5">
      <c r="A283" s="157" t="s">
        <v>4960</v>
      </c>
      <c r="B283" s="158" t="s">
        <v>4961</v>
      </c>
      <c r="C283" s="158"/>
      <c r="D283" s="157" t="s">
        <v>4576</v>
      </c>
      <c r="E283" s="159" t="s">
        <v>4547</v>
      </c>
    </row>
    <row r="284" spans="1:5">
      <c r="A284" s="157" t="s">
        <v>4962</v>
      </c>
      <c r="B284" s="158" t="s">
        <v>4963</v>
      </c>
      <c r="C284" s="158"/>
      <c r="D284" s="157" t="s">
        <v>4562</v>
      </c>
      <c r="E284" s="159"/>
    </row>
    <row r="285" spans="1:5">
      <c r="A285" s="157" t="s">
        <v>4964</v>
      </c>
      <c r="B285" s="158" t="s">
        <v>4819</v>
      </c>
      <c r="C285" s="169"/>
      <c r="D285" s="157" t="s">
        <v>4576</v>
      </c>
      <c r="E285" s="159" t="s">
        <v>4547</v>
      </c>
    </row>
    <row r="286" spans="1:5">
      <c r="A286" s="157" t="s">
        <v>4965</v>
      </c>
      <c r="B286" s="158" t="s">
        <v>4966</v>
      </c>
      <c r="C286" s="158"/>
      <c r="D286" s="157" t="s">
        <v>4562</v>
      </c>
      <c r="E286" s="159"/>
    </row>
    <row r="287" spans="1:5">
      <c r="A287" s="160" t="s">
        <v>4967</v>
      </c>
      <c r="B287" s="161" t="s">
        <v>4968</v>
      </c>
      <c r="C287" s="158"/>
      <c r="D287" s="157" t="s">
        <v>4569</v>
      </c>
      <c r="E287" s="159"/>
    </row>
    <row r="288" spans="1:5">
      <c r="A288" s="160" t="s">
        <v>4969</v>
      </c>
      <c r="B288" s="161" t="s">
        <v>4970</v>
      </c>
      <c r="C288" s="158"/>
      <c r="D288" s="157" t="s">
        <v>4562</v>
      </c>
      <c r="E288" s="159"/>
    </row>
    <row r="289" spans="1:5">
      <c r="A289" s="157" t="s">
        <v>4971</v>
      </c>
      <c r="B289" s="158" t="s">
        <v>4972</v>
      </c>
      <c r="C289" s="158"/>
      <c r="D289" s="157" t="s">
        <v>4604</v>
      </c>
      <c r="E289" s="159" t="s">
        <v>4547</v>
      </c>
    </row>
    <row r="290" spans="1:5">
      <c r="A290" s="157" t="s">
        <v>4973</v>
      </c>
      <c r="B290" s="158" t="s">
        <v>4966</v>
      </c>
      <c r="C290" s="158"/>
      <c r="D290" s="157" t="s">
        <v>4562</v>
      </c>
      <c r="E290" s="159"/>
    </row>
    <row r="291" spans="1:5">
      <c r="A291" s="157" t="s">
        <v>4974</v>
      </c>
      <c r="B291" s="158" t="s">
        <v>4948</v>
      </c>
      <c r="C291" s="158"/>
      <c r="D291" s="157" t="s">
        <v>4630</v>
      </c>
      <c r="E291" s="159"/>
    </row>
    <row r="292" spans="1:5">
      <c r="A292" s="160" t="s">
        <v>4975</v>
      </c>
      <c r="B292" s="161" t="s">
        <v>4976</v>
      </c>
      <c r="C292" s="158"/>
      <c r="D292" s="157" t="s">
        <v>4569</v>
      </c>
      <c r="E292" s="159"/>
    </row>
    <row r="293" spans="1:5">
      <c r="A293" s="157" t="s">
        <v>4977</v>
      </c>
      <c r="B293" s="158" t="s">
        <v>4978</v>
      </c>
      <c r="C293" s="158"/>
      <c r="D293" s="157" t="s">
        <v>4562</v>
      </c>
      <c r="E293" s="159"/>
    </row>
    <row r="294" spans="1:5">
      <c r="A294" s="157" t="s">
        <v>4979</v>
      </c>
      <c r="B294" s="158" t="s">
        <v>4980</v>
      </c>
      <c r="C294" s="158"/>
      <c r="D294" s="157" t="s">
        <v>4562</v>
      </c>
      <c r="E294" s="159"/>
    </row>
    <row r="295" spans="1:5">
      <c r="A295" s="157" t="s">
        <v>4981</v>
      </c>
      <c r="B295" s="158" t="s">
        <v>4982</v>
      </c>
      <c r="C295" s="158"/>
      <c r="D295" s="157" t="s">
        <v>4562</v>
      </c>
      <c r="E295" s="159"/>
    </row>
    <row r="296" spans="1:5">
      <c r="A296" s="157" t="s">
        <v>4983</v>
      </c>
      <c r="B296" s="158" t="s">
        <v>4984</v>
      </c>
      <c r="C296" s="158"/>
      <c r="D296" s="157" t="s">
        <v>4630</v>
      </c>
      <c r="E296" s="159"/>
    </row>
    <row r="297" spans="1:5">
      <c r="A297" s="157" t="s">
        <v>4985</v>
      </c>
      <c r="B297" s="158" t="s">
        <v>4982</v>
      </c>
      <c r="C297" s="158"/>
      <c r="D297" s="157" t="s">
        <v>4562</v>
      </c>
      <c r="E297" s="159"/>
    </row>
    <row r="298" spans="1:5">
      <c r="A298" s="157" t="s">
        <v>4986</v>
      </c>
      <c r="B298" s="158" t="s">
        <v>4970</v>
      </c>
      <c r="C298" s="158"/>
      <c r="D298" s="157" t="s">
        <v>4562</v>
      </c>
      <c r="E298" s="159"/>
    </row>
    <row r="299" spans="1:5">
      <c r="A299" s="157" t="s">
        <v>4987</v>
      </c>
      <c r="B299" s="158" t="s">
        <v>4988</v>
      </c>
      <c r="C299" s="158"/>
      <c r="D299" s="157" t="s">
        <v>4562</v>
      </c>
      <c r="E299" s="159"/>
    </row>
    <row r="300" spans="1:5">
      <c r="A300" s="157" t="s">
        <v>4989</v>
      </c>
      <c r="B300" s="158" t="s">
        <v>4990</v>
      </c>
      <c r="C300" s="158"/>
      <c r="D300" s="157" t="s">
        <v>4562</v>
      </c>
      <c r="E300" s="159"/>
    </row>
    <row r="301" spans="1:5">
      <c r="A301" s="157" t="s">
        <v>4991</v>
      </c>
      <c r="B301" s="158" t="s">
        <v>4629</v>
      </c>
      <c r="C301" s="158"/>
      <c r="D301" s="157" t="s">
        <v>4576</v>
      </c>
      <c r="E301" s="159" t="s">
        <v>4547</v>
      </c>
    </row>
    <row r="302" spans="1:5">
      <c r="A302" s="157" t="s">
        <v>4992</v>
      </c>
      <c r="B302" s="158" t="s">
        <v>4959</v>
      </c>
      <c r="C302" s="158"/>
      <c r="D302" s="157" t="s">
        <v>4576</v>
      </c>
      <c r="E302" s="159" t="s">
        <v>4547</v>
      </c>
    </row>
    <row r="303" spans="1:5">
      <c r="A303" s="157" t="s">
        <v>4993</v>
      </c>
      <c r="B303" s="158" t="s">
        <v>4994</v>
      </c>
      <c r="C303" s="158"/>
      <c r="D303" s="157" t="s">
        <v>4576</v>
      </c>
      <c r="E303" s="159" t="s">
        <v>4547</v>
      </c>
    </row>
    <row r="304" spans="1:5">
      <c r="A304" s="157" t="s">
        <v>4995</v>
      </c>
      <c r="B304" s="158" t="s">
        <v>4819</v>
      </c>
      <c r="C304" s="158"/>
      <c r="D304" s="157" t="s">
        <v>4604</v>
      </c>
      <c r="E304" s="159" t="s">
        <v>4547</v>
      </c>
    </row>
    <row r="305" spans="1:5">
      <c r="A305" s="157" t="s">
        <v>4996</v>
      </c>
      <c r="B305" s="161" t="s">
        <v>4997</v>
      </c>
      <c r="C305" s="158"/>
      <c r="D305" s="157" t="s">
        <v>4569</v>
      </c>
      <c r="E305" s="159"/>
    </row>
    <row r="306" spans="1:5">
      <c r="A306" s="157" t="s">
        <v>4998</v>
      </c>
      <c r="B306" s="158" t="s">
        <v>4930</v>
      </c>
      <c r="C306" s="158"/>
      <c r="D306" s="157" t="s">
        <v>4576</v>
      </c>
      <c r="E306" s="159" t="s">
        <v>4547</v>
      </c>
    </row>
    <row r="307" spans="1:5">
      <c r="A307" s="157" t="s">
        <v>4999</v>
      </c>
      <c r="B307" s="158" t="s">
        <v>5000</v>
      </c>
      <c r="C307" s="158"/>
      <c r="D307" s="157" t="s">
        <v>4604</v>
      </c>
      <c r="E307" s="159" t="s">
        <v>4547</v>
      </c>
    </row>
    <row r="308" spans="1:5">
      <c r="A308" s="157" t="s">
        <v>5001</v>
      </c>
      <c r="B308" s="161" t="s">
        <v>4874</v>
      </c>
      <c r="C308" s="158"/>
      <c r="D308" s="157" t="s">
        <v>4615</v>
      </c>
      <c r="E308" s="159"/>
    </row>
    <row r="309" spans="1:5">
      <c r="A309" s="157" t="s">
        <v>5002</v>
      </c>
      <c r="B309" s="158" t="s">
        <v>5003</v>
      </c>
      <c r="C309" s="158"/>
      <c r="D309" s="157" t="s">
        <v>4576</v>
      </c>
      <c r="E309" s="159" t="s">
        <v>4547</v>
      </c>
    </row>
    <row r="310" spans="1:5">
      <c r="A310" s="157" t="s">
        <v>5004</v>
      </c>
      <c r="B310" s="158" t="s">
        <v>5005</v>
      </c>
      <c r="C310" s="158"/>
      <c r="D310" s="157" t="s">
        <v>4604</v>
      </c>
      <c r="E310" s="159" t="s">
        <v>4547</v>
      </c>
    </row>
    <row r="311" spans="1:5">
      <c r="A311" s="157" t="s">
        <v>5006</v>
      </c>
      <c r="B311" s="158" t="s">
        <v>5005</v>
      </c>
      <c r="C311" s="158"/>
      <c r="D311" s="157" t="s">
        <v>4604</v>
      </c>
      <c r="E311" s="159" t="s">
        <v>4547</v>
      </c>
    </row>
    <row r="312" spans="1:5">
      <c r="A312" s="157" t="s">
        <v>5007</v>
      </c>
      <c r="B312" s="158" t="s">
        <v>4822</v>
      </c>
      <c r="C312" s="158"/>
      <c r="D312" s="157" t="s">
        <v>4576</v>
      </c>
      <c r="E312" s="159" t="s">
        <v>4547</v>
      </c>
    </row>
    <row r="313" spans="1:5">
      <c r="A313" s="157" t="s">
        <v>5008</v>
      </c>
      <c r="B313" s="158" t="s">
        <v>5009</v>
      </c>
      <c r="C313" s="158"/>
      <c r="D313" s="157" t="s">
        <v>4576</v>
      </c>
      <c r="E313" s="159" t="s">
        <v>4547</v>
      </c>
    </row>
    <row r="314" spans="1:5">
      <c r="A314" s="157" t="s">
        <v>5010</v>
      </c>
      <c r="B314" s="158" t="s">
        <v>5011</v>
      </c>
      <c r="C314" s="158"/>
      <c r="D314" s="157" t="s">
        <v>4576</v>
      </c>
      <c r="E314" s="159" t="s">
        <v>4547</v>
      </c>
    </row>
    <row r="315" spans="1:5">
      <c r="A315" s="157" t="s">
        <v>5012</v>
      </c>
      <c r="B315" s="158" t="s">
        <v>5013</v>
      </c>
      <c r="C315" s="158"/>
      <c r="D315" s="157" t="s">
        <v>4576</v>
      </c>
      <c r="E315" s="159" t="s">
        <v>4547</v>
      </c>
    </row>
    <row r="316" spans="1:5">
      <c r="A316" s="157" t="s">
        <v>5014</v>
      </c>
      <c r="B316" s="158" t="s">
        <v>5015</v>
      </c>
      <c r="C316" s="158"/>
      <c r="D316" s="157" t="s">
        <v>4576</v>
      </c>
      <c r="E316" s="159" t="s">
        <v>4547</v>
      </c>
    </row>
    <row r="317" spans="1:5">
      <c r="A317" s="157" t="s">
        <v>5016</v>
      </c>
      <c r="B317" s="158" t="s">
        <v>4951</v>
      </c>
      <c r="C317" s="158"/>
      <c r="D317" s="157" t="s">
        <v>4576</v>
      </c>
      <c r="E317" s="159" t="s">
        <v>4547</v>
      </c>
    </row>
    <row r="318" spans="1:5">
      <c r="A318" s="157" t="s">
        <v>5017</v>
      </c>
      <c r="B318" s="158" t="s">
        <v>2502</v>
      </c>
      <c r="C318" s="158"/>
      <c r="D318" s="157" t="s">
        <v>4615</v>
      </c>
      <c r="E318" s="159"/>
    </row>
    <row r="319" spans="1:5">
      <c r="A319" s="157" t="s">
        <v>5017</v>
      </c>
      <c r="B319" s="158" t="s">
        <v>2502</v>
      </c>
      <c r="C319" s="158"/>
      <c r="D319" s="157" t="s">
        <v>4576</v>
      </c>
      <c r="E319" s="159" t="s">
        <v>4547</v>
      </c>
    </row>
    <row r="320" spans="1:5">
      <c r="A320" s="157" t="s">
        <v>5018</v>
      </c>
      <c r="B320" s="158" t="s">
        <v>5000</v>
      </c>
      <c r="C320" s="158"/>
      <c r="D320" s="157" t="s">
        <v>4604</v>
      </c>
      <c r="E320" s="159" t="s">
        <v>4547</v>
      </c>
    </row>
    <row r="321" spans="1:5">
      <c r="A321" s="157" t="s">
        <v>5019</v>
      </c>
      <c r="B321" s="158" t="s">
        <v>5020</v>
      </c>
      <c r="C321" s="158"/>
      <c r="D321" s="157" t="s">
        <v>4576</v>
      </c>
      <c r="E321" s="159" t="s">
        <v>4547</v>
      </c>
    </row>
    <row r="322" spans="1:5">
      <c r="A322" s="157" t="s">
        <v>5021</v>
      </c>
      <c r="B322" s="158" t="s">
        <v>4951</v>
      </c>
      <c r="C322" s="158"/>
      <c r="D322" s="157" t="s">
        <v>4576</v>
      </c>
      <c r="E322" s="159" t="s">
        <v>4547</v>
      </c>
    </row>
    <row r="323" spans="1:5">
      <c r="A323" s="157" t="s">
        <v>5019</v>
      </c>
      <c r="B323" s="158" t="s">
        <v>4879</v>
      </c>
      <c r="C323" s="158"/>
      <c r="D323" s="157" t="s">
        <v>4576</v>
      </c>
      <c r="E323" s="159" t="s">
        <v>4547</v>
      </c>
    </row>
    <row r="324" spans="1:5">
      <c r="A324" s="157" t="s">
        <v>5022</v>
      </c>
      <c r="B324" s="158" t="s">
        <v>4819</v>
      </c>
      <c r="C324" s="158"/>
      <c r="D324" s="157" t="s">
        <v>4576</v>
      </c>
      <c r="E324" s="159" t="s">
        <v>4547</v>
      </c>
    </row>
    <row r="325" spans="1:5">
      <c r="A325" s="157" t="s">
        <v>5023</v>
      </c>
      <c r="B325" s="158" t="s">
        <v>5024</v>
      </c>
      <c r="C325" s="158"/>
      <c r="D325" s="157" t="s">
        <v>4576</v>
      </c>
      <c r="E325" s="159" t="s">
        <v>4547</v>
      </c>
    </row>
    <row r="326" spans="1:5">
      <c r="A326" s="157" t="s">
        <v>5025</v>
      </c>
      <c r="B326" s="158" t="s">
        <v>5026</v>
      </c>
      <c r="C326" s="158"/>
      <c r="D326" s="157" t="s">
        <v>4576</v>
      </c>
      <c r="E326" s="159" t="s">
        <v>4547</v>
      </c>
    </row>
    <row r="327" spans="1:5">
      <c r="A327" s="157" t="s">
        <v>5027</v>
      </c>
      <c r="B327" s="158" t="s">
        <v>5028</v>
      </c>
      <c r="C327" s="158"/>
      <c r="D327" s="157" t="s">
        <v>4576</v>
      </c>
      <c r="E327" s="159" t="s">
        <v>4547</v>
      </c>
    </row>
    <row r="328" spans="1:5">
      <c r="A328" s="157" t="s">
        <v>5029</v>
      </c>
      <c r="B328" s="158" t="s">
        <v>5030</v>
      </c>
      <c r="C328" s="158"/>
      <c r="D328" s="157" t="s">
        <v>4576</v>
      </c>
      <c r="E328" s="159" t="s">
        <v>4547</v>
      </c>
    </row>
    <row r="329" spans="1:5">
      <c r="A329" s="157" t="s">
        <v>5031</v>
      </c>
      <c r="B329" s="158" t="s">
        <v>4944</v>
      </c>
      <c r="C329" s="158"/>
      <c r="D329" s="157" t="s">
        <v>4576</v>
      </c>
      <c r="E329" s="159" t="s">
        <v>4547</v>
      </c>
    </row>
    <row r="330" spans="1:5">
      <c r="A330" s="157" t="s">
        <v>5032</v>
      </c>
      <c r="B330" s="158" t="s">
        <v>4944</v>
      </c>
      <c r="C330" s="158"/>
      <c r="D330" s="157" t="s">
        <v>4615</v>
      </c>
      <c r="E330" s="159"/>
    </row>
    <row r="331" spans="1:5">
      <c r="A331" s="157" t="s">
        <v>5033</v>
      </c>
      <c r="B331" s="158" t="s">
        <v>4940</v>
      </c>
      <c r="C331" s="158"/>
      <c r="D331" s="157" t="s">
        <v>4576</v>
      </c>
      <c r="E331" s="159" t="s">
        <v>4547</v>
      </c>
    </row>
    <row r="332" spans="1:5">
      <c r="A332" s="157" t="s">
        <v>5034</v>
      </c>
      <c r="B332" s="161" t="s">
        <v>5035</v>
      </c>
      <c r="C332" s="158"/>
      <c r="D332" s="157" t="s">
        <v>4615</v>
      </c>
      <c r="E332" s="159"/>
    </row>
    <row r="333" spans="1:5">
      <c r="A333" s="157" t="s">
        <v>5036</v>
      </c>
      <c r="B333" s="158" t="s">
        <v>5037</v>
      </c>
      <c r="C333" s="158"/>
      <c r="D333" s="157" t="s">
        <v>4604</v>
      </c>
      <c r="E333" s="159" t="s">
        <v>4547</v>
      </c>
    </row>
    <row r="334" spans="1:5">
      <c r="A334" s="157" t="s">
        <v>5038</v>
      </c>
      <c r="B334" s="158" t="s">
        <v>5039</v>
      </c>
      <c r="C334" s="158"/>
      <c r="D334" s="157" t="s">
        <v>4604</v>
      </c>
      <c r="E334" s="159" t="s">
        <v>4547</v>
      </c>
    </row>
    <row r="335" spans="1:5">
      <c r="A335" s="157" t="s">
        <v>5040</v>
      </c>
      <c r="B335" s="158" t="s">
        <v>5039</v>
      </c>
      <c r="C335" s="158"/>
      <c r="D335" s="157" t="s">
        <v>4604</v>
      </c>
      <c r="E335" s="159" t="s">
        <v>4547</v>
      </c>
    </row>
    <row r="336" spans="1:5">
      <c r="A336" s="157" t="s">
        <v>5041</v>
      </c>
      <c r="B336" s="158" t="s">
        <v>4555</v>
      </c>
      <c r="C336" s="158"/>
      <c r="D336" s="157" t="s">
        <v>4604</v>
      </c>
      <c r="E336" s="159" t="s">
        <v>4547</v>
      </c>
    </row>
    <row r="337" spans="1:5">
      <c r="A337" s="157" t="s">
        <v>5042</v>
      </c>
      <c r="B337" s="158" t="s">
        <v>4944</v>
      </c>
      <c r="C337" s="158"/>
      <c r="D337" s="157" t="s">
        <v>4576</v>
      </c>
      <c r="E337" s="159" t="s">
        <v>4547</v>
      </c>
    </row>
    <row r="338" spans="1:5">
      <c r="A338" s="157" t="s">
        <v>5043</v>
      </c>
      <c r="B338" s="158" t="s">
        <v>4951</v>
      </c>
      <c r="C338" s="158"/>
      <c r="D338" s="157" t="s">
        <v>4576</v>
      </c>
      <c r="E338" s="159" t="s">
        <v>4547</v>
      </c>
    </row>
    <row r="339" spans="1:5">
      <c r="A339" s="157" t="s">
        <v>5044</v>
      </c>
      <c r="B339" s="158" t="s">
        <v>5045</v>
      </c>
      <c r="C339" s="158"/>
      <c r="D339" s="157" t="s">
        <v>4576</v>
      </c>
      <c r="E339" s="159" t="s">
        <v>4547</v>
      </c>
    </row>
    <row r="340" spans="1:5">
      <c r="A340" s="157" t="s">
        <v>5046</v>
      </c>
      <c r="B340" s="158" t="s">
        <v>4870</v>
      </c>
      <c r="C340" s="158"/>
      <c r="D340" s="157" t="s">
        <v>4604</v>
      </c>
      <c r="E340" s="159" t="s">
        <v>4547</v>
      </c>
    </row>
    <row r="341" spans="1:5">
      <c r="A341" s="157" t="s">
        <v>5047</v>
      </c>
      <c r="B341" s="158" t="s">
        <v>4951</v>
      </c>
      <c r="C341" s="158"/>
      <c r="D341" s="157" t="s">
        <v>4576</v>
      </c>
      <c r="E341" s="159" t="s">
        <v>4547</v>
      </c>
    </row>
    <row r="342" spans="1:5">
      <c r="A342" s="157" t="s">
        <v>5047</v>
      </c>
      <c r="B342" s="158" t="s">
        <v>4951</v>
      </c>
      <c r="C342" s="158"/>
      <c r="D342" s="157" t="s">
        <v>4615</v>
      </c>
      <c r="E342" s="159"/>
    </row>
    <row r="343" spans="1:5">
      <c r="A343" s="157" t="s">
        <v>5048</v>
      </c>
      <c r="B343" s="158" t="s">
        <v>4819</v>
      </c>
      <c r="C343" s="158"/>
      <c r="D343" s="157" t="s">
        <v>4604</v>
      </c>
      <c r="E343" s="159" t="s">
        <v>4547</v>
      </c>
    </row>
    <row r="344" spans="1:5">
      <c r="A344" s="157" t="s">
        <v>5049</v>
      </c>
      <c r="B344" s="158" t="s">
        <v>4870</v>
      </c>
      <c r="C344" s="158"/>
      <c r="D344" s="157" t="s">
        <v>4604</v>
      </c>
      <c r="E344" s="159" t="s">
        <v>4547</v>
      </c>
    </row>
    <row r="345" spans="1:5">
      <c r="A345" s="157" t="s">
        <v>5050</v>
      </c>
      <c r="B345" s="158" t="s">
        <v>5005</v>
      </c>
      <c r="C345" s="158"/>
      <c r="D345" s="157" t="s">
        <v>4604</v>
      </c>
      <c r="E345" s="159" t="s">
        <v>4547</v>
      </c>
    </row>
    <row r="346" spans="1:5">
      <c r="A346" s="157" t="s">
        <v>5051</v>
      </c>
      <c r="B346" s="158" t="s">
        <v>5039</v>
      </c>
      <c r="C346" s="158"/>
      <c r="D346" s="157" t="s">
        <v>4604</v>
      </c>
      <c r="E346" s="159" t="s">
        <v>4547</v>
      </c>
    </row>
    <row r="347" spans="1:5">
      <c r="A347" s="157" t="s">
        <v>5052</v>
      </c>
      <c r="B347" s="158" t="s">
        <v>5053</v>
      </c>
      <c r="C347" s="158"/>
      <c r="D347" s="157" t="s">
        <v>4576</v>
      </c>
      <c r="E347" s="159" t="s">
        <v>4547</v>
      </c>
    </row>
    <row r="348" spans="1:5">
      <c r="A348" s="157" t="s">
        <v>5054</v>
      </c>
      <c r="B348" s="158" t="s">
        <v>4870</v>
      </c>
      <c r="C348" s="158"/>
      <c r="D348" s="157" t="s">
        <v>4576</v>
      </c>
      <c r="E348" s="159" t="s">
        <v>4547</v>
      </c>
    </row>
    <row r="349" spans="1:5">
      <c r="A349" s="157" t="s">
        <v>5055</v>
      </c>
      <c r="B349" s="158" t="s">
        <v>5056</v>
      </c>
      <c r="C349" s="158"/>
      <c r="D349" s="157" t="s">
        <v>4615</v>
      </c>
      <c r="E349" s="159"/>
    </row>
    <row r="350" spans="1:5">
      <c r="A350" s="157" t="s">
        <v>5055</v>
      </c>
      <c r="B350" s="158" t="s">
        <v>4646</v>
      </c>
      <c r="C350" s="158"/>
      <c r="D350" s="157" t="s">
        <v>4576</v>
      </c>
      <c r="E350" s="159" t="s">
        <v>4547</v>
      </c>
    </row>
    <row r="351" spans="1:5">
      <c r="A351" s="157" t="s">
        <v>5057</v>
      </c>
      <c r="B351" s="158" t="s">
        <v>4946</v>
      </c>
      <c r="C351" s="158"/>
      <c r="D351" s="157" t="s">
        <v>4576</v>
      </c>
      <c r="E351" s="159" t="s">
        <v>4547</v>
      </c>
    </row>
    <row r="352" spans="1:5">
      <c r="A352" s="157" t="s">
        <v>5058</v>
      </c>
      <c r="B352" s="158" t="s">
        <v>5059</v>
      </c>
      <c r="C352" s="158"/>
      <c r="D352" s="157" t="s">
        <v>4576</v>
      </c>
      <c r="E352" s="159" t="s">
        <v>4547</v>
      </c>
    </row>
    <row r="353" spans="1:5">
      <c r="A353" s="157" t="s">
        <v>5060</v>
      </c>
      <c r="B353" s="158" t="s">
        <v>4982</v>
      </c>
      <c r="C353" s="158"/>
      <c r="D353" s="157" t="s">
        <v>4576</v>
      </c>
      <c r="E353" s="159" t="s">
        <v>4547</v>
      </c>
    </row>
    <row r="354" spans="1:5">
      <c r="A354" s="157" t="s">
        <v>5061</v>
      </c>
      <c r="B354" s="158" t="s">
        <v>5062</v>
      </c>
      <c r="C354" s="158"/>
      <c r="D354" s="157" t="s">
        <v>4576</v>
      </c>
      <c r="E354" s="159" t="s">
        <v>4547</v>
      </c>
    </row>
    <row r="355" spans="1:5">
      <c r="A355" s="157" t="s">
        <v>5063</v>
      </c>
      <c r="B355" s="158" t="s">
        <v>5000</v>
      </c>
      <c r="C355" s="158"/>
      <c r="D355" s="157" t="s">
        <v>4630</v>
      </c>
      <c r="E355" s="159"/>
    </row>
    <row r="356" spans="1:5">
      <c r="A356" s="157" t="s">
        <v>5064</v>
      </c>
      <c r="B356" s="158" t="s">
        <v>5065</v>
      </c>
      <c r="C356" s="158"/>
      <c r="D356" s="157" t="s">
        <v>4630</v>
      </c>
      <c r="E356" s="159"/>
    </row>
    <row r="357" spans="1:5">
      <c r="A357" s="157" t="s">
        <v>5066</v>
      </c>
      <c r="B357" s="158" t="s">
        <v>5045</v>
      </c>
      <c r="C357" s="158"/>
      <c r="D357" s="157" t="s">
        <v>4604</v>
      </c>
      <c r="E357" s="159" t="s">
        <v>4547</v>
      </c>
    </row>
    <row r="358" spans="1:5">
      <c r="A358" s="157" t="s">
        <v>5067</v>
      </c>
      <c r="B358" s="158" t="s">
        <v>5068</v>
      </c>
      <c r="C358" s="158"/>
      <c r="D358" s="157" t="s">
        <v>4604</v>
      </c>
      <c r="E358" s="159" t="s">
        <v>4547</v>
      </c>
    </row>
    <row r="359" spans="1:5">
      <c r="A359" s="157" t="s">
        <v>5069</v>
      </c>
      <c r="B359" s="158" t="s">
        <v>5070</v>
      </c>
      <c r="C359" s="158"/>
      <c r="D359" s="157" t="s">
        <v>4604</v>
      </c>
      <c r="E359" s="159" t="s">
        <v>4547</v>
      </c>
    </row>
    <row r="360" spans="1:5">
      <c r="A360" s="157" t="s">
        <v>5071</v>
      </c>
      <c r="B360" s="158" t="s">
        <v>4874</v>
      </c>
      <c r="C360" s="158"/>
      <c r="D360" s="157" t="s">
        <v>4604</v>
      </c>
      <c r="E360" s="159" t="s">
        <v>4547</v>
      </c>
    </row>
    <row r="361" spans="1:5">
      <c r="A361" s="157" t="s">
        <v>5072</v>
      </c>
      <c r="B361" s="158" t="s">
        <v>5073</v>
      </c>
      <c r="C361" s="158"/>
      <c r="D361" s="157" t="s">
        <v>4604</v>
      </c>
      <c r="E361" s="159" t="s">
        <v>4547</v>
      </c>
    </row>
    <row r="362" spans="1:5">
      <c r="A362" s="157" t="s">
        <v>5074</v>
      </c>
      <c r="B362" s="158" t="s">
        <v>4545</v>
      </c>
      <c r="C362" s="158"/>
      <c r="D362" s="157" t="s">
        <v>4604</v>
      </c>
      <c r="E362" s="159" t="s">
        <v>4547</v>
      </c>
    </row>
    <row r="363" spans="1:5">
      <c r="A363" s="157" t="s">
        <v>5075</v>
      </c>
      <c r="B363" s="158" t="s">
        <v>4944</v>
      </c>
      <c r="C363" s="158"/>
      <c r="D363" s="157" t="s">
        <v>4576</v>
      </c>
      <c r="E363" s="159" t="s">
        <v>4547</v>
      </c>
    </row>
    <row r="364" spans="1:5">
      <c r="A364" s="157" t="s">
        <v>5076</v>
      </c>
      <c r="B364" s="158" t="s">
        <v>5068</v>
      </c>
      <c r="C364" s="158"/>
      <c r="D364" s="157" t="s">
        <v>4604</v>
      </c>
      <c r="E364" s="159" t="s">
        <v>4547</v>
      </c>
    </row>
    <row r="365" spans="1:5">
      <c r="A365" s="157" t="s">
        <v>5077</v>
      </c>
      <c r="B365" s="158" t="s">
        <v>5078</v>
      </c>
      <c r="C365" s="158"/>
      <c r="D365" s="157" t="s">
        <v>4604</v>
      </c>
      <c r="E365" s="159" t="s">
        <v>4547</v>
      </c>
    </row>
    <row r="366" spans="1:5">
      <c r="A366" s="157" t="s">
        <v>5079</v>
      </c>
      <c r="B366" s="158" t="s">
        <v>4972</v>
      </c>
      <c r="C366" s="158"/>
      <c r="D366" s="157" t="s">
        <v>4576</v>
      </c>
      <c r="E366" s="159" t="s">
        <v>4547</v>
      </c>
    </row>
    <row r="367" spans="1:5">
      <c r="A367" s="157" t="s">
        <v>5080</v>
      </c>
      <c r="B367" s="158" t="s">
        <v>5081</v>
      </c>
      <c r="C367" s="158"/>
      <c r="D367" s="157" t="s">
        <v>4615</v>
      </c>
      <c r="E367" s="159"/>
    </row>
    <row r="368" spans="1:5">
      <c r="A368" s="157" t="s">
        <v>5082</v>
      </c>
      <c r="B368" s="158" t="s">
        <v>4984</v>
      </c>
      <c r="C368" s="158"/>
      <c r="D368" s="157" t="s">
        <v>4576</v>
      </c>
      <c r="E368" s="159" t="s">
        <v>4547</v>
      </c>
    </row>
    <row r="369" spans="1:5">
      <c r="A369" s="157" t="s">
        <v>5083</v>
      </c>
      <c r="B369" s="158" t="s">
        <v>5037</v>
      </c>
      <c r="C369" s="158"/>
      <c r="D369" s="157" t="s">
        <v>4604</v>
      </c>
      <c r="E369" s="159" t="s">
        <v>4547</v>
      </c>
    </row>
    <row r="370" spans="1:5">
      <c r="A370" s="157" t="s">
        <v>5084</v>
      </c>
      <c r="B370" s="158" t="s">
        <v>4847</v>
      </c>
      <c r="C370" s="158"/>
      <c r="D370" s="157" t="s">
        <v>4615</v>
      </c>
      <c r="E370" s="159"/>
    </row>
    <row r="371" spans="1:5">
      <c r="A371" s="157" t="s">
        <v>5085</v>
      </c>
      <c r="B371" s="158" t="s">
        <v>5068</v>
      </c>
      <c r="C371" s="158"/>
      <c r="D371" s="157" t="s">
        <v>4630</v>
      </c>
      <c r="E371" s="159"/>
    </row>
    <row r="372" spans="1:5">
      <c r="A372" s="157" t="s">
        <v>5086</v>
      </c>
      <c r="B372" s="158" t="s">
        <v>5020</v>
      </c>
      <c r="C372" s="158"/>
      <c r="D372" s="157" t="s">
        <v>4630</v>
      </c>
      <c r="E372" s="159"/>
    </row>
    <row r="373" spans="1:5">
      <c r="A373" s="157" t="s">
        <v>5087</v>
      </c>
      <c r="B373" s="158" t="s">
        <v>4944</v>
      </c>
      <c r="C373" s="158"/>
      <c r="D373" s="157" t="s">
        <v>4615</v>
      </c>
      <c r="E373" s="159"/>
    </row>
    <row r="374" spans="1:5">
      <c r="A374" s="157" t="s">
        <v>5088</v>
      </c>
      <c r="B374" s="158" t="s">
        <v>5089</v>
      </c>
      <c r="C374" s="158"/>
      <c r="D374" s="157" t="s">
        <v>4576</v>
      </c>
      <c r="E374" s="159" t="s">
        <v>4547</v>
      </c>
    </row>
    <row r="375" spans="1:5">
      <c r="A375" s="157" t="s">
        <v>5090</v>
      </c>
      <c r="B375" s="158" t="s">
        <v>4940</v>
      </c>
      <c r="C375" s="158"/>
      <c r="D375" s="157" t="s">
        <v>4576</v>
      </c>
      <c r="E375" s="159" t="s">
        <v>4547</v>
      </c>
    </row>
    <row r="376" spans="1:5">
      <c r="A376" s="157" t="s">
        <v>5091</v>
      </c>
      <c r="B376" s="158" t="s">
        <v>4876</v>
      </c>
      <c r="C376" s="158"/>
      <c r="D376" s="157" t="s">
        <v>4576</v>
      </c>
      <c r="E376" s="159" t="s">
        <v>4547</v>
      </c>
    </row>
    <row r="377" spans="1:5">
      <c r="A377" s="157" t="s">
        <v>5092</v>
      </c>
      <c r="B377" s="158" t="s">
        <v>4940</v>
      </c>
      <c r="C377" s="158"/>
      <c r="D377" s="157" t="s">
        <v>4576</v>
      </c>
      <c r="E377" s="159" t="s">
        <v>4547</v>
      </c>
    </row>
    <row r="378" spans="1:5">
      <c r="A378" s="157" t="s">
        <v>5093</v>
      </c>
      <c r="B378" s="158" t="s">
        <v>4874</v>
      </c>
      <c r="C378" s="158"/>
      <c r="D378" s="157" t="s">
        <v>4576</v>
      </c>
      <c r="E378" s="159" t="s">
        <v>4547</v>
      </c>
    </row>
    <row r="379" spans="1:5">
      <c r="A379" s="157" t="s">
        <v>5094</v>
      </c>
      <c r="B379" s="158" t="s">
        <v>5095</v>
      </c>
      <c r="C379" s="158"/>
      <c r="D379" s="157" t="s">
        <v>4576</v>
      </c>
      <c r="E379" s="159" t="s">
        <v>4547</v>
      </c>
    </row>
    <row r="380" spans="1:5">
      <c r="A380" s="157" t="s">
        <v>5096</v>
      </c>
      <c r="B380" s="158" t="s">
        <v>5097</v>
      </c>
      <c r="C380" s="158"/>
      <c r="D380" s="157" t="s">
        <v>4630</v>
      </c>
      <c r="E380" s="159"/>
    </row>
    <row r="381" spans="1:5">
      <c r="A381" s="157" t="s">
        <v>5098</v>
      </c>
      <c r="B381" s="158" t="s">
        <v>4874</v>
      </c>
      <c r="C381" s="158"/>
      <c r="D381" s="157" t="s">
        <v>4604</v>
      </c>
      <c r="E381" s="159" t="s">
        <v>4547</v>
      </c>
    </row>
    <row r="382" spans="1:5">
      <c r="A382" s="157" t="s">
        <v>5099</v>
      </c>
      <c r="B382" s="158" t="s">
        <v>4874</v>
      </c>
      <c r="C382" s="158"/>
      <c r="D382" s="157" t="s">
        <v>4604</v>
      </c>
      <c r="E382" s="159" t="s">
        <v>4547</v>
      </c>
    </row>
    <row r="383" spans="1:5">
      <c r="A383" s="157" t="s">
        <v>5100</v>
      </c>
      <c r="B383" s="158" t="s">
        <v>5101</v>
      </c>
      <c r="C383" s="158"/>
      <c r="D383" s="157" t="s">
        <v>4576</v>
      </c>
      <c r="E383" s="159" t="s">
        <v>4547</v>
      </c>
    </row>
    <row r="384" spans="1:5">
      <c r="A384" s="157" t="s">
        <v>5102</v>
      </c>
      <c r="B384" s="158" t="s">
        <v>4930</v>
      </c>
      <c r="C384" s="158"/>
      <c r="D384" s="157" t="s">
        <v>4576</v>
      </c>
      <c r="E384" s="159" t="s">
        <v>4547</v>
      </c>
    </row>
    <row r="385" spans="1:5">
      <c r="A385" s="157" t="s">
        <v>5103</v>
      </c>
      <c r="B385" s="158" t="s">
        <v>4951</v>
      </c>
      <c r="C385" s="158"/>
      <c r="D385" s="157" t="s">
        <v>4576</v>
      </c>
      <c r="E385" s="159" t="s">
        <v>4547</v>
      </c>
    </row>
    <row r="386" spans="1:5">
      <c r="A386" s="157" t="s">
        <v>5104</v>
      </c>
      <c r="B386" s="158" t="s">
        <v>5105</v>
      </c>
      <c r="C386" s="158"/>
      <c r="D386" s="157" t="s">
        <v>4615</v>
      </c>
      <c r="E386" s="159"/>
    </row>
    <row r="387" spans="1:5">
      <c r="A387" s="157" t="s">
        <v>5106</v>
      </c>
      <c r="B387" s="158" t="s">
        <v>5107</v>
      </c>
      <c r="C387" s="158"/>
      <c r="D387" s="157" t="s">
        <v>4576</v>
      </c>
      <c r="E387" s="159" t="s">
        <v>4547</v>
      </c>
    </row>
    <row r="388" spans="1:5">
      <c r="A388" s="157" t="s">
        <v>5108</v>
      </c>
      <c r="B388" s="158" t="s">
        <v>4819</v>
      </c>
      <c r="C388" s="158"/>
      <c r="D388" s="157" t="s">
        <v>4576</v>
      </c>
      <c r="E388" s="159" t="s">
        <v>4547</v>
      </c>
    </row>
    <row r="389" spans="1:5">
      <c r="A389" s="157" t="s">
        <v>5109</v>
      </c>
      <c r="B389" s="158" t="s">
        <v>4946</v>
      </c>
      <c r="C389" s="158"/>
      <c r="D389" s="157" t="s">
        <v>4576</v>
      </c>
      <c r="E389" s="159" t="s">
        <v>4547</v>
      </c>
    </row>
    <row r="390" spans="1:5">
      <c r="A390" s="157" t="s">
        <v>5110</v>
      </c>
      <c r="B390" s="158" t="s">
        <v>4639</v>
      </c>
      <c r="C390" s="158"/>
      <c r="D390" s="157" t="s">
        <v>4576</v>
      </c>
      <c r="E390" s="159" t="s">
        <v>4547</v>
      </c>
    </row>
    <row r="391" spans="1:5">
      <c r="A391" s="157" t="s">
        <v>5110</v>
      </c>
      <c r="B391" s="158" t="s">
        <v>4847</v>
      </c>
      <c r="C391" s="158"/>
      <c r="D391" s="157" t="s">
        <v>4604</v>
      </c>
      <c r="E391" s="159" t="s">
        <v>4547</v>
      </c>
    </row>
    <row r="392" spans="1:5">
      <c r="A392" s="157" t="s">
        <v>5110</v>
      </c>
      <c r="B392" s="158" t="s">
        <v>4940</v>
      </c>
      <c r="C392" s="158"/>
      <c r="D392" s="157" t="s">
        <v>4576</v>
      </c>
      <c r="E392" s="159" t="s">
        <v>4547</v>
      </c>
    </row>
    <row r="393" spans="1:5">
      <c r="A393" s="157" t="s">
        <v>5110</v>
      </c>
      <c r="B393" s="158" t="s">
        <v>5111</v>
      </c>
      <c r="C393" s="158"/>
      <c r="D393" s="157" t="s">
        <v>4569</v>
      </c>
      <c r="E393" s="159"/>
    </row>
    <row r="394" spans="1:5">
      <c r="A394" s="157" t="s">
        <v>5112</v>
      </c>
      <c r="B394" s="158" t="s">
        <v>4959</v>
      </c>
      <c r="C394" s="158"/>
      <c r="D394" s="157" t="s">
        <v>4576</v>
      </c>
      <c r="E394" s="159" t="s">
        <v>4547</v>
      </c>
    </row>
    <row r="395" spans="1:5">
      <c r="A395" s="157" t="s">
        <v>5113</v>
      </c>
      <c r="B395" s="158" t="s">
        <v>4940</v>
      </c>
      <c r="C395" s="158"/>
      <c r="D395" s="157" t="s">
        <v>4630</v>
      </c>
      <c r="E395" s="159"/>
    </row>
    <row r="396" spans="1:5">
      <c r="A396" s="157" t="s">
        <v>5114</v>
      </c>
      <c r="B396" s="158" t="s">
        <v>5000</v>
      </c>
      <c r="C396" s="158"/>
      <c r="D396" s="157" t="s">
        <v>4630</v>
      </c>
      <c r="E396" s="159"/>
    </row>
    <row r="397" spans="1:5">
      <c r="A397" s="157" t="s">
        <v>5115</v>
      </c>
      <c r="B397" s="158" t="s">
        <v>5116</v>
      </c>
      <c r="C397" s="158"/>
      <c r="D397" s="157" t="s">
        <v>4576</v>
      </c>
      <c r="E397" s="159" t="s">
        <v>4547</v>
      </c>
    </row>
    <row r="398" spans="1:5">
      <c r="A398" s="157" t="s">
        <v>5117</v>
      </c>
      <c r="B398" s="158" t="s">
        <v>4930</v>
      </c>
      <c r="C398" s="158"/>
      <c r="D398" s="157" t="s">
        <v>4576</v>
      </c>
      <c r="E398" s="159" t="s">
        <v>4547</v>
      </c>
    </row>
    <row r="399" spans="1:5">
      <c r="A399" s="157" t="s">
        <v>5118</v>
      </c>
      <c r="B399" s="158" t="s">
        <v>4988</v>
      </c>
      <c r="C399" s="158"/>
      <c r="D399" s="157" t="s">
        <v>4576</v>
      </c>
      <c r="E399" s="159" t="s">
        <v>4547</v>
      </c>
    </row>
    <row r="400" spans="1:5">
      <c r="A400" s="157" t="s">
        <v>5119</v>
      </c>
      <c r="B400" s="158" t="s">
        <v>4874</v>
      </c>
      <c r="C400" s="158"/>
      <c r="D400" s="157" t="s">
        <v>4576</v>
      </c>
      <c r="E400" s="159" t="s">
        <v>4547</v>
      </c>
    </row>
    <row r="401" spans="1:5">
      <c r="A401" s="157" t="s">
        <v>5120</v>
      </c>
      <c r="B401" s="158" t="s">
        <v>5121</v>
      </c>
      <c r="C401" s="158"/>
      <c r="D401" s="157" t="s">
        <v>4576</v>
      </c>
      <c r="E401" s="159" t="s">
        <v>4547</v>
      </c>
    </row>
    <row r="402" spans="1:5">
      <c r="A402" s="157" t="s">
        <v>5122</v>
      </c>
      <c r="B402" s="158" t="s">
        <v>4819</v>
      </c>
      <c r="C402" s="158"/>
      <c r="D402" s="157" t="s">
        <v>4576</v>
      </c>
      <c r="E402" s="159" t="s">
        <v>4547</v>
      </c>
    </row>
    <row r="403" spans="1:5">
      <c r="A403" s="153" t="s">
        <v>5123</v>
      </c>
      <c r="B403" s="154"/>
      <c r="C403" s="154"/>
      <c r="D403" s="155"/>
      <c r="E403" s="156"/>
    </row>
    <row r="404" spans="1:5">
      <c r="A404" s="157" t="s">
        <v>5124</v>
      </c>
      <c r="B404" s="158" t="s">
        <v>4874</v>
      </c>
      <c r="C404" s="158"/>
      <c r="D404" s="157" t="s">
        <v>4604</v>
      </c>
      <c r="E404" s="159" t="s">
        <v>4547</v>
      </c>
    </row>
    <row r="405" spans="1:5">
      <c r="A405" s="157" t="s">
        <v>5125</v>
      </c>
      <c r="B405" s="158" t="s">
        <v>5126</v>
      </c>
      <c r="C405" s="158"/>
      <c r="D405" s="157" t="s">
        <v>4604</v>
      </c>
      <c r="E405" s="159" t="s">
        <v>4547</v>
      </c>
    </row>
    <row r="406" spans="1:5">
      <c r="A406" s="157" t="s">
        <v>5127</v>
      </c>
      <c r="B406" s="158" t="s">
        <v>5000</v>
      </c>
      <c r="C406" s="158"/>
      <c r="D406" s="157" t="s">
        <v>4604</v>
      </c>
      <c r="E406" s="159" t="s">
        <v>4547</v>
      </c>
    </row>
    <row r="407" spans="1:5">
      <c r="A407" s="157" t="s">
        <v>5128</v>
      </c>
      <c r="B407" s="158" t="s">
        <v>5035</v>
      </c>
      <c r="C407" s="158"/>
      <c r="D407" s="157" t="s">
        <v>4604</v>
      </c>
      <c r="E407" s="159" t="s">
        <v>4547</v>
      </c>
    </row>
    <row r="408" spans="1:5">
      <c r="A408" s="157" t="s">
        <v>5129</v>
      </c>
      <c r="B408" s="158" t="s">
        <v>5035</v>
      </c>
      <c r="C408" s="158"/>
      <c r="D408" s="157" t="s">
        <v>4604</v>
      </c>
      <c r="E408" s="159" t="s">
        <v>4547</v>
      </c>
    </row>
    <row r="409" spans="1:5">
      <c r="A409" s="157" t="s">
        <v>5130</v>
      </c>
      <c r="B409" s="158" t="s">
        <v>5045</v>
      </c>
      <c r="C409" s="158"/>
      <c r="D409" s="157" t="s">
        <v>4604</v>
      </c>
      <c r="E409" s="159" t="s">
        <v>4547</v>
      </c>
    </row>
    <row r="410" spans="1:5">
      <c r="A410" s="157" t="s">
        <v>5131</v>
      </c>
      <c r="B410" s="158" t="s">
        <v>5045</v>
      </c>
      <c r="C410" s="158"/>
      <c r="D410" s="157" t="s">
        <v>4604</v>
      </c>
      <c r="E410" s="159" t="s">
        <v>4547</v>
      </c>
    </row>
    <row r="411" spans="1:5">
      <c r="A411" s="157" t="s">
        <v>5132</v>
      </c>
      <c r="B411" s="158" t="s">
        <v>4822</v>
      </c>
      <c r="C411" s="158"/>
      <c r="D411" s="157" t="s">
        <v>4576</v>
      </c>
      <c r="E411" s="159" t="s">
        <v>4547</v>
      </c>
    </row>
    <row r="412" spans="1:5">
      <c r="A412" s="157" t="s">
        <v>5133</v>
      </c>
      <c r="B412" s="158" t="s">
        <v>5105</v>
      </c>
      <c r="C412" s="158"/>
      <c r="D412" s="157" t="s">
        <v>4576</v>
      </c>
      <c r="E412" s="159" t="s">
        <v>4547</v>
      </c>
    </row>
    <row r="413" spans="1:5">
      <c r="A413" s="157" t="s">
        <v>5134</v>
      </c>
      <c r="B413" s="158" t="s">
        <v>5135</v>
      </c>
      <c r="C413" s="158"/>
      <c r="D413" s="157" t="s">
        <v>4604</v>
      </c>
      <c r="E413" s="159" t="s">
        <v>4547</v>
      </c>
    </row>
    <row r="414" spans="1:5">
      <c r="A414" s="157" t="s">
        <v>5136</v>
      </c>
      <c r="B414" s="158" t="s">
        <v>5137</v>
      </c>
      <c r="C414" s="158"/>
      <c r="D414" s="157" t="s">
        <v>4604</v>
      </c>
      <c r="E414" s="159" t="s">
        <v>4547</v>
      </c>
    </row>
    <row r="415" spans="1:5">
      <c r="A415" s="157" t="s">
        <v>5138</v>
      </c>
      <c r="B415" s="158" t="s">
        <v>5139</v>
      </c>
      <c r="C415" s="158"/>
      <c r="D415" s="157" t="s">
        <v>4604</v>
      </c>
      <c r="E415" s="159" t="s">
        <v>4547</v>
      </c>
    </row>
    <row r="416" spans="1:5">
      <c r="A416" s="157" t="s">
        <v>5140</v>
      </c>
      <c r="B416" s="158" t="s">
        <v>4959</v>
      </c>
      <c r="C416" s="158"/>
      <c r="D416" s="157" t="s">
        <v>4604</v>
      </c>
      <c r="E416" s="159" t="s">
        <v>4547</v>
      </c>
    </row>
    <row r="417" spans="1:5">
      <c r="A417" s="153" t="s">
        <v>5141</v>
      </c>
      <c r="B417" s="162"/>
      <c r="C417" s="162"/>
      <c r="D417" s="153"/>
      <c r="E417" s="163"/>
    </row>
    <row r="418" spans="1:5">
      <c r="A418" s="157" t="s">
        <v>5142</v>
      </c>
      <c r="B418" s="158" t="s">
        <v>5059</v>
      </c>
      <c r="C418" s="158"/>
      <c r="D418" s="157" t="s">
        <v>4576</v>
      </c>
      <c r="E418" s="159" t="s">
        <v>4547</v>
      </c>
    </row>
    <row r="419" spans="1:5">
      <c r="A419" s="157" t="s">
        <v>5143</v>
      </c>
      <c r="B419" s="158" t="s">
        <v>2016</v>
      </c>
      <c r="C419" s="158"/>
      <c r="D419" s="157" t="s">
        <v>4576</v>
      </c>
      <c r="E419" s="159" t="s">
        <v>4547</v>
      </c>
    </row>
    <row r="420" spans="1:5">
      <c r="A420" s="157" t="s">
        <v>5144</v>
      </c>
      <c r="B420" s="158" t="s">
        <v>4870</v>
      </c>
      <c r="C420" s="158"/>
      <c r="D420" s="157" t="s">
        <v>4576</v>
      </c>
      <c r="E420" s="159" t="s">
        <v>4547</v>
      </c>
    </row>
    <row r="421" spans="1:5">
      <c r="A421" s="157" t="s">
        <v>5145</v>
      </c>
      <c r="B421" s="158" t="s">
        <v>4930</v>
      </c>
      <c r="C421" s="158"/>
      <c r="D421" s="157" t="s">
        <v>4576</v>
      </c>
      <c r="E421" s="159" t="s">
        <v>4547</v>
      </c>
    </row>
    <row r="422" spans="1:5">
      <c r="A422" s="157" t="s">
        <v>5146</v>
      </c>
      <c r="B422" s="158" t="s">
        <v>5035</v>
      </c>
      <c r="C422" s="158"/>
      <c r="D422" s="157" t="s">
        <v>4562</v>
      </c>
      <c r="E422" s="159"/>
    </row>
    <row r="423" spans="1:5">
      <c r="A423" s="157" t="s">
        <v>5147</v>
      </c>
      <c r="B423" s="158" t="s">
        <v>5053</v>
      </c>
      <c r="C423" s="158"/>
      <c r="D423" s="157" t="s">
        <v>4576</v>
      </c>
      <c r="E423" s="159" t="s">
        <v>4547</v>
      </c>
    </row>
    <row r="424" spans="1:5">
      <c r="A424" s="157" t="s">
        <v>5148</v>
      </c>
      <c r="B424" s="158" t="s">
        <v>5116</v>
      </c>
      <c r="C424" s="158"/>
      <c r="D424" s="157" t="s">
        <v>4576</v>
      </c>
      <c r="E424" s="159" t="s">
        <v>4547</v>
      </c>
    </row>
    <row r="425" spans="1:5">
      <c r="A425" s="157" t="s">
        <v>5149</v>
      </c>
      <c r="B425" s="158" t="s">
        <v>5150</v>
      </c>
      <c r="C425" s="158"/>
      <c r="D425" s="157" t="s">
        <v>4576</v>
      </c>
      <c r="E425" s="159" t="s">
        <v>4547</v>
      </c>
    </row>
    <row r="426" spans="1:5">
      <c r="A426" s="157" t="s">
        <v>5151</v>
      </c>
      <c r="B426" s="158" t="s">
        <v>4938</v>
      </c>
      <c r="C426" s="158"/>
      <c r="D426" s="157" t="s">
        <v>4630</v>
      </c>
      <c r="E426" s="159"/>
    </row>
    <row r="427" spans="1:5">
      <c r="A427" s="157" t="s">
        <v>5152</v>
      </c>
      <c r="B427" s="158" t="s">
        <v>5153</v>
      </c>
      <c r="C427" s="158"/>
      <c r="D427" s="157" t="s">
        <v>4630</v>
      </c>
      <c r="E427" s="159"/>
    </row>
    <row r="428" spans="1:5">
      <c r="A428" s="157" t="s">
        <v>5154</v>
      </c>
      <c r="B428" s="158" t="s">
        <v>5105</v>
      </c>
      <c r="C428" s="158"/>
      <c r="D428" s="157" t="s">
        <v>4576</v>
      </c>
      <c r="E428" s="159" t="s">
        <v>4547</v>
      </c>
    </row>
    <row r="429" spans="1:5">
      <c r="A429" s="157" t="s">
        <v>5155</v>
      </c>
      <c r="B429" s="158" t="s">
        <v>4879</v>
      </c>
      <c r="C429" s="158"/>
      <c r="D429" s="157" t="s">
        <v>4576</v>
      </c>
      <c r="E429" s="159" t="s">
        <v>4547</v>
      </c>
    </row>
    <row r="430" spans="1:5">
      <c r="A430" s="153" t="s">
        <v>5156</v>
      </c>
      <c r="B430" s="154"/>
      <c r="C430" s="154"/>
      <c r="D430" s="155"/>
      <c r="E430" s="156"/>
    </row>
    <row r="431" spans="1:5">
      <c r="A431" s="157" t="s">
        <v>5157</v>
      </c>
      <c r="B431" s="158" t="s">
        <v>4988</v>
      </c>
      <c r="C431" s="158"/>
      <c r="D431" s="157" t="s">
        <v>4576</v>
      </c>
      <c r="E431" s="159" t="s">
        <v>4547</v>
      </c>
    </row>
    <row r="432" spans="1:5">
      <c r="A432" s="157" t="s">
        <v>5158</v>
      </c>
      <c r="B432" s="158" t="s">
        <v>4938</v>
      </c>
      <c r="C432" s="158"/>
      <c r="D432" s="157" t="s">
        <v>4604</v>
      </c>
      <c r="E432" s="159" t="s">
        <v>4547</v>
      </c>
    </row>
    <row r="433" spans="1:5">
      <c r="A433" s="157" t="s">
        <v>5159</v>
      </c>
      <c r="B433" s="158" t="s">
        <v>4819</v>
      </c>
      <c r="C433" s="158"/>
      <c r="D433" s="157" t="s">
        <v>4604</v>
      </c>
      <c r="E433" s="159" t="s">
        <v>4547</v>
      </c>
    </row>
    <row r="434" spans="1:5">
      <c r="A434" s="153" t="s">
        <v>5160</v>
      </c>
      <c r="B434" s="162"/>
      <c r="C434" s="162"/>
      <c r="D434" s="153"/>
      <c r="E434" s="163"/>
    </row>
    <row r="435" spans="1:5">
      <c r="A435" s="157" t="s">
        <v>5161</v>
      </c>
      <c r="B435" s="158" t="s">
        <v>4642</v>
      </c>
      <c r="C435" s="169"/>
      <c r="D435" s="157" t="s">
        <v>4576</v>
      </c>
      <c r="E435" s="159" t="s">
        <v>4547</v>
      </c>
    </row>
    <row r="436" spans="1:5">
      <c r="A436" s="157" t="s">
        <v>5162</v>
      </c>
      <c r="B436" s="158" t="s">
        <v>5163</v>
      </c>
      <c r="C436" s="169"/>
      <c r="D436" s="157" t="s">
        <v>4576</v>
      </c>
      <c r="E436" s="159" t="s">
        <v>4547</v>
      </c>
    </row>
    <row r="437" spans="1:5">
      <c r="A437" s="157" t="s">
        <v>5164</v>
      </c>
      <c r="B437" s="158" t="s">
        <v>5165</v>
      </c>
      <c r="C437" s="169"/>
      <c r="D437" s="157" t="s">
        <v>4576</v>
      </c>
      <c r="E437" s="159" t="s">
        <v>4547</v>
      </c>
    </row>
    <row r="438" spans="1:5">
      <c r="A438" s="157" t="s">
        <v>5166</v>
      </c>
      <c r="B438" s="158" t="s">
        <v>5167</v>
      </c>
      <c r="C438" s="169"/>
      <c r="D438" s="157" t="s">
        <v>4576</v>
      </c>
      <c r="E438" s="159" t="s">
        <v>4547</v>
      </c>
    </row>
    <row r="439" spans="1:5">
      <c r="A439" s="157" t="s">
        <v>5168</v>
      </c>
      <c r="B439" s="158" t="s">
        <v>5169</v>
      </c>
      <c r="C439" s="169"/>
      <c r="D439" s="157" t="s">
        <v>4576</v>
      </c>
      <c r="E439" s="159" t="s">
        <v>4547</v>
      </c>
    </row>
    <row r="440" spans="1:5">
      <c r="A440" s="157" t="s">
        <v>5170</v>
      </c>
      <c r="B440" s="158" t="s">
        <v>5171</v>
      </c>
      <c r="C440" s="169"/>
      <c r="D440" s="157" t="s">
        <v>4576</v>
      </c>
      <c r="E440" s="159" t="s">
        <v>4547</v>
      </c>
    </row>
    <row r="441" spans="1:5">
      <c r="A441" s="157" t="s">
        <v>5172</v>
      </c>
      <c r="B441" s="158" t="s">
        <v>5173</v>
      </c>
      <c r="C441" s="169"/>
      <c r="D441" s="157" t="s">
        <v>4576</v>
      </c>
      <c r="E441" s="159" t="s">
        <v>4547</v>
      </c>
    </row>
    <row r="442" spans="1:5">
      <c r="A442" s="157" t="s">
        <v>5174</v>
      </c>
      <c r="B442" s="158" t="s">
        <v>4874</v>
      </c>
      <c r="C442" s="158"/>
      <c r="D442" s="157" t="s">
        <v>4604</v>
      </c>
      <c r="E442" s="159" t="s">
        <v>4547</v>
      </c>
    </row>
    <row r="443" spans="1:5">
      <c r="A443" s="157" t="s">
        <v>5175</v>
      </c>
      <c r="B443" s="158" t="s">
        <v>5176</v>
      </c>
      <c r="C443" s="158"/>
      <c r="D443" s="157" t="s">
        <v>4604</v>
      </c>
      <c r="E443" s="159" t="s">
        <v>4547</v>
      </c>
    </row>
    <row r="444" spans="1:5">
      <c r="A444" s="157" t="s">
        <v>5177</v>
      </c>
      <c r="B444" s="158" t="s">
        <v>4948</v>
      </c>
      <c r="C444" s="158"/>
      <c r="D444" s="157" t="s">
        <v>4630</v>
      </c>
      <c r="E444" s="159"/>
    </row>
    <row r="445" spans="1:5">
      <c r="A445" s="157" t="s">
        <v>5178</v>
      </c>
      <c r="B445" s="158" t="s">
        <v>2016</v>
      </c>
      <c r="C445" s="158"/>
      <c r="D445" s="157" t="s">
        <v>4604</v>
      </c>
      <c r="E445" s="159" t="s">
        <v>4547</v>
      </c>
    </row>
    <row r="446" spans="1:5">
      <c r="A446" s="157" t="s">
        <v>5179</v>
      </c>
      <c r="B446" s="158" t="s">
        <v>2016</v>
      </c>
      <c r="C446" s="158"/>
      <c r="D446" s="157" t="s">
        <v>4604</v>
      </c>
      <c r="E446" s="159" t="s">
        <v>4547</v>
      </c>
    </row>
    <row r="447" spans="1:5">
      <c r="A447" s="157" t="s">
        <v>5180</v>
      </c>
      <c r="B447" s="158" t="s">
        <v>5053</v>
      </c>
      <c r="C447" s="158"/>
      <c r="D447" s="157" t="s">
        <v>4604</v>
      </c>
      <c r="E447" s="159" t="s">
        <v>4547</v>
      </c>
    </row>
    <row r="448" spans="1:5">
      <c r="A448" s="157" t="s">
        <v>5181</v>
      </c>
      <c r="B448" s="158" t="s">
        <v>5068</v>
      </c>
      <c r="C448" s="158"/>
      <c r="D448" s="157" t="s">
        <v>4604</v>
      </c>
      <c r="E448" s="159" t="s">
        <v>4547</v>
      </c>
    </row>
    <row r="449" spans="1:5">
      <c r="A449" s="157" t="s">
        <v>5182</v>
      </c>
      <c r="B449" s="158" t="s">
        <v>5183</v>
      </c>
      <c r="C449" s="158"/>
      <c r="D449" s="157" t="s">
        <v>4604</v>
      </c>
      <c r="E449" s="159" t="s">
        <v>4547</v>
      </c>
    </row>
    <row r="450" spans="1:5">
      <c r="A450" s="157" t="s">
        <v>5184</v>
      </c>
      <c r="B450" s="158" t="s">
        <v>5137</v>
      </c>
      <c r="C450" s="158"/>
      <c r="D450" s="157" t="s">
        <v>4604</v>
      </c>
      <c r="E450" s="159" t="s">
        <v>4547</v>
      </c>
    </row>
    <row r="451" spans="1:5">
      <c r="A451" s="157" t="s">
        <v>5185</v>
      </c>
      <c r="B451" s="158" t="s">
        <v>5068</v>
      </c>
      <c r="C451" s="158"/>
      <c r="D451" s="157" t="s">
        <v>4604</v>
      </c>
      <c r="E451" s="159" t="s">
        <v>4547</v>
      </c>
    </row>
    <row r="452" spans="1:5">
      <c r="A452" s="157" t="s">
        <v>5186</v>
      </c>
      <c r="B452" s="158" t="s">
        <v>4870</v>
      </c>
      <c r="C452" s="158"/>
      <c r="D452" s="157" t="s">
        <v>4604</v>
      </c>
      <c r="E452" s="159" t="s">
        <v>4547</v>
      </c>
    </row>
    <row r="453" spans="1:5">
      <c r="A453" s="157" t="s">
        <v>5187</v>
      </c>
      <c r="B453" s="158" t="s">
        <v>5135</v>
      </c>
      <c r="C453" s="158"/>
      <c r="D453" s="157" t="s">
        <v>4630</v>
      </c>
      <c r="E453" s="159"/>
    </row>
    <row r="454" spans="1:5">
      <c r="A454" s="157" t="s">
        <v>5188</v>
      </c>
      <c r="B454" s="158" t="s">
        <v>5169</v>
      </c>
      <c r="C454" s="158"/>
      <c r="D454" s="157" t="s">
        <v>4576</v>
      </c>
      <c r="E454" s="159" t="s">
        <v>4547</v>
      </c>
    </row>
    <row r="455" spans="1:5">
      <c r="A455" s="157" t="s">
        <v>5189</v>
      </c>
      <c r="B455" s="158" t="s">
        <v>4982</v>
      </c>
      <c r="C455" s="158"/>
      <c r="D455" s="157" t="s">
        <v>4576</v>
      </c>
      <c r="E455" s="159" t="s">
        <v>4547</v>
      </c>
    </row>
    <row r="456" spans="1:5">
      <c r="A456" s="157" t="s">
        <v>5190</v>
      </c>
      <c r="B456" s="158" t="s">
        <v>5191</v>
      </c>
      <c r="C456" s="158"/>
      <c r="D456" s="157" t="s">
        <v>4576</v>
      </c>
      <c r="E456" s="159" t="s">
        <v>4547</v>
      </c>
    </row>
    <row r="457" spans="1:5">
      <c r="A457" s="157" t="s">
        <v>5192</v>
      </c>
      <c r="B457" s="158" t="s">
        <v>5081</v>
      </c>
      <c r="C457" s="158"/>
      <c r="D457" s="157" t="s">
        <v>4630</v>
      </c>
      <c r="E457" s="159"/>
    </row>
    <row r="458" spans="1:5">
      <c r="A458" s="157" t="s">
        <v>5193</v>
      </c>
      <c r="B458" s="158" t="s">
        <v>5000</v>
      </c>
      <c r="C458" s="158"/>
      <c r="D458" s="157" t="s">
        <v>4630</v>
      </c>
      <c r="E458" s="159"/>
    </row>
    <row r="459" spans="1:5">
      <c r="A459" s="157" t="s">
        <v>5194</v>
      </c>
      <c r="B459" s="158" t="s">
        <v>5195</v>
      </c>
      <c r="C459" s="158"/>
      <c r="D459" s="157" t="s">
        <v>4630</v>
      </c>
      <c r="E459" s="159"/>
    </row>
    <row r="460" spans="1:5">
      <c r="A460" s="157" t="s">
        <v>5196</v>
      </c>
      <c r="B460" s="158" t="s">
        <v>4762</v>
      </c>
      <c r="C460" s="158"/>
      <c r="D460" s="157" t="s">
        <v>4630</v>
      </c>
      <c r="E460" s="159"/>
    </row>
    <row r="461" spans="1:5">
      <c r="A461" s="157" t="s">
        <v>5197</v>
      </c>
      <c r="B461" s="158" t="s">
        <v>5198</v>
      </c>
      <c r="C461" s="158"/>
      <c r="D461" s="157" t="s">
        <v>4630</v>
      </c>
      <c r="E461" s="159"/>
    </row>
    <row r="462" spans="1:5">
      <c r="A462" s="157" t="s">
        <v>5199</v>
      </c>
      <c r="B462" s="158" t="s">
        <v>4876</v>
      </c>
      <c r="C462" s="158"/>
      <c r="D462" s="157" t="s">
        <v>4630</v>
      </c>
      <c r="E462" s="159"/>
    </row>
    <row r="463" spans="1:5">
      <c r="A463" s="157" t="s">
        <v>5200</v>
      </c>
      <c r="B463" s="158" t="s">
        <v>5065</v>
      </c>
      <c r="C463" s="158"/>
      <c r="D463" s="157" t="s">
        <v>4630</v>
      </c>
      <c r="E463" s="159"/>
    </row>
    <row r="464" spans="1:5">
      <c r="A464" s="153" t="s">
        <v>5201</v>
      </c>
      <c r="B464" s="162"/>
      <c r="C464" s="162"/>
      <c r="D464" s="153"/>
      <c r="E464" s="163"/>
    </row>
    <row r="465" spans="1:5">
      <c r="A465" s="157" t="s">
        <v>5202</v>
      </c>
      <c r="B465" s="158" t="s">
        <v>5203</v>
      </c>
      <c r="C465" s="158"/>
      <c r="D465" s="157" t="s">
        <v>4576</v>
      </c>
      <c r="E465" s="159" t="s">
        <v>4547</v>
      </c>
    </row>
    <row r="466" spans="1:5">
      <c r="A466" s="157" t="s">
        <v>5204</v>
      </c>
      <c r="B466" s="158" t="s">
        <v>4944</v>
      </c>
      <c r="C466" s="158"/>
      <c r="D466" s="157" t="s">
        <v>4576</v>
      </c>
      <c r="E466" s="159" t="s">
        <v>4547</v>
      </c>
    </row>
    <row r="467" spans="1:5">
      <c r="A467" s="157" t="s">
        <v>5205</v>
      </c>
      <c r="B467" s="158" t="s">
        <v>5081</v>
      </c>
      <c r="C467" s="158"/>
      <c r="D467" s="157" t="s">
        <v>4604</v>
      </c>
      <c r="E467" s="159" t="s">
        <v>4547</v>
      </c>
    </row>
    <row r="468" spans="1:5">
      <c r="A468" s="157" t="s">
        <v>5206</v>
      </c>
      <c r="B468" s="158" t="s">
        <v>4661</v>
      </c>
      <c r="C468" s="158"/>
      <c r="D468" s="157" t="s">
        <v>4604</v>
      </c>
      <c r="E468" s="159" t="s">
        <v>4547</v>
      </c>
    </row>
    <row r="469" spans="1:5">
      <c r="A469" s="157" t="s">
        <v>5207</v>
      </c>
      <c r="B469" s="158" t="s">
        <v>5208</v>
      </c>
      <c r="C469" s="158"/>
      <c r="D469" s="157" t="s">
        <v>4604</v>
      </c>
      <c r="E469" s="159" t="s">
        <v>4547</v>
      </c>
    </row>
    <row r="470" spans="1:5">
      <c r="A470" s="157" t="s">
        <v>5209</v>
      </c>
      <c r="B470" s="158" t="s">
        <v>5139</v>
      </c>
      <c r="C470" s="158"/>
      <c r="D470" s="157" t="s">
        <v>4604</v>
      </c>
      <c r="E470" s="159" t="s">
        <v>4547</v>
      </c>
    </row>
    <row r="471" spans="1:5">
      <c r="A471" s="157" t="s">
        <v>5210</v>
      </c>
      <c r="B471" s="158" t="s">
        <v>5139</v>
      </c>
      <c r="C471" s="158"/>
      <c r="D471" s="157" t="s">
        <v>4604</v>
      </c>
      <c r="E471" s="159" t="s">
        <v>4547</v>
      </c>
    </row>
    <row r="472" spans="1:5">
      <c r="A472" s="157" t="s">
        <v>5211</v>
      </c>
      <c r="B472" s="158" t="s">
        <v>5081</v>
      </c>
      <c r="C472" s="158"/>
      <c r="D472" s="157" t="s">
        <v>4604</v>
      </c>
      <c r="E472" s="159" t="s">
        <v>4547</v>
      </c>
    </row>
    <row r="473" spans="1:5">
      <c r="A473" s="157" t="s">
        <v>5212</v>
      </c>
      <c r="B473" s="158" t="s">
        <v>4930</v>
      </c>
      <c r="C473" s="158"/>
      <c r="D473" s="157" t="s">
        <v>4604</v>
      </c>
      <c r="E473" s="159" t="s">
        <v>4547</v>
      </c>
    </row>
    <row r="474" spans="1:5">
      <c r="A474" s="157" t="s">
        <v>5213</v>
      </c>
      <c r="B474" s="158" t="s">
        <v>5214</v>
      </c>
      <c r="C474" s="158"/>
      <c r="D474" s="157" t="s">
        <v>4604</v>
      </c>
      <c r="E474" s="159" t="s">
        <v>4547</v>
      </c>
    </row>
    <row r="475" spans="1:5">
      <c r="A475" s="157" t="s">
        <v>5215</v>
      </c>
      <c r="B475" s="158" t="s">
        <v>5037</v>
      </c>
      <c r="C475" s="158"/>
      <c r="D475" s="157" t="s">
        <v>4630</v>
      </c>
      <c r="E475" s="159"/>
    </row>
    <row r="476" spans="1:5">
      <c r="A476" s="157" t="s">
        <v>5216</v>
      </c>
      <c r="B476" s="158" t="s">
        <v>4909</v>
      </c>
      <c r="C476" s="158"/>
      <c r="D476" s="157" t="s">
        <v>4630</v>
      </c>
      <c r="E476" s="159"/>
    </row>
    <row r="477" spans="1:5">
      <c r="A477" s="157" t="s">
        <v>5217</v>
      </c>
      <c r="B477" s="158" t="s">
        <v>5081</v>
      </c>
      <c r="C477" s="158"/>
      <c r="D477" s="157" t="s">
        <v>4604</v>
      </c>
      <c r="E477" s="159" t="s">
        <v>4547</v>
      </c>
    </row>
    <row r="478" spans="1:5">
      <c r="A478" s="157" t="s">
        <v>5218</v>
      </c>
      <c r="B478" s="158" t="s">
        <v>5070</v>
      </c>
      <c r="C478" s="158"/>
      <c r="D478" s="157" t="s">
        <v>4604</v>
      </c>
      <c r="E478" s="159" t="s">
        <v>4547</v>
      </c>
    </row>
    <row r="479" spans="1:5">
      <c r="A479" s="157" t="s">
        <v>5219</v>
      </c>
      <c r="B479" s="158" t="s">
        <v>4946</v>
      </c>
      <c r="C479" s="158"/>
      <c r="D479" s="157" t="s">
        <v>4576</v>
      </c>
      <c r="E479" s="159" t="s">
        <v>4547</v>
      </c>
    </row>
    <row r="480" spans="1:5">
      <c r="A480" s="157" t="s">
        <v>5220</v>
      </c>
      <c r="B480" s="158" t="s">
        <v>4847</v>
      </c>
      <c r="C480" s="158"/>
      <c r="D480" s="157" t="s">
        <v>4576</v>
      </c>
      <c r="E480" s="159" t="s">
        <v>4547</v>
      </c>
    </row>
    <row r="481" spans="1:5">
      <c r="A481" s="157" t="s">
        <v>5221</v>
      </c>
      <c r="B481" s="158" t="s">
        <v>5191</v>
      </c>
      <c r="C481" s="158"/>
      <c r="D481" s="157" t="s">
        <v>4576</v>
      </c>
      <c r="E481" s="159" t="s">
        <v>4547</v>
      </c>
    </row>
    <row r="482" spans="1:5">
      <c r="A482" s="157" t="s">
        <v>5222</v>
      </c>
      <c r="B482" s="158" t="s">
        <v>4951</v>
      </c>
      <c r="C482" s="158"/>
      <c r="D482" s="157" t="s">
        <v>4576</v>
      </c>
      <c r="E482" s="159" t="s">
        <v>4547</v>
      </c>
    </row>
    <row r="483" spans="1:5">
      <c r="A483" s="157" t="s">
        <v>5223</v>
      </c>
      <c r="B483" s="158" t="s">
        <v>5139</v>
      </c>
      <c r="C483" s="158"/>
      <c r="D483" s="157" t="s">
        <v>4604</v>
      </c>
      <c r="E483" s="159" t="s">
        <v>4547</v>
      </c>
    </row>
    <row r="484" spans="1:5">
      <c r="A484" s="157" t="s">
        <v>5224</v>
      </c>
      <c r="B484" s="158" t="s">
        <v>5078</v>
      </c>
      <c r="C484" s="158"/>
      <c r="D484" s="157" t="s">
        <v>4604</v>
      </c>
      <c r="E484" s="159" t="s">
        <v>4547</v>
      </c>
    </row>
    <row r="485" spans="1:5">
      <c r="A485" s="172" t="s">
        <v>5225</v>
      </c>
      <c r="B485" s="173"/>
      <c r="C485" s="154"/>
      <c r="D485" s="155"/>
      <c r="E485" s="156"/>
    </row>
    <row r="486" spans="1:5">
      <c r="A486" s="157" t="s">
        <v>5226</v>
      </c>
      <c r="B486" s="158" t="s">
        <v>4819</v>
      </c>
      <c r="C486" s="158"/>
      <c r="D486" s="157" t="s">
        <v>4576</v>
      </c>
      <c r="E486" s="159" t="s">
        <v>4547</v>
      </c>
    </row>
    <row r="487" spans="1:5">
      <c r="A487" s="157" t="s">
        <v>5227</v>
      </c>
      <c r="B487" s="158" t="s">
        <v>5105</v>
      </c>
      <c r="C487" s="158"/>
      <c r="D487" s="157" t="s">
        <v>4576</v>
      </c>
      <c r="E487" s="159" t="s">
        <v>4547</v>
      </c>
    </row>
    <row r="488" spans="1:5">
      <c r="A488" s="157" t="s">
        <v>5228</v>
      </c>
      <c r="B488" s="158" t="s">
        <v>4930</v>
      </c>
      <c r="C488" s="158"/>
      <c r="D488" s="157" t="s">
        <v>4604</v>
      </c>
      <c r="E488" s="159" t="s">
        <v>4547</v>
      </c>
    </row>
    <row r="489" spans="1:5">
      <c r="A489" s="157" t="s">
        <v>5229</v>
      </c>
      <c r="B489" s="158" t="s">
        <v>5230</v>
      </c>
      <c r="C489" s="158"/>
      <c r="D489" s="157" t="s">
        <v>4576</v>
      </c>
      <c r="E489" s="159" t="s">
        <v>4547</v>
      </c>
    </row>
    <row r="490" spans="1:5">
      <c r="A490" s="157" t="s">
        <v>5231</v>
      </c>
      <c r="B490" s="158" t="s">
        <v>5232</v>
      </c>
      <c r="C490" s="158"/>
      <c r="D490" s="157" t="s">
        <v>4576</v>
      </c>
      <c r="E490" s="159" t="s">
        <v>4547</v>
      </c>
    </row>
    <row r="491" spans="1:5">
      <c r="A491" s="157" t="s">
        <v>5233</v>
      </c>
      <c r="B491" s="158" t="s">
        <v>4966</v>
      </c>
      <c r="C491" s="158"/>
      <c r="D491" s="157" t="s">
        <v>4576</v>
      </c>
      <c r="E491" s="159" t="s">
        <v>4547</v>
      </c>
    </row>
    <row r="492" spans="1:5">
      <c r="A492" s="157" t="s">
        <v>5234</v>
      </c>
      <c r="B492" s="158" t="s">
        <v>4639</v>
      </c>
      <c r="C492" s="158"/>
      <c r="D492" s="157" t="s">
        <v>4576</v>
      </c>
      <c r="E492" s="159" t="s">
        <v>4547</v>
      </c>
    </row>
    <row r="493" spans="1:5">
      <c r="A493" s="157" t="s">
        <v>5235</v>
      </c>
      <c r="B493" s="158" t="s">
        <v>4847</v>
      </c>
      <c r="C493" s="158"/>
      <c r="D493" s="157" t="s">
        <v>4576</v>
      </c>
      <c r="E493" s="159" t="s">
        <v>4547</v>
      </c>
    </row>
    <row r="494" spans="1:5">
      <c r="A494" s="153" t="s">
        <v>5236</v>
      </c>
      <c r="B494" s="162"/>
      <c r="C494" s="162"/>
      <c r="D494" s="153"/>
      <c r="E494" s="163"/>
    </row>
    <row r="495" spans="1:5">
      <c r="A495" s="157" t="s">
        <v>5237</v>
      </c>
      <c r="B495" s="158" t="s">
        <v>4847</v>
      </c>
      <c r="C495" s="158"/>
      <c r="D495" s="157" t="s">
        <v>4630</v>
      </c>
      <c r="E495" s="159"/>
    </row>
    <row r="496" spans="1:5">
      <c r="A496" s="157" t="s">
        <v>5238</v>
      </c>
      <c r="B496" s="158" t="s">
        <v>5105</v>
      </c>
      <c r="C496" s="158"/>
      <c r="D496" s="157" t="s">
        <v>4630</v>
      </c>
      <c r="E496" s="159"/>
    </row>
    <row r="497" spans="1:5">
      <c r="A497" s="153" t="s">
        <v>5239</v>
      </c>
      <c r="B497" s="162"/>
      <c r="C497" s="162"/>
      <c r="D497" s="153"/>
      <c r="E497" s="163"/>
    </row>
    <row r="498" spans="1:5">
      <c r="A498" s="157" t="s">
        <v>5240</v>
      </c>
      <c r="B498" s="158" t="s">
        <v>4978</v>
      </c>
      <c r="C498" s="158"/>
      <c r="D498" s="157" t="s">
        <v>4576</v>
      </c>
      <c r="E498" s="159" t="s">
        <v>4547</v>
      </c>
    </row>
    <row r="499" spans="1:5">
      <c r="A499" s="157" t="s">
        <v>5241</v>
      </c>
      <c r="B499" s="158" t="s">
        <v>4938</v>
      </c>
      <c r="C499" s="158"/>
      <c r="D499" s="157" t="s">
        <v>4562</v>
      </c>
      <c r="E499" s="159"/>
    </row>
    <row r="500" spans="1:5">
      <c r="A500" s="157" t="s">
        <v>5242</v>
      </c>
      <c r="B500" s="158" t="s">
        <v>5230</v>
      </c>
      <c r="C500" s="158"/>
      <c r="D500" s="157" t="s">
        <v>4576</v>
      </c>
      <c r="E500" s="159" t="s">
        <v>4547</v>
      </c>
    </row>
    <row r="501" spans="1:5">
      <c r="A501" s="153" t="s">
        <v>5243</v>
      </c>
      <c r="B501" s="154"/>
      <c r="C501" s="154"/>
      <c r="D501" s="155"/>
      <c r="E501" s="156"/>
    </row>
    <row r="502" spans="1:5">
      <c r="A502" s="157" t="s">
        <v>5244</v>
      </c>
      <c r="B502" s="158" t="s">
        <v>4639</v>
      </c>
      <c r="C502" s="158"/>
      <c r="D502" s="157" t="s">
        <v>4576</v>
      </c>
      <c r="E502" s="159" t="s">
        <v>4547</v>
      </c>
    </row>
    <row r="503" spans="1:5">
      <c r="A503" s="157" t="s">
        <v>5245</v>
      </c>
      <c r="B503" s="158" t="s">
        <v>4879</v>
      </c>
      <c r="C503" s="158"/>
      <c r="D503" s="157" t="s">
        <v>4576</v>
      </c>
      <c r="E503" s="159" t="s">
        <v>4547</v>
      </c>
    </row>
    <row r="504" spans="1:5">
      <c r="A504" s="157" t="s">
        <v>5246</v>
      </c>
      <c r="B504" s="158" t="s">
        <v>4944</v>
      </c>
      <c r="C504" s="158"/>
      <c r="D504" s="157" t="s">
        <v>4576</v>
      </c>
      <c r="E504" s="159" t="s">
        <v>4547</v>
      </c>
    </row>
    <row r="505" spans="1:5">
      <c r="A505" s="157" t="s">
        <v>5247</v>
      </c>
      <c r="B505" s="158" t="s">
        <v>5248</v>
      </c>
      <c r="C505" s="158"/>
      <c r="D505" s="157" t="s">
        <v>4576</v>
      </c>
      <c r="E505" s="159" t="s">
        <v>4547</v>
      </c>
    </row>
    <row r="506" spans="1:5">
      <c r="A506" s="157" t="s">
        <v>5249</v>
      </c>
      <c r="B506" s="158" t="s">
        <v>4847</v>
      </c>
      <c r="C506" s="158"/>
      <c r="D506" s="157" t="s">
        <v>4604</v>
      </c>
      <c r="E506" s="159" t="s">
        <v>4547</v>
      </c>
    </row>
    <row r="507" spans="1:5">
      <c r="A507" s="157" t="s">
        <v>5250</v>
      </c>
      <c r="B507" s="158" t="s">
        <v>4661</v>
      </c>
      <c r="C507" s="158"/>
      <c r="D507" s="157" t="s">
        <v>4604</v>
      </c>
      <c r="E507" s="159" t="s">
        <v>4547</v>
      </c>
    </row>
    <row r="508" spans="1:5">
      <c r="A508" s="157" t="s">
        <v>5251</v>
      </c>
      <c r="B508" s="158" t="s">
        <v>5252</v>
      </c>
      <c r="C508" s="158"/>
      <c r="D508" s="157" t="s">
        <v>4604</v>
      </c>
      <c r="E508" s="159" t="s">
        <v>4547</v>
      </c>
    </row>
    <row r="509" spans="1:5">
      <c r="A509" s="157" t="s">
        <v>5253</v>
      </c>
      <c r="B509" s="158" t="s">
        <v>4819</v>
      </c>
      <c r="C509" s="158"/>
      <c r="D509" s="157" t="s">
        <v>4604</v>
      </c>
      <c r="E509" s="159" t="s">
        <v>4547</v>
      </c>
    </row>
    <row r="510" spans="1:5">
      <c r="A510" s="157" t="s">
        <v>5254</v>
      </c>
      <c r="B510" s="158" t="s">
        <v>5255</v>
      </c>
      <c r="C510" s="158"/>
      <c r="D510" s="157" t="s">
        <v>4604</v>
      </c>
      <c r="E510" s="159" t="s">
        <v>4547</v>
      </c>
    </row>
    <row r="511" spans="1:5">
      <c r="A511" s="157" t="s">
        <v>5256</v>
      </c>
      <c r="B511" s="158" t="s">
        <v>5035</v>
      </c>
      <c r="C511" s="158"/>
      <c r="D511" s="157" t="s">
        <v>4604</v>
      </c>
      <c r="E511" s="159" t="s">
        <v>4547</v>
      </c>
    </row>
    <row r="512" spans="1:5">
      <c r="A512" s="157" t="s">
        <v>5257</v>
      </c>
      <c r="B512" s="158" t="s">
        <v>4684</v>
      </c>
      <c r="C512" s="158"/>
      <c r="D512" s="157" t="s">
        <v>4604</v>
      </c>
      <c r="E512" s="159" t="s">
        <v>4547</v>
      </c>
    </row>
    <row r="513" spans="1:5">
      <c r="A513" s="157" t="s">
        <v>5258</v>
      </c>
      <c r="B513" s="158" t="s">
        <v>4930</v>
      </c>
      <c r="C513" s="158"/>
      <c r="D513" s="157" t="s">
        <v>4604</v>
      </c>
      <c r="E513" s="159" t="s">
        <v>4547</v>
      </c>
    </row>
    <row r="514" spans="1:5">
      <c r="A514" s="157" t="s">
        <v>5259</v>
      </c>
      <c r="B514" s="158" t="s">
        <v>5252</v>
      </c>
      <c r="C514" s="158"/>
      <c r="D514" s="157" t="s">
        <v>4604</v>
      </c>
      <c r="E514" s="159" t="s">
        <v>4547</v>
      </c>
    </row>
    <row r="515" spans="1:5">
      <c r="A515" s="153" t="s">
        <v>1220</v>
      </c>
      <c r="B515" s="162"/>
      <c r="C515" s="162"/>
      <c r="D515" s="153"/>
      <c r="E515" s="163"/>
    </row>
    <row r="516" spans="1:5">
      <c r="A516" s="157" t="s">
        <v>5260</v>
      </c>
      <c r="B516" s="158" t="s">
        <v>5261</v>
      </c>
      <c r="C516" s="158"/>
      <c r="D516" s="157" t="s">
        <v>4630</v>
      </c>
      <c r="E516" s="159"/>
    </row>
    <row r="517" spans="1:5">
      <c r="A517" s="157" t="s">
        <v>5262</v>
      </c>
      <c r="B517" s="158" t="s">
        <v>4990</v>
      </c>
      <c r="C517" s="158"/>
      <c r="D517" s="157" t="s">
        <v>4562</v>
      </c>
      <c r="E517" s="159"/>
    </row>
    <row r="518" spans="1:5">
      <c r="A518" s="157" t="s">
        <v>5263</v>
      </c>
      <c r="B518" s="158" t="s">
        <v>5264</v>
      </c>
      <c r="C518" s="158"/>
      <c r="D518" s="157" t="s">
        <v>4562</v>
      </c>
      <c r="E518" s="159"/>
    </row>
    <row r="519" spans="1:5">
      <c r="A519" s="153" t="s">
        <v>5265</v>
      </c>
      <c r="B519" s="154"/>
      <c r="C519" s="154"/>
      <c r="D519" s="155"/>
      <c r="E519" s="156"/>
    </row>
    <row r="520" spans="1:5">
      <c r="A520" s="157" t="s">
        <v>5266</v>
      </c>
      <c r="B520" s="158" t="s">
        <v>5191</v>
      </c>
      <c r="C520" s="158"/>
      <c r="D520" s="157" t="s">
        <v>4604</v>
      </c>
      <c r="E520" s="159" t="s">
        <v>4547</v>
      </c>
    </row>
    <row r="521" spans="1:5">
      <c r="A521" s="160" t="s">
        <v>5267</v>
      </c>
      <c r="B521" s="158"/>
      <c r="C521" s="158" t="s">
        <v>5268</v>
      </c>
      <c r="D521" s="157" t="s">
        <v>4817</v>
      </c>
      <c r="E521" s="159" t="s">
        <v>4547</v>
      </c>
    </row>
    <row r="522" spans="1:5">
      <c r="A522" s="160" t="s">
        <v>5269</v>
      </c>
      <c r="B522" s="161" t="s">
        <v>5270</v>
      </c>
      <c r="C522" s="158"/>
      <c r="D522" s="157" t="s">
        <v>4569</v>
      </c>
      <c r="E522" s="159"/>
    </row>
    <row r="523" spans="1:5">
      <c r="A523" s="157" t="s">
        <v>5271</v>
      </c>
      <c r="B523" s="158" t="s">
        <v>5272</v>
      </c>
      <c r="C523" s="158"/>
      <c r="D523" s="157" t="s">
        <v>4630</v>
      </c>
      <c r="E523" s="159"/>
    </row>
    <row r="524" spans="1:5">
      <c r="A524" s="160" t="s">
        <v>5273</v>
      </c>
      <c r="B524" s="161" t="s">
        <v>5274</v>
      </c>
      <c r="C524" s="158"/>
      <c r="D524" s="157" t="s">
        <v>4569</v>
      </c>
      <c r="E524" s="159"/>
    </row>
    <row r="525" spans="1:5">
      <c r="A525" s="157" t="s">
        <v>5275</v>
      </c>
      <c r="B525" s="158" t="s">
        <v>5276</v>
      </c>
      <c r="C525" s="158"/>
      <c r="D525" s="157" t="s">
        <v>4630</v>
      </c>
      <c r="E525" s="159"/>
    </row>
    <row r="526" spans="1:5">
      <c r="A526" s="157" t="s">
        <v>5277</v>
      </c>
      <c r="B526" s="158" t="s">
        <v>5037</v>
      </c>
      <c r="C526" s="158"/>
      <c r="D526" s="157" t="s">
        <v>4576</v>
      </c>
      <c r="E526" s="159" t="s">
        <v>4547</v>
      </c>
    </row>
    <row r="527" spans="1:5">
      <c r="A527" s="157" t="s">
        <v>5278</v>
      </c>
      <c r="B527" s="158" t="s">
        <v>5053</v>
      </c>
      <c r="C527" s="158"/>
      <c r="D527" s="157" t="s">
        <v>4576</v>
      </c>
      <c r="E527" s="159" t="s">
        <v>4547</v>
      </c>
    </row>
    <row r="528" spans="1:5">
      <c r="A528" s="157" t="s">
        <v>5279</v>
      </c>
      <c r="B528" s="158" t="s">
        <v>5280</v>
      </c>
      <c r="C528" s="158"/>
      <c r="D528" s="157" t="s">
        <v>4604</v>
      </c>
      <c r="E528" s="159" t="s">
        <v>4547</v>
      </c>
    </row>
    <row r="529" spans="1:5">
      <c r="A529" s="157" t="s">
        <v>5281</v>
      </c>
      <c r="B529" s="158" t="s">
        <v>4879</v>
      </c>
      <c r="C529" s="158"/>
      <c r="D529" s="157" t="s">
        <v>4576</v>
      </c>
      <c r="E529" s="159" t="s">
        <v>4547</v>
      </c>
    </row>
    <row r="530" spans="1:5">
      <c r="A530" s="157" t="s">
        <v>5281</v>
      </c>
      <c r="B530" s="158" t="s">
        <v>4847</v>
      </c>
      <c r="C530" s="158"/>
      <c r="D530" s="157" t="s">
        <v>4576</v>
      </c>
      <c r="E530" s="159" t="s">
        <v>4547</v>
      </c>
    </row>
    <row r="531" spans="1:5">
      <c r="A531" s="157" t="s">
        <v>5282</v>
      </c>
      <c r="B531" s="158" t="s">
        <v>4930</v>
      </c>
      <c r="C531" s="158"/>
      <c r="D531" s="157" t="s">
        <v>4576</v>
      </c>
      <c r="E531" s="159" t="s">
        <v>4547</v>
      </c>
    </row>
    <row r="532" spans="1:5">
      <c r="A532" s="157" t="s">
        <v>5283</v>
      </c>
      <c r="B532" s="158" t="s">
        <v>4819</v>
      </c>
      <c r="C532" s="158"/>
      <c r="D532" s="157" t="s">
        <v>4576</v>
      </c>
      <c r="E532" s="159" t="s">
        <v>4547</v>
      </c>
    </row>
    <row r="533" spans="1:5">
      <c r="A533" s="157" t="s">
        <v>5284</v>
      </c>
      <c r="B533" s="158" t="s">
        <v>2502</v>
      </c>
      <c r="C533" s="158"/>
      <c r="D533" s="157" t="s">
        <v>4630</v>
      </c>
      <c r="E533" s="159"/>
    </row>
    <row r="534" spans="1:5">
      <c r="A534" s="157" t="s">
        <v>5284</v>
      </c>
      <c r="B534" s="158" t="s">
        <v>4890</v>
      </c>
      <c r="C534" s="158"/>
      <c r="D534" s="157" t="s">
        <v>4562</v>
      </c>
      <c r="E534" s="159"/>
    </row>
    <row r="535" spans="1:5">
      <c r="A535" s="157" t="s">
        <v>5285</v>
      </c>
      <c r="B535" s="158"/>
      <c r="C535" s="158" t="s">
        <v>5286</v>
      </c>
      <c r="D535" s="157" t="s">
        <v>4558</v>
      </c>
      <c r="E535" s="159"/>
    </row>
    <row r="536" spans="1:5">
      <c r="A536" s="160" t="s">
        <v>5287</v>
      </c>
      <c r="B536" s="161" t="s">
        <v>5288</v>
      </c>
      <c r="C536" s="169"/>
      <c r="D536" s="157" t="s">
        <v>4615</v>
      </c>
      <c r="E536" s="170"/>
    </row>
    <row r="537" spans="1:5">
      <c r="A537" s="157" t="s">
        <v>5289</v>
      </c>
      <c r="B537" s="158" t="s">
        <v>5290</v>
      </c>
      <c r="C537" s="158" t="s">
        <v>5291</v>
      </c>
      <c r="D537" s="157" t="s">
        <v>4546</v>
      </c>
      <c r="E537" s="159" t="s">
        <v>4547</v>
      </c>
    </row>
    <row r="538" spans="1:5">
      <c r="A538" s="157" t="s">
        <v>5292</v>
      </c>
      <c r="B538" s="158" t="s">
        <v>5293</v>
      </c>
      <c r="C538" s="158"/>
      <c r="D538" s="157" t="s">
        <v>4630</v>
      </c>
      <c r="E538" s="159"/>
    </row>
    <row r="539" spans="1:5">
      <c r="A539" s="157" t="s">
        <v>5294</v>
      </c>
      <c r="B539" s="158"/>
      <c r="C539" s="158" t="s">
        <v>4717</v>
      </c>
      <c r="D539" s="157" t="s">
        <v>4612</v>
      </c>
      <c r="E539" s="159" t="s">
        <v>4547</v>
      </c>
    </row>
    <row r="540" spans="1:5">
      <c r="A540" s="157" t="s">
        <v>5295</v>
      </c>
      <c r="B540" s="158" t="s">
        <v>5296</v>
      </c>
      <c r="C540" s="158" t="s">
        <v>5296</v>
      </c>
      <c r="D540" s="157" t="s">
        <v>4546</v>
      </c>
      <c r="E540" s="159" t="s">
        <v>4547</v>
      </c>
    </row>
    <row r="541" spans="1:5">
      <c r="A541" s="160" t="s">
        <v>5297</v>
      </c>
      <c r="B541" s="161" t="s">
        <v>5298</v>
      </c>
      <c r="C541" s="158"/>
      <c r="D541" s="157" t="s">
        <v>4569</v>
      </c>
      <c r="E541" s="159"/>
    </row>
    <row r="542" spans="1:5">
      <c r="A542" s="153" t="s">
        <v>5299</v>
      </c>
      <c r="B542" s="154"/>
      <c r="C542" s="154"/>
      <c r="D542" s="155"/>
      <c r="E542" s="156"/>
    </row>
    <row r="543" spans="1:5">
      <c r="A543" s="157" t="s">
        <v>5300</v>
      </c>
      <c r="B543" s="158" t="s">
        <v>2502</v>
      </c>
      <c r="C543" s="158"/>
      <c r="D543" s="157" t="s">
        <v>4576</v>
      </c>
      <c r="E543" s="159" t="s">
        <v>4547</v>
      </c>
    </row>
    <row r="544" spans="1:5">
      <c r="A544" s="157" t="s">
        <v>5301</v>
      </c>
      <c r="B544" s="158" t="s">
        <v>4944</v>
      </c>
      <c r="C544" s="158"/>
      <c r="D544" s="157" t="s">
        <v>4576</v>
      </c>
      <c r="E544" s="159" t="s">
        <v>4547</v>
      </c>
    </row>
    <row r="545" spans="1:5">
      <c r="A545" s="157" t="s">
        <v>5302</v>
      </c>
      <c r="B545" s="158" t="s">
        <v>5303</v>
      </c>
      <c r="C545" s="158"/>
      <c r="D545" s="157" t="s">
        <v>4615</v>
      </c>
      <c r="E545" s="159"/>
    </row>
    <row r="546" spans="1:5">
      <c r="A546" s="157" t="s">
        <v>5304</v>
      </c>
      <c r="B546" s="158" t="s">
        <v>4980</v>
      </c>
      <c r="C546" s="158"/>
      <c r="D546" s="157" t="s">
        <v>4576</v>
      </c>
      <c r="E546" s="159" t="s">
        <v>4547</v>
      </c>
    </row>
    <row r="547" spans="1:5">
      <c r="A547" s="157" t="s">
        <v>5305</v>
      </c>
      <c r="B547" s="158" t="s">
        <v>4874</v>
      </c>
      <c r="C547" s="158"/>
      <c r="D547" s="157" t="s">
        <v>4576</v>
      </c>
      <c r="E547" s="159" t="s">
        <v>4547</v>
      </c>
    </row>
    <row r="548" spans="1:5">
      <c r="A548" s="157" t="s">
        <v>5306</v>
      </c>
      <c r="B548" s="158" t="s">
        <v>4689</v>
      </c>
      <c r="C548" s="158"/>
      <c r="D548" s="157" t="s">
        <v>4562</v>
      </c>
      <c r="E548" s="159"/>
    </row>
    <row r="549" spans="1:5">
      <c r="A549" s="160" t="s">
        <v>5307</v>
      </c>
      <c r="B549" s="158" t="s">
        <v>5308</v>
      </c>
      <c r="C549" s="158"/>
      <c r="D549" s="157" t="s">
        <v>4615</v>
      </c>
      <c r="E549" s="159"/>
    </row>
    <row r="550" spans="1:5">
      <c r="A550" s="157" t="s">
        <v>5309</v>
      </c>
      <c r="B550" s="158" t="s">
        <v>5288</v>
      </c>
      <c r="C550" s="158"/>
      <c r="D550" s="157" t="s">
        <v>4576</v>
      </c>
      <c r="E550" s="159" t="s">
        <v>4547</v>
      </c>
    </row>
    <row r="551" spans="1:5">
      <c r="A551" s="157" t="s">
        <v>5310</v>
      </c>
      <c r="B551" s="158" t="s">
        <v>5311</v>
      </c>
      <c r="C551" s="158"/>
      <c r="D551" s="157" t="s">
        <v>4576</v>
      </c>
      <c r="E551" s="159" t="s">
        <v>4547</v>
      </c>
    </row>
    <row r="552" spans="1:5">
      <c r="A552" s="157" t="s">
        <v>5312</v>
      </c>
      <c r="B552" s="161" t="s">
        <v>5313</v>
      </c>
      <c r="C552" s="158"/>
      <c r="D552" s="157" t="s">
        <v>4569</v>
      </c>
      <c r="E552" s="159"/>
    </row>
    <row r="553" spans="1:5">
      <c r="A553" s="157" t="s">
        <v>5314</v>
      </c>
      <c r="B553" s="158" t="s">
        <v>4707</v>
      </c>
      <c r="C553" s="158"/>
      <c r="D553" s="157" t="s">
        <v>4562</v>
      </c>
      <c r="E553" s="159"/>
    </row>
    <row r="554" spans="1:5">
      <c r="A554" s="157" t="s">
        <v>5315</v>
      </c>
      <c r="B554" s="158" t="s">
        <v>2110</v>
      </c>
      <c r="C554" s="158"/>
      <c r="D554" s="157" t="s">
        <v>4615</v>
      </c>
      <c r="E554" s="159"/>
    </row>
    <row r="555" spans="1:5">
      <c r="A555" s="157" t="s">
        <v>5316</v>
      </c>
      <c r="B555" s="158" t="s">
        <v>4959</v>
      </c>
      <c r="C555" s="158"/>
      <c r="D555" s="157" t="s">
        <v>4576</v>
      </c>
      <c r="E555" s="159" t="s">
        <v>4547</v>
      </c>
    </row>
    <row r="556" spans="1:5">
      <c r="A556" s="157" t="s">
        <v>5317</v>
      </c>
      <c r="B556" s="158" t="s">
        <v>4940</v>
      </c>
      <c r="C556" s="158"/>
      <c r="D556" s="157" t="s">
        <v>4576</v>
      </c>
      <c r="E556" s="159" t="s">
        <v>4547</v>
      </c>
    </row>
    <row r="557" spans="1:5">
      <c r="A557" s="157" t="s">
        <v>5318</v>
      </c>
      <c r="B557" s="158" t="s">
        <v>4951</v>
      </c>
      <c r="C557" s="158"/>
      <c r="D557" s="157" t="s">
        <v>4576</v>
      </c>
      <c r="E557" s="159" t="s">
        <v>4547</v>
      </c>
    </row>
    <row r="558" spans="1:5">
      <c r="A558" s="157" t="s">
        <v>5319</v>
      </c>
      <c r="B558" s="158" t="s">
        <v>4930</v>
      </c>
      <c r="C558" s="158"/>
      <c r="D558" s="157" t="s">
        <v>4576</v>
      </c>
      <c r="E558" s="159" t="s">
        <v>4547</v>
      </c>
    </row>
    <row r="559" spans="1:5">
      <c r="A559" s="157" t="s">
        <v>5320</v>
      </c>
      <c r="B559" s="158" t="s">
        <v>4819</v>
      </c>
      <c r="C559" s="158"/>
      <c r="D559" s="157" t="s">
        <v>4576</v>
      </c>
      <c r="E559" s="159" t="s">
        <v>4547</v>
      </c>
    </row>
    <row r="560" spans="1:5">
      <c r="A560" s="157" t="s">
        <v>5321</v>
      </c>
      <c r="B560" s="158" t="s">
        <v>5280</v>
      </c>
      <c r="C560" s="158"/>
      <c r="D560" s="157" t="s">
        <v>4576</v>
      </c>
      <c r="E560" s="159" t="s">
        <v>4547</v>
      </c>
    </row>
    <row r="561" spans="1:5">
      <c r="A561" s="153" t="s">
        <v>5322</v>
      </c>
      <c r="B561" s="162"/>
      <c r="C561" s="162"/>
      <c r="D561" s="153"/>
      <c r="E561" s="163"/>
    </row>
    <row r="562" spans="1:5">
      <c r="A562" s="157" t="s">
        <v>5323</v>
      </c>
      <c r="B562" s="158" t="s">
        <v>4568</v>
      </c>
      <c r="C562" s="158"/>
      <c r="D562" s="157" t="s">
        <v>4569</v>
      </c>
      <c r="E562" s="159"/>
    </row>
    <row r="563" spans="1:5">
      <c r="A563" s="157" t="s">
        <v>5324</v>
      </c>
      <c r="B563" s="158" t="s">
        <v>4762</v>
      </c>
      <c r="C563" s="158"/>
      <c r="D563" s="157" t="s">
        <v>4569</v>
      </c>
      <c r="E563" s="159"/>
    </row>
    <row r="564" spans="1:5">
      <c r="A564" s="157" t="s">
        <v>5325</v>
      </c>
      <c r="B564" s="158" t="s">
        <v>4611</v>
      </c>
      <c r="C564" s="158"/>
      <c r="D564" s="157" t="s">
        <v>4569</v>
      </c>
      <c r="E564" s="159"/>
    </row>
    <row r="565" spans="1:5">
      <c r="A565" s="157" t="s">
        <v>5326</v>
      </c>
      <c r="B565" s="158" t="s">
        <v>4771</v>
      </c>
      <c r="C565" s="158"/>
      <c r="D565" s="157" t="s">
        <v>4569</v>
      </c>
      <c r="E565" s="159"/>
    </row>
    <row r="566" spans="1:5">
      <c r="A566" s="157" t="s">
        <v>5327</v>
      </c>
      <c r="B566" s="158" t="s">
        <v>4771</v>
      </c>
      <c r="C566" s="158"/>
      <c r="D566" s="157" t="s">
        <v>4569</v>
      </c>
      <c r="E566" s="159"/>
    </row>
    <row r="567" spans="1:5">
      <c r="A567" s="157" t="s">
        <v>5328</v>
      </c>
      <c r="B567" s="158" t="s">
        <v>4544</v>
      </c>
      <c r="C567" s="158"/>
      <c r="D567" s="157" t="s">
        <v>4604</v>
      </c>
      <c r="E567" s="159" t="s">
        <v>4547</v>
      </c>
    </row>
    <row r="568" spans="1:5">
      <c r="A568" s="157" t="s">
        <v>5329</v>
      </c>
      <c r="B568" s="158" t="s">
        <v>4545</v>
      </c>
      <c r="C568" s="158"/>
      <c r="D568" s="157" t="s">
        <v>4604</v>
      </c>
      <c r="E568" s="159" t="s">
        <v>4547</v>
      </c>
    </row>
    <row r="569" spans="1:5">
      <c r="A569" s="157" t="s">
        <v>5330</v>
      </c>
      <c r="B569" s="161" t="s">
        <v>4695</v>
      </c>
      <c r="C569" s="158"/>
      <c r="D569" s="157" t="s">
        <v>4630</v>
      </c>
      <c r="E569" s="159"/>
    </row>
    <row r="570" spans="1:5">
      <c r="A570" s="157" t="s">
        <v>5331</v>
      </c>
      <c r="B570" s="158" t="s">
        <v>4775</v>
      </c>
      <c r="C570" s="158"/>
      <c r="D570" s="157" t="s">
        <v>4604</v>
      </c>
      <c r="E570" s="159" t="s">
        <v>4547</v>
      </c>
    </row>
    <row r="571" spans="1:5">
      <c r="A571" s="157" t="s">
        <v>5332</v>
      </c>
      <c r="B571" s="158" t="s">
        <v>4771</v>
      </c>
      <c r="C571" s="158"/>
      <c r="D571" s="157" t="s">
        <v>4569</v>
      </c>
      <c r="E571" s="159"/>
    </row>
    <row r="572" spans="1:5">
      <c r="A572" s="172" t="s">
        <v>5333</v>
      </c>
      <c r="B572" s="154"/>
      <c r="C572" s="154"/>
      <c r="D572" s="155"/>
      <c r="E572" s="156"/>
    </row>
    <row r="573" spans="1:5">
      <c r="A573" s="157" t="s">
        <v>5334</v>
      </c>
      <c r="B573" s="158" t="s">
        <v>5135</v>
      </c>
      <c r="C573" s="158"/>
      <c r="D573" s="157" t="s">
        <v>4569</v>
      </c>
      <c r="E573" s="159"/>
    </row>
    <row r="574" spans="1:5">
      <c r="A574" s="157" t="s">
        <v>5335</v>
      </c>
      <c r="B574" s="158" t="s">
        <v>4544</v>
      </c>
      <c r="C574" s="158"/>
      <c r="D574" s="157" t="s">
        <v>4569</v>
      </c>
      <c r="E574" s="159"/>
    </row>
    <row r="575" spans="1:5">
      <c r="A575" s="157" t="s">
        <v>5336</v>
      </c>
      <c r="B575" s="158" t="s">
        <v>4545</v>
      </c>
      <c r="C575" s="158"/>
      <c r="D575" s="157" t="s">
        <v>4569</v>
      </c>
      <c r="E575" s="159"/>
    </row>
    <row r="576" spans="1:5">
      <c r="A576" s="157" t="s">
        <v>5337</v>
      </c>
      <c r="B576" s="158" t="s">
        <v>5214</v>
      </c>
      <c r="C576" s="158"/>
      <c r="D576" s="157" t="s">
        <v>4569</v>
      </c>
      <c r="E576" s="159"/>
    </row>
    <row r="577" spans="1:5">
      <c r="A577" s="157" t="s">
        <v>5338</v>
      </c>
      <c r="B577" s="158" t="s">
        <v>5280</v>
      </c>
      <c r="C577" s="158"/>
      <c r="D577" s="157" t="s">
        <v>4569</v>
      </c>
      <c r="E577" s="159"/>
    </row>
    <row r="578" spans="1:5">
      <c r="A578" s="157" t="s">
        <v>5339</v>
      </c>
      <c r="B578" s="158" t="s">
        <v>4607</v>
      </c>
      <c r="C578" s="158"/>
      <c r="D578" s="157" t="s">
        <v>4569</v>
      </c>
      <c r="E578" s="159"/>
    </row>
    <row r="579" spans="1:5">
      <c r="A579" s="157" t="s">
        <v>5340</v>
      </c>
      <c r="B579" s="158" t="s">
        <v>4544</v>
      </c>
      <c r="C579" s="158"/>
      <c r="D579" s="157" t="s">
        <v>4569</v>
      </c>
      <c r="E579" s="159"/>
    </row>
    <row r="580" spans="1:5">
      <c r="A580" s="157" t="s">
        <v>5341</v>
      </c>
      <c r="B580" s="158" t="s">
        <v>5255</v>
      </c>
      <c r="C580" s="158"/>
      <c r="D580" s="157" t="s">
        <v>4569</v>
      </c>
      <c r="E580" s="159"/>
    </row>
    <row r="581" spans="1:5">
      <c r="A581" s="157" t="s">
        <v>5342</v>
      </c>
      <c r="B581" s="158" t="s">
        <v>5280</v>
      </c>
      <c r="C581" s="158"/>
      <c r="D581" s="157" t="s">
        <v>4604</v>
      </c>
      <c r="E581" s="159" t="s">
        <v>4547</v>
      </c>
    </row>
    <row r="582" spans="1:5">
      <c r="A582" s="157" t="s">
        <v>5343</v>
      </c>
      <c r="B582" s="158" t="s">
        <v>4775</v>
      </c>
      <c r="C582" s="158"/>
      <c r="D582" s="157" t="s">
        <v>4604</v>
      </c>
      <c r="E582" s="159" t="s">
        <v>4547</v>
      </c>
    </row>
    <row r="583" spans="1:5">
      <c r="A583" s="157" t="s">
        <v>5344</v>
      </c>
      <c r="B583" s="158" t="s">
        <v>4759</v>
      </c>
      <c r="C583" s="158"/>
      <c r="D583" s="157" t="s">
        <v>4604</v>
      </c>
      <c r="E583" s="159" t="s">
        <v>4547</v>
      </c>
    </row>
    <row r="584" spans="1:5">
      <c r="A584" s="157" t="s">
        <v>5345</v>
      </c>
      <c r="B584" s="158" t="s">
        <v>4890</v>
      </c>
      <c r="C584" s="158"/>
      <c r="D584" s="157" t="s">
        <v>4604</v>
      </c>
      <c r="E584" s="159" t="s">
        <v>4547</v>
      </c>
    </row>
    <row r="585" spans="1:5">
      <c r="A585" s="157" t="s">
        <v>5346</v>
      </c>
      <c r="B585" s="158" t="s">
        <v>4544</v>
      </c>
      <c r="C585" s="158"/>
      <c r="D585" s="157" t="s">
        <v>4604</v>
      </c>
      <c r="E585" s="159" t="s">
        <v>4547</v>
      </c>
    </row>
    <row r="586" spans="1:5">
      <c r="A586" s="157" t="s">
        <v>5347</v>
      </c>
      <c r="B586" s="158" t="s">
        <v>4856</v>
      </c>
      <c r="C586" s="158"/>
      <c r="D586" s="157" t="s">
        <v>4604</v>
      </c>
      <c r="E586" s="159" t="s">
        <v>4547</v>
      </c>
    </row>
    <row r="587" spans="1:5">
      <c r="A587" s="157" t="s">
        <v>5348</v>
      </c>
      <c r="B587" s="158" t="s">
        <v>5081</v>
      </c>
      <c r="C587" s="158"/>
      <c r="D587" s="157" t="s">
        <v>4604</v>
      </c>
      <c r="E587" s="159" t="s">
        <v>4547</v>
      </c>
    </row>
    <row r="588" spans="1:5">
      <c r="A588" s="157" t="s">
        <v>5349</v>
      </c>
      <c r="B588" s="158" t="s">
        <v>4545</v>
      </c>
      <c r="C588" s="158"/>
      <c r="D588" s="157" t="s">
        <v>4604</v>
      </c>
      <c r="E588" s="159" t="s">
        <v>4547</v>
      </c>
    </row>
    <row r="589" spans="1:5">
      <c r="A589" s="157" t="s">
        <v>5350</v>
      </c>
      <c r="B589" s="158" t="s">
        <v>5255</v>
      </c>
      <c r="C589" s="158"/>
      <c r="D589" s="157" t="s">
        <v>4604</v>
      </c>
      <c r="E589" s="159" t="s">
        <v>4547</v>
      </c>
    </row>
    <row r="590" spans="1:5">
      <c r="A590" s="157" t="s">
        <v>5351</v>
      </c>
      <c r="B590" s="158" t="s">
        <v>4544</v>
      </c>
      <c r="C590" s="158"/>
      <c r="D590" s="157" t="s">
        <v>4604</v>
      </c>
      <c r="E590" s="159" t="s">
        <v>4547</v>
      </c>
    </row>
    <row r="591" spans="1:5">
      <c r="A591" s="157" t="s">
        <v>5352</v>
      </c>
      <c r="B591" s="158" t="s">
        <v>5353</v>
      </c>
      <c r="C591" s="158"/>
      <c r="D591" s="157" t="s">
        <v>4604</v>
      </c>
      <c r="E591" s="159" t="s">
        <v>4547</v>
      </c>
    </row>
    <row r="592" spans="1:5">
      <c r="A592" s="157" t="s">
        <v>5354</v>
      </c>
      <c r="B592" s="158" t="s">
        <v>4709</v>
      </c>
      <c r="C592" s="158"/>
      <c r="D592" s="157" t="s">
        <v>4604</v>
      </c>
      <c r="E592" s="159" t="s">
        <v>4547</v>
      </c>
    </row>
    <row r="593" spans="1:5">
      <c r="A593" s="157" t="s">
        <v>5355</v>
      </c>
      <c r="B593" s="158" t="s">
        <v>5356</v>
      </c>
      <c r="C593" s="158"/>
      <c r="D593" s="157" t="s">
        <v>4604</v>
      </c>
      <c r="E593" s="159" t="s">
        <v>4547</v>
      </c>
    </row>
    <row r="594" spans="1:5">
      <c r="A594" s="157" t="s">
        <v>5357</v>
      </c>
      <c r="B594" s="158" t="s">
        <v>5070</v>
      </c>
      <c r="C594" s="158"/>
      <c r="D594" s="157" t="s">
        <v>4604</v>
      </c>
      <c r="E594" s="159" t="s">
        <v>4547</v>
      </c>
    </row>
    <row r="595" spans="1:5">
      <c r="A595" s="157" t="s">
        <v>5358</v>
      </c>
      <c r="B595" s="158" t="s">
        <v>5280</v>
      </c>
      <c r="C595" s="158"/>
      <c r="D595" s="157" t="s">
        <v>4604</v>
      </c>
      <c r="E595" s="159" t="s">
        <v>4547</v>
      </c>
    </row>
    <row r="596" spans="1:5">
      <c r="A596" s="157" t="s">
        <v>5359</v>
      </c>
      <c r="B596" s="158" t="s">
        <v>4759</v>
      </c>
      <c r="C596" s="158"/>
      <c r="D596" s="157" t="s">
        <v>4604</v>
      </c>
      <c r="E596" s="159" t="s">
        <v>4547</v>
      </c>
    </row>
    <row r="597" spans="1:5">
      <c r="A597" s="157" t="s">
        <v>5360</v>
      </c>
      <c r="B597" s="158" t="s">
        <v>5252</v>
      </c>
      <c r="C597" s="158"/>
      <c r="D597" s="157" t="s">
        <v>4604</v>
      </c>
      <c r="E597" s="159" t="s">
        <v>4547</v>
      </c>
    </row>
    <row r="598" spans="1:5">
      <c r="A598" s="157" t="s">
        <v>5361</v>
      </c>
      <c r="B598" s="158" t="s">
        <v>4684</v>
      </c>
      <c r="C598" s="158"/>
      <c r="D598" s="157" t="s">
        <v>4604</v>
      </c>
      <c r="E598" s="159" t="s">
        <v>4547</v>
      </c>
    </row>
    <row r="599" spans="1:5">
      <c r="A599" s="157" t="s">
        <v>5362</v>
      </c>
      <c r="B599" s="158" t="s">
        <v>5176</v>
      </c>
      <c r="C599" s="158"/>
      <c r="D599" s="157" t="s">
        <v>4604</v>
      </c>
      <c r="E599" s="159" t="s">
        <v>4547</v>
      </c>
    </row>
    <row r="600" spans="1:5">
      <c r="A600" s="157" t="s">
        <v>5363</v>
      </c>
      <c r="B600" s="158" t="s">
        <v>5364</v>
      </c>
      <c r="C600" s="158"/>
      <c r="D600" s="157" t="s">
        <v>4604</v>
      </c>
      <c r="E600" s="159" t="s">
        <v>4547</v>
      </c>
    </row>
    <row r="601" spans="1:5">
      <c r="A601" s="157" t="s">
        <v>5365</v>
      </c>
      <c r="B601" s="158" t="s">
        <v>5364</v>
      </c>
      <c r="C601" s="158"/>
      <c r="D601" s="157" t="s">
        <v>4604</v>
      </c>
      <c r="E601" s="159" t="s">
        <v>4547</v>
      </c>
    </row>
    <row r="602" spans="1:5">
      <c r="A602" s="157" t="s">
        <v>5366</v>
      </c>
      <c r="B602" s="158" t="s">
        <v>4544</v>
      </c>
      <c r="C602" s="158"/>
      <c r="D602" s="157" t="s">
        <v>4604</v>
      </c>
      <c r="E602" s="159" t="s">
        <v>4547</v>
      </c>
    </row>
    <row r="603" spans="1:5">
      <c r="A603" s="157" t="s">
        <v>5367</v>
      </c>
      <c r="B603" s="158" t="s">
        <v>5364</v>
      </c>
      <c r="C603" s="158"/>
      <c r="D603" s="157" t="s">
        <v>4604</v>
      </c>
      <c r="E603" s="159" t="s">
        <v>4547</v>
      </c>
    </row>
    <row r="604" spans="1:5">
      <c r="A604" s="157" t="s">
        <v>5368</v>
      </c>
      <c r="B604" s="158" t="s">
        <v>5369</v>
      </c>
      <c r="C604" s="158"/>
      <c r="D604" s="157" t="s">
        <v>4604</v>
      </c>
      <c r="E604" s="159" t="s">
        <v>4547</v>
      </c>
    </row>
    <row r="605" spans="1:5">
      <c r="A605" s="157" t="s">
        <v>5370</v>
      </c>
      <c r="B605" s="158" t="s">
        <v>5356</v>
      </c>
      <c r="C605" s="158"/>
      <c r="D605" s="157" t="s">
        <v>4604</v>
      </c>
      <c r="E605" s="159" t="s">
        <v>4547</v>
      </c>
    </row>
    <row r="606" spans="1:5">
      <c r="A606" s="157" t="s">
        <v>5371</v>
      </c>
      <c r="B606" s="158" t="s">
        <v>4602</v>
      </c>
      <c r="C606" s="158"/>
      <c r="D606" s="157" t="s">
        <v>4604</v>
      </c>
      <c r="E606" s="159" t="s">
        <v>4547</v>
      </c>
    </row>
    <row r="607" spans="1:5">
      <c r="A607" s="157" t="s">
        <v>5372</v>
      </c>
      <c r="B607" s="158" t="s">
        <v>5373</v>
      </c>
      <c r="C607" s="158"/>
      <c r="D607" s="157" t="s">
        <v>4604</v>
      </c>
      <c r="E607" s="159" t="s">
        <v>4547</v>
      </c>
    </row>
    <row r="608" spans="1:5">
      <c r="A608" s="157" t="s">
        <v>5374</v>
      </c>
      <c r="B608" s="158" t="s">
        <v>4714</v>
      </c>
      <c r="C608" s="158"/>
      <c r="D608" s="157" t="s">
        <v>4604</v>
      </c>
      <c r="E608" s="159" t="s">
        <v>4547</v>
      </c>
    </row>
    <row r="609" spans="1:5">
      <c r="A609" s="157" t="s">
        <v>5375</v>
      </c>
      <c r="B609" s="158" t="s">
        <v>4607</v>
      </c>
      <c r="C609" s="158"/>
      <c r="D609" s="157" t="s">
        <v>4604</v>
      </c>
      <c r="E609" s="159" t="s">
        <v>4547</v>
      </c>
    </row>
    <row r="610" spans="1:5">
      <c r="A610" s="157" t="s">
        <v>5376</v>
      </c>
      <c r="B610" s="158" t="s">
        <v>5280</v>
      </c>
      <c r="C610" s="158"/>
      <c r="D610" s="157" t="s">
        <v>4569</v>
      </c>
      <c r="E610" s="159"/>
    </row>
    <row r="611" spans="1:5">
      <c r="A611" s="157" t="s">
        <v>5377</v>
      </c>
      <c r="B611" s="158" t="s">
        <v>4544</v>
      </c>
      <c r="C611" s="158"/>
      <c r="D611" s="157" t="s">
        <v>4569</v>
      </c>
      <c r="E611" s="159"/>
    </row>
    <row r="612" spans="1:5">
      <c r="A612" s="157" t="s">
        <v>5378</v>
      </c>
      <c r="B612" s="158" t="s">
        <v>3994</v>
      </c>
      <c r="C612" s="158"/>
      <c r="D612" s="157" t="s">
        <v>4569</v>
      </c>
      <c r="E612" s="159"/>
    </row>
    <row r="613" spans="1:5">
      <c r="A613" s="157" t="s">
        <v>5379</v>
      </c>
      <c r="B613" s="158" t="s">
        <v>5380</v>
      </c>
      <c r="C613" s="158"/>
      <c r="D613" s="157" t="s">
        <v>4604</v>
      </c>
      <c r="E613" s="159" t="s">
        <v>4547</v>
      </c>
    </row>
    <row r="614" spans="1:5">
      <c r="A614" s="157" t="s">
        <v>5381</v>
      </c>
      <c r="B614" s="158" t="s">
        <v>5373</v>
      </c>
      <c r="C614" s="158"/>
      <c r="D614" s="157" t="s">
        <v>4604</v>
      </c>
      <c r="E614" s="159" t="s">
        <v>4547</v>
      </c>
    </row>
    <row r="615" spans="1:5">
      <c r="A615" s="157" t="s">
        <v>5382</v>
      </c>
      <c r="B615" s="158" t="s">
        <v>5383</v>
      </c>
      <c r="C615" s="158"/>
      <c r="D615" s="157" t="s">
        <v>4604</v>
      </c>
      <c r="E615" s="159" t="s">
        <v>4547</v>
      </c>
    </row>
    <row r="616" spans="1:5">
      <c r="A616" s="157" t="s">
        <v>5384</v>
      </c>
      <c r="B616" s="158" t="s">
        <v>5385</v>
      </c>
      <c r="C616" s="158"/>
      <c r="D616" s="157" t="s">
        <v>4604</v>
      </c>
      <c r="E616" s="159" t="s">
        <v>4547</v>
      </c>
    </row>
    <row r="617" spans="1:5">
      <c r="A617" s="157" t="s">
        <v>5386</v>
      </c>
      <c r="B617" s="158" t="s">
        <v>4714</v>
      </c>
      <c r="C617" s="158"/>
      <c r="D617" s="157" t="s">
        <v>4604</v>
      </c>
      <c r="E617" s="159" t="s">
        <v>4547</v>
      </c>
    </row>
    <row r="618" spans="1:5">
      <c r="A618" s="157" t="s">
        <v>5387</v>
      </c>
      <c r="B618" s="158" t="s">
        <v>4551</v>
      </c>
      <c r="C618" s="158"/>
      <c r="D618" s="157" t="s">
        <v>4604</v>
      </c>
      <c r="E618" s="159" t="s">
        <v>4547</v>
      </c>
    </row>
    <row r="619" spans="1:5">
      <c r="A619" s="157" t="s">
        <v>5388</v>
      </c>
      <c r="B619" s="158" t="s">
        <v>4611</v>
      </c>
      <c r="C619" s="158"/>
      <c r="D619" s="157" t="s">
        <v>4604</v>
      </c>
      <c r="E619" s="159" t="s">
        <v>4547</v>
      </c>
    </row>
    <row r="620" spans="1:5">
      <c r="A620" s="157" t="s">
        <v>5389</v>
      </c>
      <c r="B620" s="158" t="s">
        <v>4695</v>
      </c>
      <c r="C620" s="158"/>
      <c r="D620" s="157" t="s">
        <v>4604</v>
      </c>
      <c r="E620" s="159" t="s">
        <v>4547</v>
      </c>
    </row>
    <row r="621" spans="1:5">
      <c r="A621" s="157" t="s">
        <v>5390</v>
      </c>
      <c r="B621" s="158" t="s">
        <v>5353</v>
      </c>
      <c r="C621" s="158"/>
      <c r="D621" s="157" t="s">
        <v>4604</v>
      </c>
      <c r="E621" s="159" t="s">
        <v>4547</v>
      </c>
    </row>
    <row r="622" spans="1:5">
      <c r="A622" s="157" t="s">
        <v>5391</v>
      </c>
      <c r="B622" s="158" t="s">
        <v>5081</v>
      </c>
      <c r="C622" s="158"/>
      <c r="D622" s="157" t="s">
        <v>4604</v>
      </c>
      <c r="E622" s="159" t="s">
        <v>4547</v>
      </c>
    </row>
    <row r="623" spans="1:5">
      <c r="A623" s="157" t="s">
        <v>5392</v>
      </c>
      <c r="B623" s="158" t="s">
        <v>5280</v>
      </c>
      <c r="C623" s="158"/>
      <c r="D623" s="157" t="s">
        <v>4604</v>
      </c>
      <c r="E623" s="159" t="s">
        <v>4547</v>
      </c>
    </row>
    <row r="624" spans="1:5">
      <c r="A624" s="157" t="s">
        <v>5393</v>
      </c>
      <c r="B624" s="158" t="s">
        <v>5081</v>
      </c>
      <c r="C624" s="158"/>
      <c r="D624" s="157" t="s">
        <v>4604</v>
      </c>
      <c r="E624" s="159" t="s">
        <v>4547</v>
      </c>
    </row>
    <row r="625" spans="1:5">
      <c r="A625" s="157" t="s">
        <v>5394</v>
      </c>
      <c r="B625" s="158" t="s">
        <v>5078</v>
      </c>
      <c r="C625" s="158"/>
      <c r="D625" s="157" t="s">
        <v>4604</v>
      </c>
      <c r="E625" s="159" t="s">
        <v>4547</v>
      </c>
    </row>
    <row r="626" spans="1:5">
      <c r="A626" s="157" t="s">
        <v>5395</v>
      </c>
      <c r="B626" s="158" t="s">
        <v>5005</v>
      </c>
      <c r="C626" s="158"/>
      <c r="D626" s="157" t="s">
        <v>4604</v>
      </c>
      <c r="E626" s="159" t="s">
        <v>4547</v>
      </c>
    </row>
    <row r="627" spans="1:5">
      <c r="A627" s="157" t="s">
        <v>5396</v>
      </c>
      <c r="B627" s="158" t="s">
        <v>5397</v>
      </c>
      <c r="C627" s="158"/>
      <c r="D627" s="157" t="s">
        <v>4604</v>
      </c>
      <c r="E627" s="159" t="s">
        <v>4547</v>
      </c>
    </row>
    <row r="628" spans="1:5">
      <c r="A628" s="157" t="s">
        <v>5398</v>
      </c>
      <c r="B628" s="158" t="s">
        <v>4938</v>
      </c>
      <c r="C628" s="158"/>
      <c r="D628" s="157" t="s">
        <v>4569</v>
      </c>
      <c r="E628" s="159"/>
    </row>
    <row r="629" spans="1:5">
      <c r="A629" s="157" t="s">
        <v>5399</v>
      </c>
      <c r="B629" s="158" t="s">
        <v>4545</v>
      </c>
      <c r="C629" s="158"/>
      <c r="D629" s="157" t="s">
        <v>4569</v>
      </c>
      <c r="E629" s="159"/>
    </row>
    <row r="630" spans="1:5">
      <c r="A630" s="157" t="s">
        <v>5400</v>
      </c>
      <c r="B630" s="158" t="s">
        <v>5037</v>
      </c>
      <c r="C630" s="158"/>
      <c r="D630" s="157" t="s">
        <v>4569</v>
      </c>
      <c r="E630" s="159"/>
    </row>
    <row r="631" spans="1:5">
      <c r="A631" s="157" t="s">
        <v>5401</v>
      </c>
      <c r="B631" s="158" t="s">
        <v>5208</v>
      </c>
      <c r="C631" s="158"/>
      <c r="D631" s="157" t="s">
        <v>4604</v>
      </c>
      <c r="E631" s="159" t="s">
        <v>4547</v>
      </c>
    </row>
    <row r="632" spans="1:5">
      <c r="A632" s="157" t="s">
        <v>5402</v>
      </c>
      <c r="B632" s="158" t="s">
        <v>5403</v>
      </c>
      <c r="C632" s="158"/>
      <c r="D632" s="157" t="s">
        <v>4604</v>
      </c>
      <c r="E632" s="159" t="s">
        <v>4547</v>
      </c>
    </row>
    <row r="633" spans="1:5">
      <c r="A633" s="157" t="s">
        <v>5404</v>
      </c>
      <c r="B633" s="158" t="s">
        <v>5081</v>
      </c>
      <c r="C633" s="158"/>
      <c r="D633" s="157" t="s">
        <v>4604</v>
      </c>
      <c r="E633" s="159" t="s">
        <v>4547</v>
      </c>
    </row>
    <row r="634" spans="1:5">
      <c r="A634" s="157" t="s">
        <v>5405</v>
      </c>
      <c r="B634" s="158" t="s">
        <v>5037</v>
      </c>
      <c r="C634" s="158"/>
      <c r="D634" s="157" t="s">
        <v>4604</v>
      </c>
      <c r="E634" s="159" t="s">
        <v>4547</v>
      </c>
    </row>
    <row r="635" spans="1:5">
      <c r="A635" s="157" t="s">
        <v>5406</v>
      </c>
      <c r="B635" s="158" t="s">
        <v>5068</v>
      </c>
      <c r="C635" s="158"/>
      <c r="D635" s="157" t="s">
        <v>4604</v>
      </c>
      <c r="E635" s="159" t="s">
        <v>4547</v>
      </c>
    </row>
    <row r="636" spans="1:5">
      <c r="A636" s="157" t="s">
        <v>5407</v>
      </c>
      <c r="B636" s="158" t="s">
        <v>5255</v>
      </c>
      <c r="C636" s="158"/>
      <c r="D636" s="157" t="s">
        <v>4604</v>
      </c>
      <c r="E636" s="159" t="s">
        <v>4547</v>
      </c>
    </row>
    <row r="637" spans="1:5">
      <c r="A637" s="157" t="s">
        <v>5408</v>
      </c>
      <c r="B637" s="158" t="s">
        <v>5403</v>
      </c>
      <c r="C637" s="158"/>
      <c r="D637" s="157" t="s">
        <v>4604</v>
      </c>
      <c r="E637" s="159" t="s">
        <v>4547</v>
      </c>
    </row>
    <row r="638" spans="1:5">
      <c r="A638" s="157" t="s">
        <v>5409</v>
      </c>
      <c r="B638" s="158" t="s">
        <v>5005</v>
      </c>
      <c r="C638" s="158"/>
      <c r="D638" s="157" t="s">
        <v>4604</v>
      </c>
      <c r="E638" s="159" t="s">
        <v>4547</v>
      </c>
    </row>
    <row r="639" spans="1:5">
      <c r="A639" s="157" t="s">
        <v>5410</v>
      </c>
      <c r="B639" s="158" t="s">
        <v>5135</v>
      </c>
      <c r="C639" s="158"/>
      <c r="D639" s="157" t="s">
        <v>4604</v>
      </c>
      <c r="E639" s="159" t="s">
        <v>4547</v>
      </c>
    </row>
    <row r="640" spans="1:5">
      <c r="A640" s="157" t="s">
        <v>5411</v>
      </c>
      <c r="B640" s="158" t="s">
        <v>5403</v>
      </c>
      <c r="C640" s="158"/>
      <c r="D640" s="157" t="s">
        <v>4604</v>
      </c>
      <c r="E640" s="159" t="s">
        <v>4547</v>
      </c>
    </row>
    <row r="641" spans="1:5">
      <c r="A641" s="157" t="s">
        <v>5412</v>
      </c>
      <c r="B641" s="158" t="s">
        <v>5078</v>
      </c>
      <c r="C641" s="158"/>
      <c r="D641" s="157" t="s">
        <v>4604</v>
      </c>
      <c r="E641" s="159" t="s">
        <v>4547</v>
      </c>
    </row>
    <row r="642" spans="1:5">
      <c r="A642" s="157" t="s">
        <v>5413</v>
      </c>
      <c r="B642" s="158" t="s">
        <v>4544</v>
      </c>
      <c r="C642" s="158"/>
      <c r="D642" s="157" t="s">
        <v>4569</v>
      </c>
      <c r="E642" s="159"/>
    </row>
    <row r="643" spans="1:5">
      <c r="A643" s="157" t="s">
        <v>5414</v>
      </c>
      <c r="B643" s="158" t="s">
        <v>4555</v>
      </c>
      <c r="C643" s="158"/>
      <c r="D643" s="157" t="s">
        <v>4604</v>
      </c>
      <c r="E643" s="159" t="s">
        <v>4547</v>
      </c>
    </row>
    <row r="644" spans="1:5">
      <c r="A644" s="157" t="s">
        <v>5415</v>
      </c>
      <c r="B644" s="158" t="s">
        <v>4554</v>
      </c>
      <c r="C644" s="158"/>
      <c r="D644" s="157" t="s">
        <v>4604</v>
      </c>
      <c r="E644" s="159" t="s">
        <v>4547</v>
      </c>
    </row>
    <row r="645" spans="1:5">
      <c r="A645" s="157" t="s">
        <v>5416</v>
      </c>
      <c r="B645" s="158" t="s">
        <v>4610</v>
      </c>
      <c r="C645" s="158"/>
      <c r="D645" s="157" t="s">
        <v>4604</v>
      </c>
      <c r="E645" s="159" t="s">
        <v>4547</v>
      </c>
    </row>
    <row r="646" spans="1:5">
      <c r="A646" s="157" t="s">
        <v>5417</v>
      </c>
      <c r="B646" s="158" t="s">
        <v>4856</v>
      </c>
      <c r="C646" s="158"/>
      <c r="D646" s="157" t="s">
        <v>4604</v>
      </c>
      <c r="E646" s="159" t="s">
        <v>4547</v>
      </c>
    </row>
    <row r="647" spans="1:5">
      <c r="A647" s="157" t="s">
        <v>5418</v>
      </c>
      <c r="B647" s="158" t="s">
        <v>4555</v>
      </c>
      <c r="C647" s="158"/>
      <c r="D647" s="157" t="s">
        <v>4604</v>
      </c>
      <c r="E647" s="159" t="s">
        <v>4547</v>
      </c>
    </row>
    <row r="648" spans="1:5">
      <c r="A648" s="157" t="s">
        <v>5419</v>
      </c>
      <c r="B648" s="158" t="s">
        <v>4707</v>
      </c>
      <c r="C648" s="158"/>
      <c r="D648" s="157" t="s">
        <v>4604</v>
      </c>
      <c r="E648" s="159" t="s">
        <v>4547</v>
      </c>
    </row>
    <row r="649" spans="1:5">
      <c r="A649" s="157" t="s">
        <v>5420</v>
      </c>
      <c r="B649" s="158" t="s">
        <v>5353</v>
      </c>
      <c r="C649" s="158"/>
      <c r="D649" s="157" t="s">
        <v>4604</v>
      </c>
      <c r="E649" s="159" t="s">
        <v>4547</v>
      </c>
    </row>
    <row r="650" spans="1:5">
      <c r="A650" s="157" t="s">
        <v>5421</v>
      </c>
      <c r="B650" s="158" t="s">
        <v>5373</v>
      </c>
      <c r="C650" s="158"/>
      <c r="D650" s="157" t="s">
        <v>4604</v>
      </c>
      <c r="E650" s="159" t="s">
        <v>4547</v>
      </c>
    </row>
    <row r="651" spans="1:5">
      <c r="A651" s="157" t="s">
        <v>5422</v>
      </c>
      <c r="B651" s="158" t="s">
        <v>5353</v>
      </c>
      <c r="C651" s="158"/>
      <c r="D651" s="157" t="s">
        <v>4604</v>
      </c>
      <c r="E651" s="159" t="s">
        <v>4547</v>
      </c>
    </row>
    <row r="652" spans="1:5">
      <c r="A652" s="157" t="s">
        <v>5423</v>
      </c>
      <c r="B652" s="158" t="s">
        <v>4602</v>
      </c>
      <c r="C652" s="158"/>
      <c r="D652" s="157" t="s">
        <v>4604</v>
      </c>
      <c r="E652" s="159" t="s">
        <v>4547</v>
      </c>
    </row>
    <row r="653" spans="1:5">
      <c r="A653" s="157" t="s">
        <v>5424</v>
      </c>
      <c r="B653" s="158" t="s">
        <v>5214</v>
      </c>
      <c r="C653" s="158"/>
      <c r="D653" s="157" t="s">
        <v>4604</v>
      </c>
      <c r="E653" s="159" t="s">
        <v>4547</v>
      </c>
    </row>
    <row r="654" spans="1:5">
      <c r="A654" s="157" t="s">
        <v>5425</v>
      </c>
      <c r="B654" s="158" t="s">
        <v>5380</v>
      </c>
      <c r="C654" s="158"/>
      <c r="D654" s="157" t="s">
        <v>4604</v>
      </c>
      <c r="E654" s="159" t="s">
        <v>4547</v>
      </c>
    </row>
    <row r="655" spans="1:5">
      <c r="A655" s="157" t="s">
        <v>5426</v>
      </c>
      <c r="B655" s="158" t="s">
        <v>5353</v>
      </c>
      <c r="C655" s="158"/>
      <c r="D655" s="157" t="s">
        <v>4604</v>
      </c>
      <c r="E655" s="159" t="s">
        <v>4547</v>
      </c>
    </row>
    <row r="656" spans="1:5">
      <c r="A656" s="157" t="s">
        <v>5427</v>
      </c>
      <c r="B656" s="158" t="s">
        <v>4602</v>
      </c>
      <c r="C656" s="158"/>
      <c r="D656" s="157" t="s">
        <v>4604</v>
      </c>
      <c r="E656" s="159" t="s">
        <v>4547</v>
      </c>
    </row>
    <row r="657" spans="1:5">
      <c r="A657" s="157" t="s">
        <v>5428</v>
      </c>
      <c r="B657" s="158" t="s">
        <v>5214</v>
      </c>
      <c r="C657" s="158"/>
      <c r="D657" s="157" t="s">
        <v>4604</v>
      </c>
      <c r="E657" s="159" t="s">
        <v>4547</v>
      </c>
    </row>
    <row r="658" spans="1:5">
      <c r="A658" s="157" t="s">
        <v>5429</v>
      </c>
      <c r="B658" s="158" t="s">
        <v>5252</v>
      </c>
      <c r="C658" s="158"/>
      <c r="D658" s="157" t="s">
        <v>4569</v>
      </c>
      <c r="E658" s="159"/>
    </row>
    <row r="659" spans="1:5">
      <c r="A659" s="157" t="s">
        <v>5430</v>
      </c>
      <c r="B659" s="158" t="s">
        <v>5403</v>
      </c>
      <c r="C659" s="158"/>
      <c r="D659" s="157" t="s">
        <v>4604</v>
      </c>
      <c r="E659" s="159" t="s">
        <v>4547</v>
      </c>
    </row>
    <row r="660" spans="1:5">
      <c r="A660" s="157" t="s">
        <v>5431</v>
      </c>
      <c r="B660" s="158" t="s">
        <v>5403</v>
      </c>
      <c r="C660" s="158"/>
      <c r="D660" s="157" t="s">
        <v>4604</v>
      </c>
      <c r="E660" s="159" t="s">
        <v>4547</v>
      </c>
    </row>
    <row r="661" spans="1:5">
      <c r="A661" s="157" t="s">
        <v>5432</v>
      </c>
      <c r="B661" s="158" t="s">
        <v>5081</v>
      </c>
      <c r="C661" s="158"/>
      <c r="D661" s="157" t="s">
        <v>4604</v>
      </c>
      <c r="E661" s="159" t="s">
        <v>4547</v>
      </c>
    </row>
    <row r="662" spans="1:5">
      <c r="A662" s="157" t="s">
        <v>5433</v>
      </c>
      <c r="B662" s="158" t="s">
        <v>5364</v>
      </c>
      <c r="C662" s="158"/>
      <c r="D662" s="157" t="s">
        <v>4604</v>
      </c>
      <c r="E662" s="159" t="s">
        <v>4547</v>
      </c>
    </row>
    <row r="663" spans="1:5">
      <c r="A663" s="157" t="s">
        <v>5434</v>
      </c>
      <c r="B663" s="158" t="s">
        <v>5081</v>
      </c>
      <c r="C663" s="158"/>
      <c r="D663" s="157" t="s">
        <v>4604</v>
      </c>
      <c r="E663" s="159" t="s">
        <v>4547</v>
      </c>
    </row>
    <row r="664" spans="1:5">
      <c r="A664" s="157" t="s">
        <v>5435</v>
      </c>
      <c r="B664" s="158" t="s">
        <v>4870</v>
      </c>
      <c r="C664" s="158"/>
      <c r="D664" s="157" t="s">
        <v>4569</v>
      </c>
      <c r="E664" s="159"/>
    </row>
    <row r="665" spans="1:5">
      <c r="A665" s="157" t="s">
        <v>5436</v>
      </c>
      <c r="B665" s="158" t="s">
        <v>4544</v>
      </c>
      <c r="C665" s="158"/>
      <c r="D665" s="157" t="s">
        <v>4569</v>
      </c>
      <c r="E665" s="159"/>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15</vt:i4>
      </vt:variant>
    </vt:vector>
  </HeadingPairs>
  <TitlesOfParts>
    <vt:vector size="15" baseType="lpstr">
      <vt:lpstr>Portuguese</vt:lpstr>
      <vt:lpstr>English</vt:lpstr>
      <vt:lpstr>Ingredient analysis</vt:lpstr>
      <vt:lpstr>recipes percentage</vt:lpstr>
      <vt:lpstr>TFCB</vt:lpstr>
      <vt:lpstr>ABHC</vt:lpstr>
      <vt:lpstr>Books combined</vt:lpstr>
      <vt:lpstr>carbon footprint</vt:lpstr>
      <vt:lpstr>analysis</vt:lpstr>
      <vt:lpstr>ingredients</vt:lpstr>
      <vt:lpstr>database CF</vt:lpstr>
      <vt:lpstr>database CF (pt)</vt:lpstr>
      <vt:lpstr>Yield factor</vt:lpstr>
      <vt:lpstr>Cooking emissions</vt:lpstr>
      <vt:lpstr>FAOINFOODS Density Database Ver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Jonathan Brandão</cp:lastModifiedBy>
  <dcterms:modified xsi:type="dcterms:W3CDTF">2026-03-31T09:40:27Z</dcterms:modified>
</cp:coreProperties>
</file>